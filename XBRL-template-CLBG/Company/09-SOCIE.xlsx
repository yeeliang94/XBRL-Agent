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O1" t="inlineStr">
        <is>
          <t>Source</t>
        </is>
      </c>
    </row>
    <row r="2">
      <c r="B2" t="inlineStr">
        <is>
          <t>Accumulated funds (deficit)</t>
        </is>
      </c>
      <c r="C2" t="inlineStr">
        <is>
          <t>Members funds</t>
        </is>
      </c>
      <c r="D2" t="inlineStr">
        <is>
          <t>Capital reserve</t>
        </is>
      </c>
      <c r="E2" t="inlineStr">
        <is>
          <t>Foreign currency translation reserve</t>
        </is>
      </c>
      <c r="F2" t="inlineStr">
        <is>
          <t>Revaluation surplus</t>
        </is>
      </c>
      <c r="G2" t="inlineStr">
        <is>
          <t>Warrant reserve</t>
        </is>
      </c>
      <c r="H2" t="inlineStr">
        <is>
          <t>Other non-distributable reserves</t>
        </is>
      </c>
      <c r="I2" t="inlineStr">
        <is>
          <t>Sub-total of non-distributable reserves</t>
        </is>
      </c>
      <c r="J2" t="inlineStr">
        <is>
          <t>Other distributable reserves</t>
        </is>
      </c>
      <c r="K2" t="inlineStr">
        <is>
          <t>Reserves</t>
        </is>
      </c>
      <c r="L2" t="inlineStr">
        <is>
          <t>Total fund/equity and reserves attributable to owners</t>
        </is>
      </c>
      <c r="M2" t="inlineStr">
        <is>
          <t>Non-controlling interests</t>
        </is>
      </c>
      <c r="N2" t="inlineStr">
        <is>
          <t>Total fund/equity and reserves</t>
        </is>
      </c>
    </row>
    <row r="5">
      <c r="A5" t="inlineStr">
        <is>
          <t>Company CY</t>
        </is>
      </c>
    </row>
    <row r="6">
      <c r="A6" t="inlineStr">
        <is>
          <t>Balance at beginning of period</t>
        </is>
      </c>
      <c r="I6">
        <f>D6+E6+F6+G6+H6</f>
        <v/>
      </c>
      <c r="K6">
        <f>I6+J6</f>
        <v/>
      </c>
      <c r="L6">
        <f>B6+C6+K6</f>
        <v/>
      </c>
      <c r="N6">
        <f>L6+M6</f>
        <v/>
      </c>
    </row>
    <row r="7">
      <c r="A7" t="inlineStr">
        <is>
          <t>Impact of changes in accounting policies</t>
        </is>
      </c>
      <c r="I7">
        <f>D7+E7+F7+G7+H7</f>
        <v/>
      </c>
      <c r="K7">
        <f>I7+J7</f>
        <v/>
      </c>
      <c r="L7">
        <f>B7+C7+K7</f>
        <v/>
      </c>
      <c r="N7">
        <f>L7+M7</f>
        <v/>
      </c>
    </row>
    <row r="8">
      <c r="A8" t="inlineStr">
        <is>
          <t>Other prior period adjustments</t>
        </is>
      </c>
      <c r="I8">
        <f>D8+E8+F8+G8+H8</f>
        <v/>
      </c>
      <c r="K8">
        <f>I8+J8</f>
        <v/>
      </c>
      <c r="L8">
        <f>B8+C8+K8</f>
        <v/>
      </c>
      <c r="N8">
        <f>L8+M8</f>
        <v/>
      </c>
    </row>
    <row r="9">
      <c r="A9" t="inlineStr">
        <is>
          <t>Balance at beginning of period, restated</t>
        </is>
      </c>
      <c r="I9">
        <f>D9+E9+F9+G9+H9</f>
        <v/>
      </c>
      <c r="K9">
        <f>I9+J9</f>
        <v/>
      </c>
      <c r="L9">
        <f>B9+C9+K9</f>
        <v/>
      </c>
      <c r="N9">
        <f>L9+M9</f>
        <v/>
      </c>
    </row>
    <row r="10">
      <c r="A10" t="inlineStr">
        <is>
          <t>Total surplus (deficit)</t>
        </is>
      </c>
      <c r="I10">
        <f>D10+E10+F10+G10+H10</f>
        <v/>
      </c>
      <c r="K10">
        <f>I10+J10</f>
        <v/>
      </c>
      <c r="L10">
        <f>B10+C10+K10</f>
        <v/>
      </c>
      <c r="N10">
        <f>L10+M10</f>
        <v/>
      </c>
    </row>
    <row r="11">
      <c r="A11" t="inlineStr">
        <is>
          <t>Total other comprehensive surplus (deficit)</t>
        </is>
      </c>
      <c r="I11">
        <f>D11+E11+F11+G11+H11</f>
        <v/>
      </c>
      <c r="K11">
        <f>I11+J11</f>
        <v/>
      </c>
      <c r="L11">
        <f>B11+C11+K11</f>
        <v/>
      </c>
      <c r="N11">
        <f>L11+M11</f>
        <v/>
      </c>
    </row>
    <row r="12">
      <c r="A12" t="inlineStr">
        <is>
          <t>Total comprehensive surplus (deficit)</t>
        </is>
      </c>
      <c r="I12">
        <f>D12+E12+F12+G12+H12</f>
        <v/>
      </c>
      <c r="K12">
        <f>I12+J12</f>
        <v/>
      </c>
      <c r="L12">
        <f>B12+C12+K12</f>
        <v/>
      </c>
      <c r="N12">
        <f>L12+M12</f>
        <v/>
      </c>
    </row>
    <row r="13">
      <c r="A13" s="1" t="inlineStr">
        <is>
          <t>Contributions by and distributions to owners</t>
        </is>
      </c>
    </row>
    <row r="14">
      <c r="A14" t="inlineStr">
        <is>
          <t>Acquisition (dilution) of equity interest in subsidiaries</t>
        </is>
      </c>
      <c r="I14">
        <f>D14+E14+F14+G14+H14</f>
        <v/>
      </c>
      <c r="K14">
        <f>I14+J14</f>
        <v/>
      </c>
      <c r="L14">
        <f>B14+C14+K14</f>
        <v/>
      </c>
      <c r="N14">
        <f>L14+M14</f>
        <v/>
      </c>
    </row>
    <row r="15">
      <c r="A15" t="inlineStr">
        <is>
          <t>Reserve attributable to disposal group classified as held for sale</t>
        </is>
      </c>
      <c r="I15">
        <f>D15+E15+F15+G15+H15</f>
        <v/>
      </c>
      <c r="K15">
        <f>I15+J15</f>
        <v/>
      </c>
      <c r="L15">
        <f>B15+C15+K15</f>
        <v/>
      </c>
      <c r="N15">
        <f>L15+M15</f>
        <v/>
      </c>
    </row>
    <row r="16">
      <c r="A16" t="inlineStr">
        <is>
          <t>Dividend paid</t>
        </is>
      </c>
      <c r="I16">
        <f>D16+E16+F16+G16+H16</f>
        <v/>
      </c>
      <c r="K16">
        <f>I16+J16</f>
        <v/>
      </c>
      <c r="L16">
        <f>B16+C16+K16</f>
        <v/>
      </c>
      <c r="N16">
        <f>L16+M16</f>
        <v/>
      </c>
    </row>
    <row r="17">
      <c r="A17" t="inlineStr">
        <is>
          <t>Other transactions with owners</t>
        </is>
      </c>
      <c r="I17">
        <f>D17+E17+F17+G17+H17</f>
        <v/>
      </c>
      <c r="K17">
        <f>I17+J17</f>
        <v/>
      </c>
      <c r="L17">
        <f>B17+C17+K17</f>
        <v/>
      </c>
      <c r="N17">
        <f>L17+M17</f>
        <v/>
      </c>
    </row>
    <row r="18">
      <c r="A18" s="2" t="inlineStr">
        <is>
          <t>*Total contributions by and distributions to owners</t>
        </is>
      </c>
      <c r="B18">
        <f>1*B14+-1*B15+1*B17+-1*B16</f>
        <v/>
      </c>
      <c r="C18">
        <f>1*C14+-1*C15+1*C17+-1*C16</f>
        <v/>
      </c>
      <c r="D18">
        <f>1*D14+-1*D15+1*D17+-1*D16</f>
        <v/>
      </c>
      <c r="E18">
        <f>1*E14+-1*E15+1*E17+-1*E16</f>
        <v/>
      </c>
      <c r="F18">
        <f>1*F14+-1*F15+1*F17+-1*F16</f>
        <v/>
      </c>
      <c r="G18">
        <f>1*G14+-1*G15+1*G17+-1*G16</f>
        <v/>
      </c>
      <c r="H18">
        <f>1*H14+-1*H15+1*H17+-1*H16</f>
        <v/>
      </c>
      <c r="I18">
        <f>D18+E18+F18+G18+H18</f>
        <v/>
      </c>
      <c r="J18">
        <f>1*J14+-1*J15+1*J17+-1*J16</f>
        <v/>
      </c>
      <c r="K18">
        <f>I18+J18</f>
        <v/>
      </c>
      <c r="L18">
        <f>B18+C18+K18</f>
        <v/>
      </c>
      <c r="M18">
        <f>1*M14+-1*M15+1*M17+-1*M16</f>
        <v/>
      </c>
      <c r="N18">
        <f>L18+M18</f>
        <v/>
      </c>
    </row>
    <row r="19">
      <c r="A19" t="inlineStr">
        <is>
          <t>Total changes in fund/equity</t>
        </is>
      </c>
      <c r="I19">
        <f>D19+E19+F19+G19+H19</f>
        <v/>
      </c>
      <c r="K19">
        <f>I19+J19</f>
        <v/>
      </c>
      <c r="L19">
        <f>B19+C19+K19</f>
        <v/>
      </c>
      <c r="N19">
        <f>L19+M19</f>
        <v/>
      </c>
    </row>
    <row r="20">
      <c r="A20" t="inlineStr">
        <is>
          <t>Balance at end of period</t>
        </is>
      </c>
      <c r="I20">
        <f>D20+E20+F20+G20+H20</f>
        <v/>
      </c>
      <c r="K20">
        <f>I20+J20</f>
        <v/>
      </c>
      <c r="L20">
        <f>B20+C20+K20</f>
        <v/>
      </c>
      <c r="N20">
        <f>L20+M20</f>
        <v/>
      </c>
    </row>
    <row r="23">
      <c r="A23" t="inlineStr">
        <is>
          <t>Company PY</t>
        </is>
      </c>
    </row>
    <row r="24">
      <c r="A24" t="inlineStr">
        <is>
          <t>Balance at beginning of period</t>
        </is>
      </c>
      <c r="I24">
        <f>D24+E24+F24+G24+H24</f>
        <v/>
      </c>
      <c r="K24">
        <f>I24+J24</f>
        <v/>
      </c>
      <c r="L24">
        <f>B24+C24+K24</f>
        <v/>
      </c>
      <c r="N24">
        <f>L24+M24</f>
        <v/>
      </c>
    </row>
    <row r="25">
      <c r="A25" t="inlineStr">
        <is>
          <t>Impact of changes in accounting policies</t>
        </is>
      </c>
      <c r="I25">
        <f>D25+E25+F25+G25+H25</f>
        <v/>
      </c>
      <c r="K25">
        <f>I25+J25</f>
        <v/>
      </c>
      <c r="L25">
        <f>B25+C25+K25</f>
        <v/>
      </c>
      <c r="N25">
        <f>L25+M25</f>
        <v/>
      </c>
    </row>
    <row r="26">
      <c r="A26" t="inlineStr">
        <is>
          <t>Other prior period adjustments</t>
        </is>
      </c>
      <c r="I26">
        <f>D26+E26+F26+G26+H26</f>
        <v/>
      </c>
      <c r="K26">
        <f>I26+J26</f>
        <v/>
      </c>
      <c r="L26">
        <f>B26+C26+K26</f>
        <v/>
      </c>
      <c r="N26">
        <f>L26+M26</f>
        <v/>
      </c>
    </row>
    <row r="27">
      <c r="A27" t="inlineStr">
        <is>
          <t>Balance at beginning of period, restated</t>
        </is>
      </c>
      <c r="I27">
        <f>D27+E27+F27+G27+H27</f>
        <v/>
      </c>
      <c r="K27">
        <f>I27+J27</f>
        <v/>
      </c>
      <c r="L27">
        <f>B27+C27+K27</f>
        <v/>
      </c>
      <c r="N27">
        <f>L27+M27</f>
        <v/>
      </c>
    </row>
    <row r="28">
      <c r="A28" t="inlineStr">
        <is>
          <t>Total surplus (deficit)</t>
        </is>
      </c>
      <c r="I28">
        <f>D28+E28+F28+G28+H28</f>
        <v/>
      </c>
      <c r="K28">
        <f>I28+J28</f>
        <v/>
      </c>
      <c r="L28">
        <f>B28+C28+K28</f>
        <v/>
      </c>
      <c r="N28">
        <f>L28+M28</f>
        <v/>
      </c>
    </row>
    <row r="29">
      <c r="A29" t="inlineStr">
        <is>
          <t>Total other comprehensive surplus (deficit)</t>
        </is>
      </c>
      <c r="I29">
        <f>D29+E29+F29+G29+H29</f>
        <v/>
      </c>
      <c r="K29">
        <f>I29+J29</f>
        <v/>
      </c>
      <c r="L29">
        <f>B29+C29+K29</f>
        <v/>
      </c>
      <c r="N29">
        <f>L29+M29</f>
        <v/>
      </c>
    </row>
    <row r="30">
      <c r="A30" t="inlineStr">
        <is>
          <t>Total comprehensive surplus (deficit)</t>
        </is>
      </c>
      <c r="I30">
        <f>D30+E30+F30+G30+H30</f>
        <v/>
      </c>
      <c r="K30">
        <f>I30+J30</f>
        <v/>
      </c>
      <c r="L30">
        <f>B30+C30+K30</f>
        <v/>
      </c>
      <c r="N30">
        <f>L30+M30</f>
        <v/>
      </c>
    </row>
    <row r="31">
      <c r="A31" s="1" t="inlineStr">
        <is>
          <t>Contributions by and distributions to owners</t>
        </is>
      </c>
    </row>
    <row r="32">
      <c r="A32" t="inlineStr">
        <is>
          <t>Acquisition (dilution) of equity interest in subsidiaries</t>
        </is>
      </c>
      <c r="I32">
        <f>D32+E32+F32+G32+H32</f>
        <v/>
      </c>
      <c r="K32">
        <f>I32+J32</f>
        <v/>
      </c>
      <c r="L32">
        <f>B32+C32+K32</f>
        <v/>
      </c>
      <c r="N32">
        <f>L32+M32</f>
        <v/>
      </c>
    </row>
    <row r="33">
      <c r="A33" t="inlineStr">
        <is>
          <t>Reserve attributable to disposal group classified as held for sale</t>
        </is>
      </c>
      <c r="I33">
        <f>D33+E33+F33+G33+H33</f>
        <v/>
      </c>
      <c r="K33">
        <f>I33+J33</f>
        <v/>
      </c>
      <c r="L33">
        <f>B33+C33+K33</f>
        <v/>
      </c>
      <c r="N33">
        <f>L33+M33</f>
        <v/>
      </c>
    </row>
    <row r="34">
      <c r="A34" t="inlineStr">
        <is>
          <t>Dividend paid</t>
        </is>
      </c>
      <c r="I34">
        <f>D34+E34+F34+G34+H34</f>
        <v/>
      </c>
      <c r="K34">
        <f>I34+J34</f>
        <v/>
      </c>
      <c r="L34">
        <f>B34+C34+K34</f>
        <v/>
      </c>
      <c r="N34">
        <f>L34+M34</f>
        <v/>
      </c>
    </row>
    <row r="35">
      <c r="A35" t="inlineStr">
        <is>
          <t>Other transactions with owners</t>
        </is>
      </c>
      <c r="I35">
        <f>D35+E35+F35+G35+H35</f>
        <v/>
      </c>
      <c r="K35">
        <f>I35+J35</f>
        <v/>
      </c>
      <c r="L35">
        <f>B35+C35+K35</f>
        <v/>
      </c>
      <c r="N35">
        <f>L35+M35</f>
        <v/>
      </c>
    </row>
    <row r="36">
      <c r="A36" s="2" t="inlineStr">
        <is>
          <t>*Total contributions by and distributions to owners</t>
        </is>
      </c>
      <c r="B36">
        <f>1*B32+-1*B33+1*B35+-1*B34</f>
        <v/>
      </c>
      <c r="C36">
        <f>1*C32+-1*C33+1*C35+-1*C34</f>
        <v/>
      </c>
      <c r="D36">
        <f>1*D32+-1*D33+1*D35+-1*D34</f>
        <v/>
      </c>
      <c r="E36">
        <f>1*E32+-1*E33+1*E35+-1*E34</f>
        <v/>
      </c>
      <c r="F36">
        <f>1*F32+-1*F33+1*F35+-1*F34</f>
        <v/>
      </c>
      <c r="G36">
        <f>1*G32+-1*G33+1*G35+-1*G34</f>
        <v/>
      </c>
      <c r="H36">
        <f>1*H32+-1*H33+1*H35+-1*H34</f>
        <v/>
      </c>
      <c r="I36">
        <f>D36+E36+F36+G36+H36</f>
        <v/>
      </c>
      <c r="J36">
        <f>1*J32+-1*J33+1*J35+-1*J34</f>
        <v/>
      </c>
      <c r="K36">
        <f>I36+J36</f>
        <v/>
      </c>
      <c r="L36">
        <f>B36+C36+K36</f>
        <v/>
      </c>
      <c r="M36">
        <f>1*M32+-1*M33+1*M35+-1*M34</f>
        <v/>
      </c>
      <c r="N36">
        <f>L36+M36</f>
        <v/>
      </c>
    </row>
    <row r="37">
      <c r="A37" t="inlineStr">
        <is>
          <t>Total changes in fund/equity</t>
        </is>
      </c>
      <c r="I37">
        <f>D37+E37+F37+G37+H37</f>
        <v/>
      </c>
      <c r="K37">
        <f>I37+J37</f>
        <v/>
      </c>
      <c r="L37">
        <f>B37+C37+K37</f>
        <v/>
      </c>
      <c r="N37">
        <f>L37+M37</f>
        <v/>
      </c>
    </row>
    <row r="38">
      <c r="A38" t="inlineStr">
        <is>
          <t>Balance at end of period</t>
        </is>
      </c>
      <c r="I38">
        <f>D38+E38+F38+G38+H38</f>
        <v/>
      </c>
      <c r="K38">
        <f>I38+J38</f>
        <v/>
      </c>
      <c r="L38">
        <f>B38+C38+K38</f>
        <v/>
      </c>
      <c r="N38">
        <f>L38+M38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