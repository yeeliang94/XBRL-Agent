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IE-Nature" sheetId="1" state="visible" r:id="rId1"/>
    <sheet name="SOIE-Analysis-Nat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FF1F3864"/>
        <b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40" customWidth="1" min="4" max="4"/>
  </cols>
  <sheetData>
    <row r="1">
      <c r="B1" t="inlineStr">
        <is>
          <t>01/01/YYYY - 31/12/YYYY</t>
        </is>
      </c>
      <c r="C1" t="inlineStr">
        <is>
          <t>01/01/YYYY - 31/12/YYYY</t>
        </is>
      </c>
      <c r="D1" t="inlineStr">
        <is>
          <t>Source</t>
        </is>
      </c>
    </row>
    <row r="3">
      <c r="A3" s="1" t="inlineStr">
        <is>
          <t>Disclosure on statement of income and expenditure</t>
        </is>
      </c>
    </row>
    <row r="4">
      <c r="A4" s="1" t="inlineStr">
        <is>
          <t>Statement of income and expenditure</t>
        </is>
      </c>
    </row>
    <row r="5">
      <c r="A5" s="1" t="inlineStr">
        <is>
          <t>Continuing operations</t>
        </is>
      </c>
    </row>
    <row r="6">
      <c r="A6" t="inlineStr">
        <is>
          <t>Income</t>
        </is>
      </c>
      <c r="B6">
        <f>'SOIE-Analysis-Nature'!B22</f>
        <v/>
      </c>
      <c r="C6">
        <f>'SOIE-Analysis-Nature'!C22</f>
        <v/>
      </c>
    </row>
    <row r="7">
      <c r="A7" t="inlineStr">
        <is>
          <t>Other income</t>
        </is>
      </c>
      <c r="B7">
        <f>'SOIE-Analysis-Nature'!B33</f>
        <v/>
      </c>
      <c r="C7">
        <f>'SOIE-Analysis-Nature'!C33</f>
        <v/>
      </c>
    </row>
    <row r="8">
      <c r="A8" t="inlineStr">
        <is>
          <t>Depreciation, impairment and amortisation</t>
        </is>
      </c>
    </row>
    <row r="9">
      <c r="A9" t="inlineStr">
        <is>
          <t>Employee benefits expense</t>
        </is>
      </c>
      <c r="B9">
        <f>'SOIE-Analysis-Nature'!B41</f>
        <v/>
      </c>
      <c r="C9">
        <f>'SOIE-Analysis-Nature'!C41</f>
        <v/>
      </c>
    </row>
    <row r="10">
      <c r="A10" t="inlineStr">
        <is>
          <t>Other expenses</t>
        </is>
      </c>
      <c r="B10">
        <f>'SOIE-Analysis-Nature'!B77</f>
        <v/>
      </c>
      <c r="C10">
        <f>'SOIE-Analysis-Nature'!C77</f>
        <v/>
      </c>
    </row>
    <row r="11">
      <c r="A11" t="inlineStr">
        <is>
          <t>Finance income</t>
        </is>
      </c>
      <c r="B11">
        <f>'SOIE-Analysis-Nature'!B82</f>
        <v/>
      </c>
      <c r="C11">
        <f>'SOIE-Analysis-Nature'!C82</f>
        <v/>
      </c>
    </row>
    <row r="12">
      <c r="A12" t="inlineStr">
        <is>
          <t>Finance costs</t>
        </is>
      </c>
    </row>
    <row r="13">
      <c r="A13" s="2" t="inlineStr">
        <is>
          <t>*Surplus (deficit) of income over expenditure before taxation</t>
        </is>
      </c>
      <c r="B13">
        <f>1*B6+1*B7+1*B11+-1*B12+-1*B8+-1*B9+-1*B10</f>
        <v/>
      </c>
      <c r="C13">
        <f>1*C6+1*C7+1*C11+-1*C12+-1*C8+-1*C9+-1*C10</f>
        <v/>
      </c>
    </row>
    <row r="14">
      <c r="A14" t="inlineStr">
        <is>
          <t>Tax expense</t>
        </is>
      </c>
    </row>
    <row r="15">
      <c r="A15" s="2" t="inlineStr">
        <is>
          <t>*Total surplus (deficit)</t>
        </is>
      </c>
      <c r="B15">
        <f>1*B13+-1*B14</f>
        <v/>
      </c>
      <c r="C15">
        <f>1*C13+-1*C14</f>
        <v/>
      </c>
    </row>
    <row r="16">
      <c r="A16" s="1" t="inlineStr">
        <is>
          <t>Discontinued operations</t>
        </is>
      </c>
    </row>
    <row r="17">
      <c r="A17" t="inlineStr">
        <is>
          <t>Surplus (deficit) from discontinued operations, net of tax</t>
        </is>
      </c>
    </row>
    <row r="18">
      <c r="A18" s="2" t="inlineStr">
        <is>
          <t>*Total surplus (deficit)</t>
        </is>
      </c>
      <c r="B18">
        <f>1*B15+1*B17</f>
        <v/>
      </c>
      <c r="C18">
        <f>1*C15+1*C17</f>
        <v/>
      </c>
    </row>
    <row r="19">
      <c r="A19" s="1" t="inlineStr">
        <is>
          <t>Surplus (deficit), attributable to</t>
        </is>
      </c>
    </row>
    <row r="20">
      <c r="A20" t="inlineStr">
        <is>
          <t>Surplus (deficit), attributable to members of company</t>
        </is>
      </c>
    </row>
    <row r="21">
      <c r="A21" t="inlineStr">
        <is>
          <t>Surplus (deficit), attributable to non-controlling interests</t>
        </is>
      </c>
    </row>
    <row r="22">
      <c r="A22" s="2" t="inlineStr">
        <is>
          <t>*Total surplus (deficit)</t>
        </is>
      </c>
      <c r="B22">
        <f>1*B20+1*B21</f>
        <v/>
      </c>
      <c r="C22">
        <f>1*C20+1*C21</f>
        <v/>
      </c>
    </row>
    <row r="23">
      <c r="A23" s="1" t="inlineStr">
        <is>
          <t>Other comprehensive income (expense), net of tax</t>
        </is>
      </c>
    </row>
    <row r="24">
      <c r="A24" s="1" t="inlineStr">
        <is>
          <t>Components of other comprehensive income that will not be reclassified to profit or loss, net of tax</t>
        </is>
      </c>
    </row>
    <row r="25">
      <c r="A25" t="inlineStr">
        <is>
          <t>Gains (losses) on exchange differences on translation, net of tax</t>
        </is>
      </c>
    </row>
    <row r="26">
      <c r="A26" t="inlineStr">
        <is>
          <t>Other comprehensive income, net of tax, gains (losses) on revaluation</t>
        </is>
      </c>
    </row>
    <row r="27">
      <c r="A27" t="inlineStr">
        <is>
          <t>Remeasurement of defined benefit liability</t>
        </is>
      </c>
    </row>
    <row r="28">
      <c r="A28" t="inlineStr">
        <is>
          <t>Other comprehensive income, net of tax, gains (losses) on other items</t>
        </is>
      </c>
    </row>
    <row r="29">
      <c r="A29" s="2" t="inlineStr">
        <is>
          <t>*Total other comprehensive income that will not be reclassified to profit or loss, net of tax</t>
        </is>
      </c>
      <c r="B29">
        <f>1*B25+1*B26+1*B27+1*B28</f>
        <v/>
      </c>
      <c r="C29">
        <f>1*C25+1*C26+1*C27+1*C28</f>
        <v/>
      </c>
    </row>
    <row r="30">
      <c r="A30" s="1" t="inlineStr">
        <is>
          <t>Components of other comprehensive income that will be reclassified to profit or loss, net of tax</t>
        </is>
      </c>
    </row>
    <row r="31">
      <c r="A31" t="inlineStr">
        <is>
          <t>Gains (losses) on exchange differences on translation, net of tax</t>
        </is>
      </c>
    </row>
    <row r="32">
      <c r="A32" t="inlineStr">
        <is>
          <t>Gains (losses) on cash flow hedges, net of tax</t>
        </is>
      </c>
    </row>
    <row r="33">
      <c r="A33" t="inlineStr">
        <is>
          <t>Gains (losses) on hedges of net investments in foreign operations, net of tax</t>
        </is>
      </c>
    </row>
    <row r="34">
      <c r="A34" t="inlineStr">
        <is>
          <t>Gains (losses) on financial assets measured at fair value through other comprehensive income, net of tax</t>
        </is>
      </c>
    </row>
    <row r="35">
      <c r="A35" t="inlineStr">
        <is>
          <t>Other comprehensive income, net of tax, gains (losses) on other items</t>
        </is>
      </c>
    </row>
    <row r="36">
      <c r="A36" s="2" t="inlineStr">
        <is>
          <t>*Total other comprehensive income that will be reclassified to profit or loss, net of tax</t>
        </is>
      </c>
      <c r="B36">
        <f>1*B31+1*B32+1*B33+1*B34+1*B35</f>
        <v/>
      </c>
      <c r="C36">
        <f>1*C31+1*C32+1*C33+1*C34+1*C35</f>
        <v/>
      </c>
    </row>
    <row r="37">
      <c r="A37" s="2" t="inlineStr">
        <is>
          <t>*Total other comprehensive surplus (deficit)</t>
        </is>
      </c>
      <c r="B37">
        <f>1*B29+1*B36</f>
        <v/>
      </c>
      <c r="C37">
        <f>1*C29+1*C36</f>
        <v/>
      </c>
    </row>
    <row r="38">
      <c r="A38" s="2" t="inlineStr">
        <is>
          <t>*Total comprehensive surplus (deficit)</t>
        </is>
      </c>
      <c r="B38">
        <f>1*B18+1*B37</f>
        <v/>
      </c>
      <c r="C38">
        <f>1*C18+1*C37</f>
        <v/>
      </c>
    </row>
    <row r="39">
      <c r="A39" s="1" t="inlineStr">
        <is>
          <t>Comprehensive surplus (deficit) attributable to</t>
        </is>
      </c>
    </row>
    <row r="40">
      <c r="A40" t="inlineStr">
        <is>
          <t>Comprehensive surplus (deficit), attributable to owners</t>
        </is>
      </c>
    </row>
    <row r="41">
      <c r="A41" t="inlineStr">
        <is>
          <t>Comprehensive surplus (deficit), attributable to non-controlling interests</t>
        </is>
      </c>
    </row>
    <row r="42">
      <c r="A42" s="2" t="inlineStr">
        <is>
          <t>*Total comprehensive surplus (deficit)</t>
        </is>
      </c>
      <c r="B42">
        <f>1*B40+1*B41</f>
        <v/>
      </c>
      <c r="C42">
        <f>1*C40+1*C41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40" customWidth="1" min="4" max="4"/>
  </cols>
  <sheetData>
    <row r="1">
      <c r="B1" t="inlineStr">
        <is>
          <t>01/01/YYYY - 31/12/YYYY</t>
        </is>
      </c>
      <c r="C1" t="inlineStr">
        <is>
          <t>01/01/YYYY - 31/12/YYYY</t>
        </is>
      </c>
      <c r="D1" t="inlineStr">
        <is>
          <t>Source</t>
        </is>
      </c>
    </row>
    <row r="3">
      <c r="A3" s="1" t="inlineStr">
        <is>
          <t>Disclosure on analysis of income and expenditure</t>
        </is>
      </c>
    </row>
    <row r="4">
      <c r="A4" s="1" t="inlineStr">
        <is>
          <t>Analysis of income and expense</t>
        </is>
      </c>
    </row>
    <row r="5">
      <c r="A5" s="1" t="inlineStr">
        <is>
          <t>Statement on analysis of income and expenditure</t>
        </is>
      </c>
    </row>
    <row r="6">
      <c r="A6" s="1" t="inlineStr">
        <is>
          <t>Income</t>
        </is>
      </c>
    </row>
    <row r="7">
      <c r="A7" t="inlineStr">
        <is>
          <t>Income from sale of goods</t>
        </is>
      </c>
    </row>
    <row r="8">
      <c r="A8" t="inlineStr">
        <is>
          <t>Income from rendering of services</t>
        </is>
      </c>
    </row>
    <row r="9">
      <c r="A9" t="inlineStr">
        <is>
          <t>Interest income</t>
        </is>
      </c>
    </row>
    <row r="10">
      <c r="A10" t="inlineStr">
        <is>
          <t>Dividend income</t>
        </is>
      </c>
    </row>
    <row r="11">
      <c r="A11" t="inlineStr">
        <is>
          <t>Rental income</t>
        </is>
      </c>
    </row>
    <row r="12">
      <c r="A12" t="inlineStr">
        <is>
          <t>Income from fund raising</t>
        </is>
      </c>
    </row>
    <row r="13">
      <c r="A13" t="inlineStr">
        <is>
          <t>Grant or incentives by Malaysian government or it's agencies</t>
        </is>
      </c>
    </row>
    <row r="14">
      <c r="A14" t="inlineStr">
        <is>
          <t>Grant or incentives by foreign government or it's agencies</t>
        </is>
      </c>
    </row>
    <row r="15">
      <c r="A15" t="inlineStr">
        <is>
          <t>Contributions or donations by local contributor</t>
        </is>
      </c>
    </row>
    <row r="16">
      <c r="A16" t="inlineStr">
        <is>
          <t>Contributions or donations by foreign contributor</t>
        </is>
      </c>
    </row>
    <row r="17">
      <c r="A17" t="inlineStr">
        <is>
          <t>Contributions or donations by unknown contributor</t>
        </is>
      </c>
    </row>
    <row r="18">
      <c r="A18" t="inlineStr">
        <is>
          <t>Donations by local contributor</t>
        </is>
      </c>
    </row>
    <row r="19">
      <c r="A19" t="inlineStr">
        <is>
          <t>Donations by foreign contributor</t>
        </is>
      </c>
    </row>
    <row r="20">
      <c r="A20" t="inlineStr">
        <is>
          <t>Donations by unknown contributor</t>
        </is>
      </c>
    </row>
    <row r="21">
      <c r="A21" t="inlineStr">
        <is>
          <t>Other miscellaneous income</t>
        </is>
      </c>
    </row>
    <row r="22">
      <c r="A22" s="2" t="inlineStr">
        <is>
          <t>*Total income</t>
        </is>
      </c>
      <c r="B22">
        <f>1*B7+1*B8+1*B9+1*B10+1*B11+1*B12+1*B13+1*B14+1*B15+1*B16+1*B17+1*B18+1*B19+1*B20+1*B21</f>
        <v/>
      </c>
      <c r="C22">
        <f>1*C7+1*C8+1*C9+1*C10+1*C11+1*C12+1*C13+1*C14+1*C15+1*C16+1*C17+1*C18+1*C19+1*C20+1*C21</f>
        <v/>
      </c>
    </row>
    <row r="23">
      <c r="A23" s="1" t="inlineStr">
        <is>
          <t>Other income</t>
        </is>
      </c>
    </row>
    <row r="24">
      <c r="A24" t="inlineStr">
        <is>
          <t>Deferred income</t>
        </is>
      </c>
    </row>
    <row r="25">
      <c r="A25" t="inlineStr">
        <is>
          <t>Grants or incentives</t>
        </is>
      </c>
    </row>
    <row r="26">
      <c r="A26" t="inlineStr">
        <is>
          <t>Realised foreign currencies exchange gain transferred from equity</t>
        </is>
      </c>
    </row>
    <row r="27">
      <c r="A27" t="inlineStr">
        <is>
          <t>Unrealised gain on foreign exchange</t>
        </is>
      </c>
    </row>
    <row r="28">
      <c r="A28" t="inlineStr">
        <is>
          <t>Gain from disposal of a subsidiary, joint ventures and associates</t>
        </is>
      </c>
    </row>
    <row r="29">
      <c r="A29" t="inlineStr">
        <is>
          <t>Gains on disposals of property, plant and equipment</t>
        </is>
      </c>
    </row>
    <row r="30">
      <c r="A30" t="inlineStr">
        <is>
          <t>Gain on disposal from other investments</t>
        </is>
      </c>
    </row>
    <row r="31">
      <c r="A31" t="inlineStr">
        <is>
          <t>Reversal of impairment loss</t>
        </is>
      </c>
    </row>
    <row r="32">
      <c r="A32" t="inlineStr">
        <is>
          <t>Other miscellaneous income</t>
        </is>
      </c>
    </row>
    <row r="33">
      <c r="A33" s="2" t="inlineStr">
        <is>
          <t>*Total other income</t>
        </is>
      </c>
      <c r="B33">
        <f>1*B24+1*B25+1*B26+1*B27+1*B28+1*B29+1*B30+1*B31+1*B32</f>
        <v/>
      </c>
      <c r="C33">
        <f>1*C24+1*C25+1*C26+1*C27+1*C28+1*C29+1*C30+1*C31+1*C32</f>
        <v/>
      </c>
    </row>
    <row r="34">
      <c r="A34" s="1" t="inlineStr">
        <is>
          <t>Employee benefits expense</t>
        </is>
      </c>
    </row>
    <row r="35">
      <c r="A35" t="inlineStr">
        <is>
          <t>Wages, salaries and others</t>
        </is>
      </c>
    </row>
    <row r="36">
      <c r="A36" t="inlineStr">
        <is>
          <t>Bonus</t>
        </is>
      </c>
    </row>
    <row r="37">
      <c r="A37" t="inlineStr">
        <is>
          <t>Social security contributions</t>
        </is>
      </c>
    </row>
    <row r="38">
      <c r="A38" t="inlineStr">
        <is>
          <t>Defined contribution plans</t>
        </is>
      </c>
    </row>
    <row r="39">
      <c r="A39" t="inlineStr">
        <is>
          <t>Defined benefit plans</t>
        </is>
      </c>
    </row>
    <row r="40">
      <c r="A40" t="inlineStr">
        <is>
          <t>Other employee benefit expenses</t>
        </is>
      </c>
    </row>
    <row r="41">
      <c r="A41" s="2" t="inlineStr">
        <is>
          <t>*Total employee benefit expenses</t>
        </is>
      </c>
      <c r="B41">
        <f>1*B35+1*B36+1*B37+1*B38+1*B40+1*B39</f>
        <v/>
      </c>
      <c r="C41">
        <f>1*C35+1*C36+1*C37+1*C38+1*C40+1*C39</f>
        <v/>
      </c>
    </row>
    <row r="42">
      <c r="A42" s="1" t="inlineStr">
        <is>
          <t>Other expenses</t>
        </is>
      </c>
    </row>
    <row r="43">
      <c r="A43" t="inlineStr">
        <is>
          <t>Advertisement</t>
        </is>
      </c>
    </row>
    <row r="44">
      <c r="A44" t="inlineStr">
        <is>
          <t>Agent fees</t>
        </is>
      </c>
    </row>
    <row r="45">
      <c r="A45" t="inlineStr">
        <is>
          <t>Assessment and quit rent</t>
        </is>
      </c>
    </row>
    <row r="46">
      <c r="A46" t="inlineStr">
        <is>
          <t>Auditor's remuneration</t>
        </is>
      </c>
    </row>
    <row r="47">
      <c r="A47" t="inlineStr">
        <is>
          <t>Bank charges</t>
        </is>
      </c>
    </row>
    <row r="48">
      <c r="A48" t="inlineStr">
        <is>
          <t>Charitable grants - Local</t>
        </is>
      </c>
    </row>
    <row r="49">
      <c r="A49" t="inlineStr">
        <is>
          <t>Charitable grants - Foreign</t>
        </is>
      </c>
    </row>
    <row r="50">
      <c r="A50" t="inlineStr">
        <is>
          <t>Entertainment expenses</t>
        </is>
      </c>
    </row>
    <row r="51">
      <c r="A51" t="inlineStr">
        <is>
          <t>Fair value loss on other investments</t>
        </is>
      </c>
    </row>
    <row r="52">
      <c r="A52" t="inlineStr">
        <is>
          <t>Insurance expense</t>
        </is>
      </c>
    </row>
    <row r="53">
      <c r="A53" t="inlineStr">
        <is>
          <t>Repairs and maintenance expense</t>
        </is>
      </c>
    </row>
    <row r="54">
      <c r="A54" t="inlineStr">
        <is>
          <t>Printing and stationery expenses</t>
        </is>
      </c>
    </row>
    <row r="55">
      <c r="A55" t="inlineStr">
        <is>
          <t>Professional fees</t>
        </is>
      </c>
    </row>
    <row r="56">
      <c r="A56" t="inlineStr">
        <is>
          <t>Property, plant and equipment written off</t>
        </is>
      </c>
    </row>
    <row r="57">
      <c r="A57" t="inlineStr">
        <is>
          <t>Rental expense</t>
        </is>
      </c>
    </row>
    <row r="58">
      <c r="A58" t="inlineStr">
        <is>
          <t>Scholarship awards</t>
        </is>
      </c>
    </row>
    <row r="59">
      <c r="A59" t="inlineStr">
        <is>
          <t>Security service expenses</t>
        </is>
      </c>
    </row>
    <row r="60">
      <c r="A60" t="inlineStr">
        <is>
          <t>Telephone expenses</t>
        </is>
      </c>
    </row>
    <row r="61">
      <c r="A61" t="inlineStr">
        <is>
          <t>Travelling expenses</t>
        </is>
      </c>
    </row>
    <row r="62">
      <c r="A62" t="inlineStr">
        <is>
          <t>Water and electricity expenses</t>
        </is>
      </c>
    </row>
    <row r="63">
      <c r="A63" t="inlineStr">
        <is>
          <t>Disbursement and service tax</t>
        </is>
      </c>
    </row>
    <row r="64">
      <c r="A64" t="inlineStr">
        <is>
          <t>Handling and custody fees</t>
        </is>
      </c>
    </row>
    <row r="65">
      <c r="A65" t="inlineStr">
        <is>
          <t>Management fees</t>
        </is>
      </c>
    </row>
    <row r="66">
      <c r="A66" s="1" t="inlineStr">
        <is>
          <t>Director's remuneration</t>
        </is>
      </c>
    </row>
    <row r="67">
      <c r="A67" t="inlineStr">
        <is>
          <t>Salaries and other emoluments</t>
        </is>
      </c>
    </row>
    <row r="68">
      <c r="A68" t="inlineStr">
        <is>
          <t>Bonus</t>
        </is>
      </c>
    </row>
    <row r="69">
      <c r="A69" t="inlineStr">
        <is>
          <t>Benefits-in-kind</t>
        </is>
      </c>
    </row>
    <row r="70">
      <c r="A70" t="inlineStr">
        <is>
          <t>Fees</t>
        </is>
      </c>
    </row>
    <row r="71">
      <c r="A71" t="inlineStr">
        <is>
          <t>Performance incentives</t>
        </is>
      </c>
    </row>
    <row r="72">
      <c r="A72" t="inlineStr">
        <is>
          <t>Defined benefit plans</t>
        </is>
      </c>
    </row>
    <row r="73">
      <c r="A73" t="inlineStr">
        <is>
          <t>Defined contribution plans</t>
        </is>
      </c>
    </row>
    <row r="74">
      <c r="A74" t="inlineStr">
        <is>
          <t>Other emoluments</t>
        </is>
      </c>
    </row>
    <row r="75">
      <c r="A75" s="2" t="inlineStr">
        <is>
          <t>*Total Director's remuneration</t>
        </is>
      </c>
      <c r="B75">
        <f>1*B67+1*B68+1*B69+1*B70+1*B71+1*B72+1*B73+1*B74</f>
        <v/>
      </c>
      <c r="C75">
        <f>1*C67+1*C68+1*C69+1*C70+1*C71+1*C72+1*C73+1*C74</f>
        <v/>
      </c>
    </row>
    <row r="76">
      <c r="A76" t="inlineStr">
        <is>
          <t>Other miscellaneous expenses</t>
        </is>
      </c>
    </row>
    <row r="77">
      <c r="A77" s="2" t="inlineStr">
        <is>
          <t>*Total other expenses</t>
        </is>
      </c>
      <c r="B77">
        <f>1*B43+1*B44+1*B45+1*B46+1*B47+1*B48+1*B49+1*B50+1*B51+1*B52+1*B53+1*B54+1*B55+1*B56+1*B57+1*B58+1*B59+1*B60+1*B61+1*B62+1*B63+1*B64+1*B65+1*B75+1*B76</f>
        <v/>
      </c>
      <c r="C77">
        <f>1*C43+1*C44+1*C45+1*C46+1*C47+1*C48+1*C49+1*C50+1*C51+1*C52+1*C53+1*C54+1*C55+1*C56+1*C57+1*C58+1*C59+1*C60+1*C61+1*C62+1*C63+1*C64+1*C65+1*C75+1*C76</f>
        <v/>
      </c>
    </row>
    <row r="78">
      <c r="A78" s="1" t="inlineStr">
        <is>
          <t>Finance income</t>
        </is>
      </c>
    </row>
    <row r="79">
      <c r="A79" t="inlineStr">
        <is>
          <t>Finance income due from related parties</t>
        </is>
      </c>
    </row>
    <row r="80">
      <c r="A80" t="inlineStr">
        <is>
          <t>Interest from trust account</t>
        </is>
      </c>
    </row>
    <row r="81">
      <c r="A81" t="inlineStr">
        <is>
          <t>Other finance income</t>
        </is>
      </c>
    </row>
    <row r="82">
      <c r="A82" s="2" t="inlineStr">
        <is>
          <t>*Total finance income</t>
        </is>
      </c>
      <c r="B82">
        <f>1*B79+1*B80+1*B81</f>
        <v/>
      </c>
      <c r="C82">
        <f>1*C79+1*C80+1*C81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2026-10-03T05:26:48Z</dcterms:created>
  <dcterms:modified xsi:type="dcterms:W3CDTF">2026-10-03T05:26:48Z</dcterms:modified>
</cp:coreProperties>
</file>