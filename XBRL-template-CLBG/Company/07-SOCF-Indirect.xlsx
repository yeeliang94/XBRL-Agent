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F-Indir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s="1" t="inlineStr">
        <is>
          <t>Disclosure on statement of cash flows</t>
        </is>
      </c>
    </row>
    <row r="4">
      <c r="A4" s="1" t="inlineStr">
        <is>
          <t>Statement of cash flows</t>
        </is>
      </c>
    </row>
    <row r="5">
      <c r="A5" s="1" t="inlineStr">
        <is>
          <t>Statement of cash flows</t>
        </is>
      </c>
    </row>
    <row r="6">
      <c r="A6" s="1" t="inlineStr">
        <is>
          <t>Cash flows from operating activities</t>
        </is>
      </c>
    </row>
    <row r="7">
      <c r="A7" t="inlineStr">
        <is>
          <t>Surplus (deficit) of income over expenditure before taxation</t>
        </is>
      </c>
    </row>
    <row r="8">
      <c r="A8" s="2" t="inlineStr">
        <is>
          <t>*Total surplus (deficit) before tax</t>
        </is>
      </c>
      <c r="B8">
        <f>1*B7</f>
        <v/>
      </c>
      <c r="C8">
        <f>1*C7</f>
        <v/>
      </c>
    </row>
    <row r="9">
      <c r="A9" s="1" t="inlineStr">
        <is>
          <t>Adjustments to reconcile profit (loss)</t>
        </is>
      </c>
    </row>
    <row r="10">
      <c r="A10" t="inlineStr">
        <is>
          <t>Adjustments for finance costs</t>
        </is>
      </c>
    </row>
    <row r="11">
      <c r="A11" t="inlineStr">
        <is>
          <t>Adjustments for allowance for doubtful debts</t>
        </is>
      </c>
    </row>
    <row r="12">
      <c r="A12" t="inlineStr">
        <is>
          <t>Adjustment for depreciation</t>
        </is>
      </c>
    </row>
    <row r="13">
      <c r="A13" t="inlineStr">
        <is>
          <t>Adjustment for amortisation of intangible assets</t>
        </is>
      </c>
    </row>
    <row r="14">
      <c r="A14" t="inlineStr">
        <is>
          <t>Adjustments for dividend income</t>
        </is>
      </c>
    </row>
    <row r="15">
      <c r="A15" t="inlineStr">
        <is>
          <t>(Gain) loss on disposal of investment properties</t>
        </is>
      </c>
    </row>
    <row r="16">
      <c r="A16" t="inlineStr">
        <is>
          <t>(Gain) loss on disposal of subsidiaries, associates and joint ventures</t>
        </is>
      </c>
    </row>
    <row r="17">
      <c r="A17" t="inlineStr">
        <is>
          <t>Adjustments for interest income</t>
        </is>
      </c>
    </row>
    <row r="18">
      <c r="A18" t="inlineStr">
        <is>
          <t>Write offs of property, plant and equipment</t>
        </is>
      </c>
    </row>
    <row r="19">
      <c r="A19" t="inlineStr">
        <is>
          <t>Amortisation of government grants</t>
        </is>
      </c>
    </row>
    <row r="20">
      <c r="A20" t="inlineStr">
        <is>
          <t>Written off of trade and other receivables</t>
        </is>
      </c>
    </row>
    <row r="21">
      <c r="A21" t="inlineStr">
        <is>
          <t>Other adjustments to reconcile surplus (deficit)</t>
        </is>
      </c>
    </row>
    <row r="22">
      <c r="A22" s="2" t="inlineStr">
        <is>
          <t>*Total adjustments to reconcile surplus (deficit)</t>
        </is>
      </c>
      <c r="B22">
        <f>1*B10+1*B11+1*B12+1*B13+-1*B14+1*B15+-1*B16+-1*B17+1*B19+1*B20+1*B21+1*B18</f>
        <v/>
      </c>
      <c r="C22">
        <f>1*C10+1*C11+1*C12+1*C13+-1*C14+1*C15+-1*C16+-1*C17+1*C19+1*C20+1*C21+1*C18</f>
        <v/>
      </c>
    </row>
    <row r="23">
      <c r="A23" t="inlineStr">
        <is>
          <t>Operating surplus (deficit) before changes in working capital</t>
        </is>
      </c>
    </row>
    <row r="24">
      <c r="A24" s="1" t="inlineStr">
        <is>
          <t>Changes in working capital</t>
        </is>
      </c>
    </row>
    <row r="25">
      <c r="A25" t="inlineStr">
        <is>
          <t>Adjustments for decrease (increase) in inventories</t>
        </is>
      </c>
    </row>
    <row r="26">
      <c r="A26" t="inlineStr">
        <is>
          <t>Adjustments for decrease (increase) in trade and other receivables</t>
        </is>
      </c>
    </row>
    <row r="27">
      <c r="A27" t="inlineStr">
        <is>
          <t>Adjustments for increase (decrease) in trade and other payables</t>
        </is>
      </c>
    </row>
    <row r="28">
      <c r="A28" t="inlineStr">
        <is>
          <t>Adjustments for decrease (increase) in other changes in working capital</t>
        </is>
      </c>
    </row>
    <row r="29">
      <c r="A29" s="2" t="inlineStr">
        <is>
          <t>*Total changes in working capital</t>
        </is>
      </c>
      <c r="B29">
        <f>-1*B25+-1*B26+-1*B27+-1*B28</f>
        <v/>
      </c>
      <c r="C29">
        <f>-1*C25+-1*C26+-1*C27+-1*C28</f>
        <v/>
      </c>
    </row>
    <row r="30">
      <c r="A30" s="2" t="inlineStr">
        <is>
          <t>*Cash generated from (used in) operations</t>
        </is>
      </c>
      <c r="B30">
        <f>1*B8+1*B22+1*B23+1*B29</f>
        <v/>
      </c>
      <c r="C30">
        <f>1*C8+1*C22+1*C23+1*C29</f>
        <v/>
      </c>
    </row>
    <row r="31">
      <c r="A31" t="inlineStr">
        <is>
          <t>Dividends received</t>
        </is>
      </c>
    </row>
    <row r="32">
      <c r="A32" t="inlineStr">
        <is>
          <t>Dividends paid</t>
        </is>
      </c>
    </row>
    <row r="33">
      <c r="A33" t="inlineStr">
        <is>
          <t>Interest received</t>
        </is>
      </c>
    </row>
    <row r="34">
      <c r="A34" t="inlineStr">
        <is>
          <t>Interest paid</t>
        </is>
      </c>
    </row>
    <row r="35">
      <c r="A35" t="inlineStr">
        <is>
          <t>Profit sharing from mudharabah accounts received</t>
        </is>
      </c>
    </row>
    <row r="36">
      <c r="A36" t="inlineStr">
        <is>
          <t>Income taxes refund (paid)</t>
        </is>
      </c>
    </row>
    <row r="37">
      <c r="A37" t="inlineStr">
        <is>
          <t>Other cash inflows (outflows) from operating activities</t>
        </is>
      </c>
    </row>
    <row r="38">
      <c r="A38" s="2" t="inlineStr">
        <is>
          <t>*Net cash generated from (used in) operating activities</t>
        </is>
      </c>
      <c r="B38">
        <f>1*B30+1*B33+-1*B34+1*B35+-1*B36+1*B37+1*B31+1*B32</f>
        <v/>
      </c>
      <c r="C38">
        <f>1*C30+1*C33+-1*C34+1*C35+-1*C36+1*C37+1*C31+1*C32</f>
        <v/>
      </c>
    </row>
    <row r="39">
      <c r="A39" s="1" t="inlineStr">
        <is>
          <t>Cash flows from investing activities</t>
        </is>
      </c>
    </row>
    <row r="40">
      <c r="A40" t="inlineStr">
        <is>
          <t>Proceeds from sales of property, plant and equipment</t>
        </is>
      </c>
    </row>
    <row r="41">
      <c r="A41" t="inlineStr">
        <is>
          <t>Purchase of property, plant and equipment</t>
        </is>
      </c>
    </row>
    <row r="42">
      <c r="A42" t="inlineStr">
        <is>
          <t>Purchase of intangible assets</t>
        </is>
      </c>
    </row>
    <row r="43">
      <c r="A43" t="inlineStr">
        <is>
          <t>Proceeds from sale of investment properties</t>
        </is>
      </c>
    </row>
    <row r="44">
      <c r="A44" t="inlineStr">
        <is>
          <t>Purchase of investment properties</t>
        </is>
      </c>
    </row>
    <row r="45">
      <c r="A45" t="inlineStr">
        <is>
          <t>Proceeds from sale of other investment</t>
        </is>
      </c>
    </row>
    <row r="46">
      <c r="A46" t="inlineStr">
        <is>
          <t>Government research grants received</t>
        </is>
      </c>
    </row>
    <row r="47">
      <c r="A47" t="inlineStr">
        <is>
          <t>Proceed from disposal of subsidiary</t>
        </is>
      </c>
    </row>
    <row r="48">
      <c r="A48" t="inlineStr">
        <is>
          <t>Net movement in short-term investments and fixed deposits</t>
        </is>
      </c>
    </row>
    <row r="49">
      <c r="A49" t="inlineStr">
        <is>
          <t>Dividends received</t>
        </is>
      </c>
    </row>
    <row r="50">
      <c r="A50" t="inlineStr">
        <is>
          <t>Interest received</t>
        </is>
      </c>
    </row>
    <row r="51">
      <c r="A51" t="inlineStr">
        <is>
          <t>Other cash inflows (outflows) from investing activities</t>
        </is>
      </c>
    </row>
    <row r="52">
      <c r="A52" s="2" t="inlineStr">
        <is>
          <t>*Net cash (used in) generated from investing activities</t>
        </is>
      </c>
      <c r="B52">
        <f>1*B40+-1*B41+-1*B42+1*B43+-1*B44+1*B45+-1*B46+1*B47+1*B48+1*B49+1*B50+1*B51</f>
        <v/>
      </c>
      <c r="C52">
        <f>1*C40+-1*C41+-1*C42+1*C43+-1*C44+1*C45+-1*C46+1*C47+1*C48+1*C49+1*C50+1*C51</f>
        <v/>
      </c>
    </row>
    <row r="53">
      <c r="A53" s="1" t="inlineStr">
        <is>
          <t>Cash flows from financing activities</t>
        </is>
      </c>
    </row>
    <row r="54">
      <c r="A54" t="inlineStr">
        <is>
          <t>Contribution from government</t>
        </is>
      </c>
    </row>
    <row r="55">
      <c r="A55" t="inlineStr">
        <is>
          <t>Proceeds from issuing debentures, loans, notes, bonds, morgages and other short-term and lond-term borrowings</t>
        </is>
      </c>
    </row>
    <row r="56">
      <c r="A56" t="inlineStr">
        <is>
          <t>Repayments of amounts borrowed</t>
        </is>
      </c>
    </row>
    <row r="57">
      <c r="A57" t="inlineStr">
        <is>
          <t>Withdrawal (Placement) of bank deposits</t>
        </is>
      </c>
    </row>
    <row r="58">
      <c r="A58" t="inlineStr">
        <is>
          <t>Withdrawal (Placement) of securities pledged for borrowings</t>
        </is>
      </c>
    </row>
    <row r="59">
      <c r="A59" t="inlineStr">
        <is>
          <t>Acquisition of non-controlling interests</t>
        </is>
      </c>
    </row>
    <row r="60">
      <c r="A60" t="inlineStr">
        <is>
          <t>Proceeds from issuing shares or other equity instruments</t>
        </is>
      </c>
    </row>
    <row r="61">
      <c r="A61" t="inlineStr">
        <is>
          <t>Proceeds from redeemable non-cumulative preference shares</t>
        </is>
      </c>
    </row>
    <row r="62">
      <c r="A62" t="inlineStr">
        <is>
          <t>Dividends paid</t>
        </is>
      </c>
    </row>
    <row r="63">
      <c r="A63" t="inlineStr">
        <is>
          <t>Interest paid</t>
        </is>
      </c>
    </row>
    <row r="64">
      <c r="A64" t="inlineStr">
        <is>
          <t>Other cash inflows (outflows) from financing activities</t>
        </is>
      </c>
    </row>
    <row r="65">
      <c r="A65" s="2" t="inlineStr">
        <is>
          <t>*Net cash flows from (used in) financing activities</t>
        </is>
      </c>
      <c r="B65">
        <f>-1*B54+1*B55+-1*B56+1*B57+1*B58+-1*B59+1*B60+1*B61+-1*B62+-1*B63+1*B64</f>
        <v/>
      </c>
      <c r="C65">
        <f>-1*C54+1*C55+-1*C56+1*C57+1*C58+-1*C59+1*C60+1*C61+-1*C62+-1*C63+1*C64</f>
        <v/>
      </c>
    </row>
    <row r="66">
      <c r="A66" s="2" t="inlineStr">
        <is>
          <t>*Net increase (decrease) in cash and cash equivalents before effect of exchange rate changes</t>
        </is>
      </c>
      <c r="B66">
        <f>1*B38+1*B52+1*B65</f>
        <v/>
      </c>
      <c r="C66">
        <f>1*C38+1*C52+1*C65</f>
        <v/>
      </c>
    </row>
    <row r="67">
      <c r="A67" t="inlineStr">
        <is>
          <t>Effect of exchange rate changes on cash and cash equivalents</t>
        </is>
      </c>
    </row>
    <row r="68">
      <c r="A68" s="2" t="inlineStr">
        <is>
          <t>*Net increase (decrease) in cash and cash equivalents after effect of exchange rate changes</t>
        </is>
      </c>
      <c r="B68">
        <f>1*B66+1*B67</f>
        <v/>
      </c>
      <c r="C68">
        <f>1*C66+1*C67</f>
        <v/>
      </c>
    </row>
    <row r="69">
      <c r="A69" t="inlineStr">
        <is>
          <t>Cash and cash equivalents at beginning of period</t>
        </is>
      </c>
    </row>
    <row r="70">
      <c r="A70" t="inlineStr">
        <is>
          <t>Cash and cash equivalents at end of period</t>
        </is>
      </c>
    </row>
    <row r="71">
      <c r="A71" s="1" t="inlineStr">
        <is>
          <t>Details of cash flows</t>
        </is>
      </c>
    </row>
    <row r="72">
      <c r="A72" t="inlineStr">
        <is>
          <t>Cash and cash equivalents</t>
        </is>
      </c>
    </row>
    <row r="73">
      <c r="A73" t="inlineStr">
        <is>
          <t>Bank overdraft</t>
        </is>
      </c>
    </row>
    <row r="74">
      <c r="A74" t="inlineStr">
        <is>
          <t>Other adjustments to reconcile cash and cash equivalents</t>
        </is>
      </c>
    </row>
    <row r="75">
      <c r="A75" s="2" t="inlineStr">
        <is>
          <t>*Cash and cash equivalents at end of period</t>
        </is>
      </c>
      <c r="B75">
        <f>1*B72+-1*B73+1*B74</f>
        <v/>
      </c>
      <c r="C75">
        <f>1*C72+-1*C73+1*C74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2026-10-03T05:26:48Z</dcterms:created>
  <dcterms:modified xsi:type="dcterms:W3CDTF">2026-10-03T05:26:48Z</dcterms:modified>
</cp:coreProperties>
</file>