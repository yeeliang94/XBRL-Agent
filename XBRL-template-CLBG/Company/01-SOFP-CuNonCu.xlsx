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P-CuNonCu" sheetId="1" state="visible" r:id="rId1"/>
    <sheet name="SOFP-Sub-CuNonC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statement of financial position</t>
        </is>
      </c>
    </row>
    <row r="4">
      <c r="A4" s="1" t="inlineStr">
        <is>
          <t>Statement of financial position</t>
        </is>
      </c>
    </row>
    <row r="5">
      <c r="A5" s="1" t="inlineStr">
        <is>
          <t>Assets</t>
        </is>
      </c>
    </row>
    <row r="6">
      <c r="A6" s="1" t="inlineStr">
        <is>
          <t>Non-current assets</t>
        </is>
      </c>
    </row>
    <row r="7">
      <c r="A7" t="inlineStr">
        <is>
          <t>Property, plant and equipment</t>
        </is>
      </c>
      <c r="B7">
        <f>'SOFP-Sub-CuNonCu'!B26</f>
        <v/>
      </c>
      <c r="C7">
        <f>'SOFP-Sub-CuNonCu'!C26</f>
        <v/>
      </c>
    </row>
    <row r="8">
      <c r="A8" t="inlineStr">
        <is>
          <t>Investment properties</t>
        </is>
      </c>
      <c r="B8">
        <f>'SOFP-Sub-CuNonCu'!B36</f>
        <v/>
      </c>
      <c r="C8">
        <f>'SOFP-Sub-CuNonCu'!C36</f>
        <v/>
      </c>
    </row>
    <row r="9">
      <c r="A9" t="inlineStr">
        <is>
          <t>Right-of-use assets</t>
        </is>
      </c>
    </row>
    <row r="10">
      <c r="A10" t="inlineStr">
        <is>
          <t>Intangible assets</t>
        </is>
      </c>
      <c r="B10">
        <f>'SOFP-Sub-CuNonCu'!B44</f>
        <v/>
      </c>
      <c r="C10">
        <f>'SOFP-Sub-CuNonCu'!C44</f>
        <v/>
      </c>
    </row>
    <row r="11">
      <c r="A11" t="inlineStr">
        <is>
          <t>Investment in subsidiaries</t>
        </is>
      </c>
      <c r="B11">
        <f>'SOFP-Sub-CuNonCu'!B49</f>
        <v/>
      </c>
      <c r="C11">
        <f>'SOFP-Sub-CuNonCu'!C49</f>
        <v/>
      </c>
    </row>
    <row r="12">
      <c r="A12" t="inlineStr">
        <is>
          <t>Investments in associates</t>
        </is>
      </c>
      <c r="B12">
        <f>'SOFP-Sub-CuNonCu'!B55</f>
        <v/>
      </c>
      <c r="C12">
        <f>'SOFP-Sub-CuNonCu'!C55</f>
        <v/>
      </c>
    </row>
    <row r="13">
      <c r="A13" t="inlineStr">
        <is>
          <t>Investments in joint ventures</t>
        </is>
      </c>
      <c r="B13">
        <f>'SOFP-Sub-CuNonCu'!B62</f>
        <v/>
      </c>
      <c r="C13">
        <f>'SOFP-Sub-CuNonCu'!C62</f>
        <v/>
      </c>
    </row>
    <row r="14">
      <c r="A14" t="inlineStr">
        <is>
          <t>Other investments</t>
        </is>
      </c>
    </row>
    <row r="15">
      <c r="A15" t="inlineStr">
        <is>
          <t>Trade and other non-current receivables</t>
        </is>
      </c>
      <c r="B15">
        <f>'SOFP-Sub-CuNonCu'!B80</f>
        <v/>
      </c>
      <c r="C15">
        <f>'SOFP-Sub-CuNonCu'!C80</f>
        <v/>
      </c>
    </row>
    <row r="16">
      <c r="A16" t="inlineStr">
        <is>
          <t>Contract assets</t>
        </is>
      </c>
    </row>
    <row r="17">
      <c r="A17" t="inlineStr">
        <is>
          <t>Deferred tax assets</t>
        </is>
      </c>
    </row>
    <row r="18">
      <c r="A18" t="inlineStr">
        <is>
          <t>Other non-current assets</t>
        </is>
      </c>
      <c r="B18">
        <f>'SOFP-Sub-CuNonCu'!B85</f>
        <v/>
      </c>
      <c r="C18">
        <f>'SOFP-Sub-CuNonCu'!C85</f>
        <v/>
      </c>
    </row>
    <row r="19">
      <c r="A19" s="2" t="inlineStr">
        <is>
          <t>*Total non-current assets</t>
        </is>
      </c>
      <c r="B19">
        <f>1*B7+1*B8+1*B9+1*B10+1*B11+1*B12+1*B13+1*B14+1*B15+1*B16+1*B17+1*B18</f>
        <v/>
      </c>
      <c r="C19">
        <f>1*C7+1*C8+1*C9+1*C10+1*C11+1*C12+1*C13+1*C14+1*C15+1*C16+1*C17+1*C18</f>
        <v/>
      </c>
    </row>
    <row r="20">
      <c r="A20" s="1" t="inlineStr">
        <is>
          <t>Current assets</t>
        </is>
      </c>
    </row>
    <row r="21">
      <c r="A21" t="inlineStr">
        <is>
          <t>Inventories</t>
        </is>
      </c>
      <c r="B21">
        <f>'SOFP-Sub-CuNonCu'!B92</f>
        <v/>
      </c>
      <c r="C21">
        <f>'SOFP-Sub-CuNonCu'!C92</f>
        <v/>
      </c>
    </row>
    <row r="22">
      <c r="A22" t="inlineStr">
        <is>
          <t>Other investments</t>
        </is>
      </c>
    </row>
    <row r="23">
      <c r="A23" t="inlineStr">
        <is>
          <t>Current tax assets</t>
        </is>
      </c>
    </row>
    <row r="24">
      <c r="A24" t="inlineStr">
        <is>
          <t>Trade and other current receivables</t>
        </is>
      </c>
      <c r="B24">
        <f>'SOFP-Sub-CuNonCu'!B117</f>
        <v/>
      </c>
      <c r="C24">
        <f>'SOFP-Sub-CuNonCu'!C117</f>
        <v/>
      </c>
    </row>
    <row r="25">
      <c r="A25" t="inlineStr">
        <is>
          <t>Contract assets</t>
        </is>
      </c>
    </row>
    <row r="26">
      <c r="A26" t="inlineStr">
        <is>
          <t>Cash and cash equivalents</t>
        </is>
      </c>
      <c r="B26">
        <f>'SOFP-Sub-CuNonCu'!B131</f>
        <v/>
      </c>
      <c r="C26">
        <f>'SOFP-Sub-CuNonCu'!C131</f>
        <v/>
      </c>
    </row>
    <row r="27">
      <c r="A27" t="inlineStr">
        <is>
          <t>Other current assets</t>
        </is>
      </c>
    </row>
    <row r="28">
      <c r="A28" t="inlineStr">
        <is>
          <t>Total current assets other than assets held for sale</t>
        </is>
      </c>
    </row>
    <row r="29">
      <c r="A29" t="inlineStr">
        <is>
          <t>Assets or disposal group classified as held for sale or as held for distribution to owners</t>
        </is>
      </c>
    </row>
    <row r="30">
      <c r="A30" s="2" t="inlineStr">
        <is>
          <t>*Total current assets</t>
        </is>
      </c>
      <c r="B30">
        <f>1*B21+1*B22+1*B23+1*B24+1*B25+1*B26+1*B27+1*B28+1*B29</f>
        <v/>
      </c>
      <c r="C30">
        <f>1*C21+1*C22+1*C23+1*C24+1*C25+1*C26+1*C27+1*C28+1*C29</f>
        <v/>
      </c>
    </row>
    <row r="31">
      <c r="A31" s="2" t="inlineStr">
        <is>
          <t>*Total assets</t>
        </is>
      </c>
      <c r="B31">
        <f>1*B19+1*B30</f>
        <v/>
      </c>
      <c r="C31">
        <f>1*C19+1*C30</f>
        <v/>
      </c>
    </row>
    <row r="32">
      <c r="A32" s="1" t="inlineStr">
        <is>
          <t>Fund/Equity and Liabilities</t>
        </is>
      </c>
    </row>
    <row r="33">
      <c r="A33" s="1" t="inlineStr">
        <is>
          <t>Fund/Equity and reserves</t>
        </is>
      </c>
    </row>
    <row r="34">
      <c r="A34" t="inlineStr">
        <is>
          <t>Accumulated funds (deficit)</t>
        </is>
      </c>
    </row>
    <row r="35">
      <c r="A35" t="inlineStr">
        <is>
          <t>Contribution from members</t>
        </is>
      </c>
    </row>
    <row r="36">
      <c r="A36" t="inlineStr">
        <is>
          <t>Reserves</t>
        </is>
      </c>
      <c r="B36">
        <f>'SOFP-Sub-CuNonCu'!B143</f>
        <v/>
      </c>
      <c r="C36">
        <f>'SOFP-Sub-CuNonCu'!C143</f>
        <v/>
      </c>
    </row>
    <row r="37">
      <c r="A37" s="2" t="inlineStr">
        <is>
          <t>*Total fund/equity and reserves attributable to owners</t>
        </is>
      </c>
      <c r="B37">
        <f>1*B34+1*B35+1*B36</f>
        <v/>
      </c>
      <c r="C37">
        <f>1*C34+1*C35+1*C36</f>
        <v/>
      </c>
    </row>
    <row r="38">
      <c r="A38" t="inlineStr">
        <is>
          <t>Non-controlling interests</t>
        </is>
      </c>
    </row>
    <row r="39">
      <c r="A39" s="2" t="inlineStr">
        <is>
          <t>*Total fund/equity and reserve</t>
        </is>
      </c>
      <c r="B39">
        <f>1*B37+1*B38</f>
        <v/>
      </c>
      <c r="C39">
        <f>1*C37+1*C38</f>
        <v/>
      </c>
    </row>
    <row r="40">
      <c r="A40" s="1" t="inlineStr">
        <is>
          <t>Liabilities</t>
        </is>
      </c>
    </row>
    <row r="41">
      <c r="A41" s="1" t="inlineStr">
        <is>
          <t>Non-current liabilities</t>
        </is>
      </c>
    </row>
    <row r="42">
      <c r="A42" t="inlineStr">
        <is>
          <t>Borrowings</t>
        </is>
      </c>
      <c r="B42">
        <f>'SOFP-Sub-CuNonCu'!B158</f>
        <v/>
      </c>
      <c r="C42">
        <f>'SOFP-Sub-CuNonCu'!C158</f>
        <v/>
      </c>
    </row>
    <row r="43">
      <c r="A43" t="inlineStr">
        <is>
          <t>Lease liabilities</t>
        </is>
      </c>
    </row>
    <row r="44">
      <c r="A44" t="inlineStr">
        <is>
          <t>Employee benefit liabilities</t>
        </is>
      </c>
    </row>
    <row r="45">
      <c r="A45" t="inlineStr">
        <is>
          <t>Provisions</t>
        </is>
      </c>
    </row>
    <row r="46">
      <c r="A46" t="inlineStr">
        <is>
          <t>Trade and other non-current payables</t>
        </is>
      </c>
      <c r="B46">
        <f>'SOFP-Sub-CuNonCu'!B177</f>
        <v/>
      </c>
      <c r="C46">
        <f>'SOFP-Sub-CuNonCu'!C177</f>
        <v/>
      </c>
    </row>
    <row r="47">
      <c r="A47" t="inlineStr">
        <is>
          <t>Contract liabilities</t>
        </is>
      </c>
    </row>
    <row r="48">
      <c r="A48" t="inlineStr">
        <is>
          <t>Deferred tax liabilities</t>
        </is>
      </c>
    </row>
    <row r="49">
      <c r="A49" t="inlineStr">
        <is>
          <t>Other non-current liabilities</t>
        </is>
      </c>
    </row>
    <row r="50">
      <c r="A50" s="2" t="inlineStr">
        <is>
          <t>*Total non-current liabilities</t>
        </is>
      </c>
      <c r="B50">
        <f>1*B42+1*B43+1*B44+1*B45+1*B46+1*B47+1*B48+1*B49</f>
        <v/>
      </c>
      <c r="C50">
        <f>1*C42+1*C43+1*C44+1*C45+1*C46+1*C47+1*C48+1*C49</f>
        <v/>
      </c>
    </row>
    <row r="51">
      <c r="A51" s="1" t="inlineStr">
        <is>
          <t>Current liabilities</t>
        </is>
      </c>
    </row>
    <row r="52">
      <c r="A52" t="inlineStr">
        <is>
          <t>Borrowings</t>
        </is>
      </c>
      <c r="B52">
        <f>'SOFP-Sub-CuNonCu'!B192</f>
        <v/>
      </c>
      <c r="C52">
        <f>'SOFP-Sub-CuNonCu'!C192</f>
        <v/>
      </c>
    </row>
    <row r="53">
      <c r="A53" t="inlineStr">
        <is>
          <t>Lease liabilities</t>
        </is>
      </c>
    </row>
    <row r="54">
      <c r="A54" t="inlineStr">
        <is>
          <t>Employee benefit liabilities</t>
        </is>
      </c>
    </row>
    <row r="55">
      <c r="A55" t="inlineStr">
        <is>
          <t>Provisions</t>
        </is>
      </c>
    </row>
    <row r="56">
      <c r="A56" t="inlineStr">
        <is>
          <t>Current tax liabilities</t>
        </is>
      </c>
    </row>
    <row r="57">
      <c r="A57" t="inlineStr">
        <is>
          <t>Trade and other current payables</t>
        </is>
      </c>
      <c r="B57">
        <f>'SOFP-Sub-CuNonCu'!B212</f>
        <v/>
      </c>
      <c r="C57">
        <f>'SOFP-Sub-CuNonCu'!C212</f>
        <v/>
      </c>
    </row>
    <row r="58">
      <c r="A58" t="inlineStr">
        <is>
          <t>Contract liabilities</t>
        </is>
      </c>
    </row>
    <row r="59">
      <c r="A59" t="inlineStr">
        <is>
          <t>Other current liabilities</t>
        </is>
      </c>
    </row>
    <row r="60">
      <c r="A60" s="2" t="inlineStr">
        <is>
          <t>*Total current liabilities other than liabilities held for sale</t>
        </is>
      </c>
      <c r="B60">
        <f>1*B52+1*B53+1*B54+1*B55+1*B56+1*B57+1*B58+1*B59</f>
        <v/>
      </c>
      <c r="C60">
        <f>1*C52+1*C53+1*C54+1*C55+1*C56+1*C57+1*C58+1*C59</f>
        <v/>
      </c>
    </row>
    <row r="61">
      <c r="A61" t="inlineStr">
        <is>
          <t>Liabilities included in disposal groups classified as held for sale</t>
        </is>
      </c>
    </row>
    <row r="62">
      <c r="A62" s="2" t="inlineStr">
        <is>
          <t>*Total current liabilities</t>
        </is>
      </c>
      <c r="B62">
        <f>1*B60+1*B61</f>
        <v/>
      </c>
      <c r="C62">
        <f>1*C60+1*C61</f>
        <v/>
      </c>
    </row>
    <row r="63">
      <c r="A63" s="2" t="inlineStr">
        <is>
          <t>*Total liabilities</t>
        </is>
      </c>
      <c r="B63">
        <f>1*B50+1*B62</f>
        <v/>
      </c>
      <c r="C63">
        <f>1*C50+1*C62</f>
        <v/>
      </c>
    </row>
    <row r="64">
      <c r="A64" s="2" t="inlineStr">
        <is>
          <t>*Total fund/equity and liabilities</t>
        </is>
      </c>
      <c r="B64">
        <f>1*B39+1*B63</f>
        <v/>
      </c>
      <c r="C64">
        <f>1*C39+1*C63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sub-classification of assets, liabilities and equity</t>
        </is>
      </c>
    </row>
    <row r="4">
      <c r="A4" s="1" t="inlineStr">
        <is>
          <t>Statement on sub-classification of assets, liabilities and equity</t>
        </is>
      </c>
    </row>
    <row r="5">
      <c r="A5" s="1" t="inlineStr">
        <is>
          <t>Sub-classification of assets, liabilities and equity</t>
        </is>
      </c>
    </row>
    <row r="6">
      <c r="A6" s="1" t="inlineStr">
        <is>
          <t>Property, plant and equipment</t>
        </is>
      </c>
    </row>
    <row r="7">
      <c r="A7" s="1" t="inlineStr">
        <is>
          <t>Land and buildings</t>
        </is>
      </c>
    </row>
    <row r="8">
      <c r="A8" s="1" t="inlineStr">
        <is>
          <t>Land</t>
        </is>
      </c>
    </row>
    <row r="9">
      <c r="A9" t="inlineStr">
        <is>
          <t>Freehold land</t>
        </is>
      </c>
    </row>
    <row r="10">
      <c r="A10" t="inlineStr">
        <is>
          <t>Long term leasehold land</t>
        </is>
      </c>
    </row>
    <row r="11">
      <c r="A11" t="inlineStr">
        <is>
          <t>Short term leasehold land</t>
        </is>
      </c>
    </row>
    <row r="12">
      <c r="A12" s="2" t="inlineStr">
        <is>
          <t>*Total land</t>
        </is>
      </c>
      <c r="B12">
        <f>1*B9+1*B10+1*B11</f>
        <v/>
      </c>
      <c r="C12">
        <f>1*C9+1*C10+1*C11</f>
        <v/>
      </c>
    </row>
    <row r="13">
      <c r="A13" s="1" t="inlineStr">
        <is>
          <t>Buildings</t>
        </is>
      </c>
    </row>
    <row r="14">
      <c r="A14" t="inlineStr">
        <is>
          <t>Building on freehold land</t>
        </is>
      </c>
    </row>
    <row r="15">
      <c r="A15" t="inlineStr">
        <is>
          <t>Building on long term leasehold land</t>
        </is>
      </c>
    </row>
    <row r="16">
      <c r="A16" t="inlineStr">
        <is>
          <t>Building on short term leasehold land</t>
        </is>
      </c>
    </row>
    <row r="17">
      <c r="A17" t="inlineStr">
        <is>
          <t>Leased properties</t>
        </is>
      </c>
    </row>
    <row r="18">
      <c r="A18" s="2" t="inlineStr">
        <is>
          <t>*Total buildings</t>
        </is>
      </c>
      <c r="B18">
        <f>1*B14+1*B15+1*B16+1*B17</f>
        <v/>
      </c>
      <c r="C18">
        <f>1*C14+1*C15+1*C16+1*C17</f>
        <v/>
      </c>
    </row>
    <row r="19">
      <c r="A19" s="2" t="inlineStr">
        <is>
          <t>*Total land and buildings</t>
        </is>
      </c>
      <c r="B19">
        <f>1*B12+1*B18</f>
        <v/>
      </c>
      <c r="C19">
        <f>1*C12+1*C18</f>
        <v/>
      </c>
    </row>
    <row r="20">
      <c r="A20" t="inlineStr">
        <is>
          <t>Vehicles</t>
        </is>
      </c>
    </row>
    <row r="21">
      <c r="A21" t="inlineStr">
        <is>
          <t>Plant and equipment</t>
        </is>
      </c>
    </row>
    <row r="22">
      <c r="A22" t="inlineStr">
        <is>
          <t>Office equipment, fixture and fittings</t>
        </is>
      </c>
    </row>
    <row r="23">
      <c r="A23" t="inlineStr">
        <is>
          <t>Computer software and hardware</t>
        </is>
      </c>
    </row>
    <row r="24">
      <c r="A24" t="inlineStr">
        <is>
          <t>Construction in progress/Asset work-in progress</t>
        </is>
      </c>
    </row>
    <row r="25">
      <c r="A25" t="inlineStr">
        <is>
          <t>Other property, plant and equipment</t>
        </is>
      </c>
    </row>
    <row r="26">
      <c r="A26" s="2" t="inlineStr">
        <is>
          <t>*Total property, plant and equipment</t>
        </is>
      </c>
      <c r="B26">
        <f>1*B19+1*B20+1*B21+1*B22+1*B23+1*B24+1*B25</f>
        <v/>
      </c>
      <c r="C26">
        <f>1*C19+1*C20+1*C21+1*C22+1*C23+1*C24+1*C25</f>
        <v/>
      </c>
    </row>
    <row r="27">
      <c r="A27" s="1" t="inlineStr">
        <is>
          <t>Investment property</t>
        </is>
      </c>
    </row>
    <row r="28">
      <c r="A28" s="1" t="inlineStr">
        <is>
          <t>Investment properties completed, at carrying value</t>
        </is>
      </c>
    </row>
    <row r="29">
      <c r="A29" t="inlineStr">
        <is>
          <t>Freehold land and building</t>
        </is>
      </c>
    </row>
    <row r="30">
      <c r="A30" t="inlineStr">
        <is>
          <t>Leasehold land and building</t>
        </is>
      </c>
    </row>
    <row r="31">
      <c r="A31" s="2" t="inlineStr">
        <is>
          <t>*Total investment properties completed, at carrying value</t>
        </is>
      </c>
      <c r="B31">
        <f>1*B29+1*B30</f>
        <v/>
      </c>
      <c r="C31">
        <f>1*C29+1*C30</f>
        <v/>
      </c>
    </row>
    <row r="32">
      <c r="A32" s="1" t="inlineStr">
        <is>
          <t>Investment properties under construction or development, at cost</t>
        </is>
      </c>
    </row>
    <row r="33">
      <c r="A33" t="inlineStr">
        <is>
          <t>Building under construction</t>
        </is>
      </c>
    </row>
    <row r="34">
      <c r="A34" s="2" t="inlineStr">
        <is>
          <t>*Total investment properties under construction or development, at cost</t>
        </is>
      </c>
      <c r="B34">
        <f>1*B33</f>
        <v/>
      </c>
      <c r="C34">
        <f>1*C33</f>
        <v/>
      </c>
    </row>
    <row r="35">
      <c r="A35" t="inlineStr">
        <is>
          <t>Other investment property</t>
        </is>
      </c>
    </row>
    <row r="36">
      <c r="A36" s="2" t="inlineStr">
        <is>
          <t>*Total investment properties</t>
        </is>
      </c>
      <c r="B36">
        <f>1*B31+1*B34+1*B35</f>
        <v/>
      </c>
      <c r="C36">
        <f>1*C31+1*C34+1*C35</f>
        <v/>
      </c>
    </row>
    <row r="37">
      <c r="A37" s="1" t="inlineStr">
        <is>
          <t>Intangible assets and goodwill</t>
        </is>
      </c>
    </row>
    <row r="38">
      <c r="A38" s="1" t="inlineStr">
        <is>
          <t>Intangible assets other than goodwill</t>
        </is>
      </c>
    </row>
    <row r="39">
      <c r="A39" t="inlineStr">
        <is>
          <t>Copyrights, patents and other industrial property rights, service and operating rights</t>
        </is>
      </c>
    </row>
    <row r="40">
      <c r="A40" t="inlineStr">
        <is>
          <t>Computer software</t>
        </is>
      </c>
    </row>
    <row r="41">
      <c r="A41" t="inlineStr">
        <is>
          <t>Other intangible assets</t>
        </is>
      </c>
    </row>
    <row r="42">
      <c r="A42" s="2" t="inlineStr">
        <is>
          <t>*Total intangible assets other than goodwill</t>
        </is>
      </c>
      <c r="B42">
        <f>1*B39+1*B40+1*B41</f>
        <v/>
      </c>
      <c r="C42">
        <f>1*C39+1*C40+1*C41</f>
        <v/>
      </c>
    </row>
    <row r="43">
      <c r="A43" t="inlineStr">
        <is>
          <t>Goodwill</t>
        </is>
      </c>
    </row>
    <row r="44">
      <c r="A44" s="2" t="inlineStr">
        <is>
          <t>*Total intangible assets and goodwill</t>
        </is>
      </c>
      <c r="B44">
        <f>1*B42+1*B43</f>
        <v/>
      </c>
      <c r="C44">
        <f>1*C42+1*C43</f>
        <v/>
      </c>
    </row>
    <row r="45">
      <c r="A45" s="1" t="inlineStr">
        <is>
          <t>Investments in subsidiaries</t>
        </is>
      </c>
    </row>
    <row r="46">
      <c r="A46" t="inlineStr">
        <is>
          <t>Unquoted shares, net of impairment losses</t>
        </is>
      </c>
    </row>
    <row r="47">
      <c r="A47" t="inlineStr">
        <is>
          <t>Quoted shares</t>
        </is>
      </c>
    </row>
    <row r="48">
      <c r="A48" t="inlineStr">
        <is>
          <t>Other investments in subsidiaries</t>
        </is>
      </c>
    </row>
    <row r="49">
      <c r="A49" s="2" t="inlineStr">
        <is>
          <t>*Total investments in subsidiaries</t>
        </is>
      </c>
      <c r="B49">
        <f>1*B46+1*B47+1*B48</f>
        <v/>
      </c>
      <c r="C49">
        <f>1*C46+1*C47+1*C48</f>
        <v/>
      </c>
    </row>
    <row r="50">
      <c r="A50" s="1" t="inlineStr">
        <is>
          <t>Investments in associates</t>
        </is>
      </c>
    </row>
    <row r="51">
      <c r="A51" t="inlineStr">
        <is>
          <t>Unquoted shares, net of impairment losses</t>
        </is>
      </c>
    </row>
    <row r="52">
      <c r="A52" t="inlineStr">
        <is>
          <t>Quoted shares</t>
        </is>
      </c>
    </row>
    <row r="53">
      <c r="A53" t="inlineStr">
        <is>
          <t>Share of post-acquisition profits and reserves</t>
        </is>
      </c>
    </row>
    <row r="54">
      <c r="A54" t="inlineStr">
        <is>
          <t>Other investments in associates</t>
        </is>
      </c>
    </row>
    <row r="55">
      <c r="A55" s="2" t="inlineStr">
        <is>
          <t>*Total investments in associates</t>
        </is>
      </c>
      <c r="B55">
        <f>1*B51+1*B52+1*B53+1*B54</f>
        <v/>
      </c>
      <c r="C55">
        <f>1*C51+1*C52+1*C53+1*C54</f>
        <v/>
      </c>
    </row>
    <row r="56">
      <c r="A56" s="1" t="inlineStr">
        <is>
          <t>Investments in joint ventures</t>
        </is>
      </c>
    </row>
    <row r="57">
      <c r="A57" t="inlineStr">
        <is>
          <t>Unquoted shares, net of impairment losses</t>
        </is>
      </c>
    </row>
    <row r="58">
      <c r="A58" t="inlineStr">
        <is>
          <t>Quoted shares</t>
        </is>
      </c>
    </row>
    <row r="59">
      <c r="A59" t="inlineStr">
        <is>
          <t>Share of post-acquisition profits and reserves</t>
        </is>
      </c>
    </row>
    <row r="60">
      <c r="A60" t="inlineStr">
        <is>
          <t>Unrealised profit on transactions with joint ventures</t>
        </is>
      </c>
    </row>
    <row r="61">
      <c r="A61" t="inlineStr">
        <is>
          <t>Other investments in joint ventures</t>
        </is>
      </c>
    </row>
    <row r="62">
      <c r="A62" s="2" t="inlineStr">
        <is>
          <t>*Total investments in joint ventures</t>
        </is>
      </c>
      <c r="B62">
        <f>1*B57+1*B58+1*B59+1*B60+1*B61</f>
        <v/>
      </c>
      <c r="C62">
        <f>1*C57+1*C58+1*C59+1*C60+1*C61</f>
        <v/>
      </c>
    </row>
    <row r="63">
      <c r="A63" s="1" t="inlineStr">
        <is>
          <t>Trade and other non-current receivables</t>
        </is>
      </c>
    </row>
    <row r="64">
      <c r="A64" s="1" t="inlineStr">
        <is>
          <t>Non-current trade receivables</t>
        </is>
      </c>
    </row>
    <row r="65">
      <c r="A65" t="inlineStr">
        <is>
          <t>Trade receivables</t>
        </is>
      </c>
    </row>
    <row r="66">
      <c r="A66" t="inlineStr">
        <is>
          <t>Trade receivables due from related parties</t>
        </is>
      </c>
    </row>
    <row r="67">
      <c r="A67" t="inlineStr">
        <is>
          <t>Other non-current trade receivables</t>
        </is>
      </c>
    </row>
    <row r="68">
      <c r="A68" s="2" t="inlineStr">
        <is>
          <t>*Total non-current trade receivables</t>
        </is>
      </c>
      <c r="B68">
        <f>1*B65+1*B66+1*B67</f>
        <v/>
      </c>
      <c r="C68">
        <f>1*C65+1*C66+1*C67</f>
        <v/>
      </c>
    </row>
    <row r="69">
      <c r="A69" s="1" t="inlineStr">
        <is>
          <t>Other non-current receivables</t>
        </is>
      </c>
    </row>
    <row r="70">
      <c r="A70" s="1" t="inlineStr">
        <is>
          <t>Other non-current receivables due from related parties</t>
        </is>
      </c>
    </row>
    <row r="71">
      <c r="A71" t="inlineStr">
        <is>
          <t>Other receivables due from related parties</t>
        </is>
      </c>
    </row>
    <row r="72">
      <c r="A72" t="inlineStr">
        <is>
          <t>Other receivables due from trustees</t>
        </is>
      </c>
    </row>
    <row r="73">
      <c r="A73" s="2" t="inlineStr">
        <is>
          <t>*Total other non-current receivables due from related parties</t>
        </is>
      </c>
      <c r="B73">
        <f>1*B71+1*B72</f>
        <v/>
      </c>
      <c r="C73">
        <f>1*C71+1*C72</f>
        <v/>
      </c>
    </row>
    <row r="74">
      <c r="A74" s="1" t="inlineStr">
        <is>
          <t>Other non-current non-trade receivables</t>
        </is>
      </c>
    </row>
    <row r="75">
      <c r="A75" t="inlineStr">
        <is>
          <t>Accrued income</t>
        </is>
      </c>
    </row>
    <row r="76">
      <c r="A76" t="inlineStr">
        <is>
          <t>Lease and hire purchase receivables</t>
        </is>
      </c>
    </row>
    <row r="77">
      <c r="A77" t="inlineStr">
        <is>
          <t>Miscellaneous other non-current non-trade receivables</t>
        </is>
      </c>
    </row>
    <row r="78">
      <c r="A78" s="2" t="inlineStr">
        <is>
          <t>*Total other non-current non-trade receivables</t>
        </is>
      </c>
      <c r="B78">
        <f>1*B75+1*B76+1*B77</f>
        <v/>
      </c>
      <c r="C78">
        <f>1*C75+1*C76+1*C77</f>
        <v/>
      </c>
    </row>
    <row r="79">
      <c r="A79" s="2" t="inlineStr">
        <is>
          <t>*Total other non-current receivables</t>
        </is>
      </c>
      <c r="B79">
        <f>1*B73+1*B78</f>
        <v/>
      </c>
      <c r="C79">
        <f>1*C73+1*C78</f>
        <v/>
      </c>
    </row>
    <row r="80">
      <c r="A80" s="2" t="inlineStr">
        <is>
          <t>*Total trade and other non-current receivables</t>
        </is>
      </c>
      <c r="B80">
        <f>1*B68+1*B79</f>
        <v/>
      </c>
      <c r="C80">
        <f>1*C68+1*C79</f>
        <v/>
      </c>
    </row>
    <row r="81">
      <c r="A81" s="1" t="inlineStr">
        <is>
          <t>Other non-current assets</t>
        </is>
      </c>
    </row>
    <row r="82">
      <c r="A82" t="inlineStr">
        <is>
          <t>Prepaid rental of buildings and facilities</t>
        </is>
      </c>
    </row>
    <row r="83">
      <c r="A83" t="inlineStr">
        <is>
          <t>Prepaid land lease</t>
        </is>
      </c>
    </row>
    <row r="84">
      <c r="A84" t="inlineStr">
        <is>
          <t>Other non-current assets</t>
        </is>
      </c>
    </row>
    <row r="85">
      <c r="A85" s="2" t="inlineStr">
        <is>
          <t>*Total other non-current assets</t>
        </is>
      </c>
      <c r="B85">
        <f>1*B82+1*B83+1*B84</f>
        <v/>
      </c>
      <c r="C85">
        <f>1*C82+1*C83+1*C84</f>
        <v/>
      </c>
    </row>
    <row r="86">
      <c r="A86" s="1" t="inlineStr">
        <is>
          <t>Inventories</t>
        </is>
      </c>
    </row>
    <row r="87">
      <c r="A87" t="inlineStr">
        <is>
          <t>Raw materials</t>
        </is>
      </c>
    </row>
    <row r="88">
      <c r="A88" t="inlineStr">
        <is>
          <t>Work in progress</t>
        </is>
      </c>
    </row>
    <row r="89">
      <c r="A89" t="inlineStr">
        <is>
          <t>Finished goods</t>
        </is>
      </c>
    </row>
    <row r="90">
      <c r="A90" t="inlineStr">
        <is>
          <t>Spare parts</t>
        </is>
      </c>
    </row>
    <row r="91">
      <c r="A91" t="inlineStr">
        <is>
          <t>Other inventories</t>
        </is>
      </c>
    </row>
    <row r="92">
      <c r="A92" s="2" t="inlineStr">
        <is>
          <t>*Total inventories</t>
        </is>
      </c>
      <c r="B92">
        <f>1*B87+1*B88+1*B89+1*B90+1*B91</f>
        <v/>
      </c>
      <c r="C92">
        <f>1*C87+1*C88+1*C89+1*C90+1*C91</f>
        <v/>
      </c>
    </row>
    <row r="93">
      <c r="A93" s="1" t="inlineStr">
        <is>
          <t>Trade and other current receivables</t>
        </is>
      </c>
    </row>
    <row r="94">
      <c r="A94" s="1" t="inlineStr">
        <is>
          <t>Current trade receivables</t>
        </is>
      </c>
    </row>
    <row r="95">
      <c r="A95" t="inlineStr">
        <is>
          <t>Trade receivables</t>
        </is>
      </c>
    </row>
    <row r="96">
      <c r="A96" t="inlineStr">
        <is>
          <t>Trade receivables due from related parties</t>
        </is>
      </c>
    </row>
    <row r="97">
      <c r="A97" t="inlineStr">
        <is>
          <t>Other current trade receivables</t>
        </is>
      </c>
    </row>
    <row r="98">
      <c r="A98" s="2" t="inlineStr">
        <is>
          <t>*Total current trade receivables</t>
        </is>
      </c>
      <c r="B98">
        <f>1*B95+1*B96+1*B97</f>
        <v/>
      </c>
      <c r="C98">
        <f>1*C95+1*C96+1*C97</f>
        <v/>
      </c>
    </row>
    <row r="99">
      <c r="A99" s="1" t="inlineStr">
        <is>
          <t>Other current receivables</t>
        </is>
      </c>
    </row>
    <row r="100">
      <c r="A100" s="1" t="inlineStr">
        <is>
          <t>Current other receivables due from related parties</t>
        </is>
      </c>
    </row>
    <row r="101">
      <c r="A101" t="inlineStr">
        <is>
          <t>Other receivables due from related parties</t>
        </is>
      </c>
    </row>
    <row r="102">
      <c r="A102" t="inlineStr">
        <is>
          <t>Other receivables due from trustees</t>
        </is>
      </c>
    </row>
    <row r="103">
      <c r="A103" s="2" t="inlineStr">
        <is>
          <t>*Total other current receivables due from related parties</t>
        </is>
      </c>
      <c r="B103">
        <f>1*B101+1*B102</f>
        <v/>
      </c>
      <c r="C103">
        <f>1*C101+1*C102</f>
        <v/>
      </c>
    </row>
    <row r="104">
      <c r="A104" s="1" t="inlineStr">
        <is>
          <t>Current prepayments and current accrued income</t>
        </is>
      </c>
    </row>
    <row r="105">
      <c r="A105" t="inlineStr">
        <is>
          <t>Prepayments</t>
        </is>
      </c>
    </row>
    <row r="106">
      <c r="A106" t="inlineStr">
        <is>
          <t>Deferred expenses</t>
        </is>
      </c>
    </row>
    <row r="107">
      <c r="A107" t="inlineStr">
        <is>
          <t>Accrued income</t>
        </is>
      </c>
    </row>
    <row r="108">
      <c r="A108" s="2" t="inlineStr">
        <is>
          <t>*Total current prepayments and current accrued income</t>
        </is>
      </c>
      <c r="B108">
        <f>1*B105+1*B106+1*B107</f>
        <v/>
      </c>
      <c r="C108">
        <f>1*C105+1*C106+1*C107</f>
        <v/>
      </c>
    </row>
    <row r="109">
      <c r="A109" s="1" t="inlineStr">
        <is>
          <t>Current non-trade receivables</t>
        </is>
      </c>
    </row>
    <row r="110">
      <c r="A110" t="inlineStr">
        <is>
          <t>Interest receivable</t>
        </is>
      </c>
    </row>
    <row r="111">
      <c r="A111" t="inlineStr">
        <is>
          <t>Deposits</t>
        </is>
      </c>
    </row>
    <row r="112">
      <c r="A112" t="inlineStr">
        <is>
          <t>Dividend receivables</t>
        </is>
      </c>
    </row>
    <row r="113">
      <c r="A113" t="inlineStr">
        <is>
          <t>Lease and hire purchase receivables</t>
        </is>
      </c>
    </row>
    <row r="114">
      <c r="A114" t="inlineStr">
        <is>
          <t>Other current non-trade receivables</t>
        </is>
      </c>
    </row>
    <row r="115">
      <c r="A115" s="2" t="inlineStr">
        <is>
          <t>*Total non-trade receivables</t>
        </is>
      </c>
      <c r="B115">
        <f>1*B110+1*B111+1*B112+1*B113+1*B114</f>
        <v/>
      </c>
      <c r="C115">
        <f>1*C110+1*C111+1*C112+1*C113+1*C114</f>
        <v/>
      </c>
    </row>
    <row r="116">
      <c r="A116" s="2" t="inlineStr">
        <is>
          <t>*Total other current receivables</t>
        </is>
      </c>
      <c r="B116">
        <f>1*B103+1*B108+1*B115</f>
        <v/>
      </c>
      <c r="C116">
        <f>1*C103+1*C108+1*C115</f>
        <v/>
      </c>
    </row>
    <row r="117">
      <c r="A117" s="2" t="inlineStr">
        <is>
          <t>*Total trade and other current receivables</t>
        </is>
      </c>
      <c r="B117">
        <f>1*B98+1*B116</f>
        <v/>
      </c>
      <c r="C117">
        <f>1*C98+1*C116</f>
        <v/>
      </c>
    </row>
    <row r="118">
      <c r="A118" s="1" t="inlineStr">
        <is>
          <t>Cash and cash equivalents</t>
        </is>
      </c>
    </row>
    <row r="119">
      <c r="A119" s="1" t="inlineStr">
        <is>
          <t>Cash</t>
        </is>
      </c>
    </row>
    <row r="120">
      <c r="A120" t="inlineStr">
        <is>
          <t>Cash in hand</t>
        </is>
      </c>
    </row>
    <row r="121">
      <c r="A121" t="inlineStr">
        <is>
          <t>Cash at bank - Local</t>
        </is>
      </c>
    </row>
    <row r="122">
      <c r="A122" t="inlineStr">
        <is>
          <t>Cash at bank - Foreign</t>
        </is>
      </c>
    </row>
    <row r="123">
      <c r="A123" s="2" t="inlineStr">
        <is>
          <t>*Total cash</t>
        </is>
      </c>
      <c r="B123">
        <f>1*B120+1*B121+1*B122</f>
        <v/>
      </c>
      <c r="C123">
        <f>1*C120+1*C121+1*C122</f>
        <v/>
      </c>
    </row>
    <row r="124">
      <c r="A124" s="1" t="inlineStr">
        <is>
          <t>Cash equivalents</t>
        </is>
      </c>
    </row>
    <row r="125">
      <c r="A125" t="inlineStr">
        <is>
          <t>Deposits placed with licensed banks</t>
        </is>
      </c>
    </row>
    <row r="126">
      <c r="A126" t="inlineStr">
        <is>
          <t>Deposit placed with other corporations</t>
        </is>
      </c>
    </row>
    <row r="127">
      <c r="A127" t="inlineStr">
        <is>
          <t>Short-term deposits</t>
        </is>
      </c>
    </row>
    <row r="128">
      <c r="A128" t="inlineStr">
        <is>
          <t>Other banking arrangements</t>
        </is>
      </c>
    </row>
    <row r="129">
      <c r="A129" s="2" t="inlineStr">
        <is>
          <t>*Total cash equivalents</t>
        </is>
      </c>
      <c r="B129">
        <f>1*B125+1*B126+1*B127+1*B128</f>
        <v/>
      </c>
      <c r="C129">
        <f>1*C125+1*C126+1*C127+1*C128</f>
        <v/>
      </c>
    </row>
    <row r="130">
      <c r="A130" t="inlineStr">
        <is>
          <t>Other cash and cash equivalents</t>
        </is>
      </c>
    </row>
    <row r="131">
      <c r="A131" s="2" t="inlineStr">
        <is>
          <t>*Total cash and cash equivalents</t>
        </is>
      </c>
      <c r="B131">
        <f>1*B123+1*B129+1*B130</f>
        <v/>
      </c>
      <c r="C131">
        <f>1*C123+1*C129+1*C130</f>
        <v/>
      </c>
    </row>
    <row r="132">
      <c r="A132" s="1" t="inlineStr">
        <is>
          <t>Reserves</t>
        </is>
      </c>
    </row>
    <row r="133">
      <c r="A133" s="1" t="inlineStr">
        <is>
          <t>Non-distributable</t>
        </is>
      </c>
    </row>
    <row r="134">
      <c r="A134" t="inlineStr">
        <is>
          <t>Capital reserve</t>
        </is>
      </c>
    </row>
    <row r="135">
      <c r="A135" t="inlineStr">
        <is>
          <t>Foreign currency translation reserve</t>
        </is>
      </c>
    </row>
    <row r="136">
      <c r="A136" t="inlineStr">
        <is>
          <t>Revaluation reserve</t>
        </is>
      </c>
    </row>
    <row r="137">
      <c r="A137" t="inlineStr">
        <is>
          <t>Warrant reserve</t>
        </is>
      </c>
    </row>
    <row r="138">
      <c r="A138" t="inlineStr">
        <is>
          <t>Other non-distributable reserves</t>
        </is>
      </c>
    </row>
    <row r="139">
      <c r="A139" s="2" t="inlineStr">
        <is>
          <t>*Total non-distributable reserves</t>
        </is>
      </c>
      <c r="B139">
        <f>1*B134+1*B135+1*B136+1*B137+1*B138</f>
        <v/>
      </c>
      <c r="C139">
        <f>1*C134+1*C135+1*C136+1*C137+1*C138</f>
        <v/>
      </c>
    </row>
    <row r="140">
      <c r="A140" s="1" t="inlineStr">
        <is>
          <t>Distributable</t>
        </is>
      </c>
    </row>
    <row r="141">
      <c r="A141" t="inlineStr">
        <is>
          <t>Other distributable reserves</t>
        </is>
      </c>
    </row>
    <row r="142">
      <c r="A142" s="2" t="inlineStr">
        <is>
          <t>*Total distributable reserves</t>
        </is>
      </c>
      <c r="B142">
        <f>1*B141</f>
        <v/>
      </c>
      <c r="C142">
        <f>1*C141</f>
        <v/>
      </c>
    </row>
    <row r="143">
      <c r="A143" s="2" t="inlineStr">
        <is>
          <t>*Total reserves</t>
        </is>
      </c>
      <c r="B143">
        <f>1*B139+1*B142</f>
        <v/>
      </c>
      <c r="C143">
        <f>1*C139+1*C142</f>
        <v/>
      </c>
    </row>
    <row r="144">
      <c r="A144" s="1" t="inlineStr">
        <is>
          <t>Non-current borrowings</t>
        </is>
      </c>
    </row>
    <row r="145">
      <c r="A145" s="1" t="inlineStr">
        <is>
          <t>Non-current portion of non-current secured bank loans received</t>
        </is>
      </c>
    </row>
    <row r="146">
      <c r="A146" t="inlineStr">
        <is>
          <t>Islamic medium term notes</t>
        </is>
      </c>
    </row>
    <row r="147">
      <c r="A147" t="inlineStr">
        <is>
          <t>Revolving credit and others</t>
        </is>
      </c>
    </row>
    <row r="148">
      <c r="A148" t="inlineStr">
        <is>
          <t>Other secured bank loans</t>
        </is>
      </c>
    </row>
    <row r="149">
      <c r="A149" s="2" t="inlineStr">
        <is>
          <t>*Total non-current portion of non-current secured bank loans received</t>
        </is>
      </c>
      <c r="B149">
        <f>1*B146+1*B147+1*B148</f>
        <v/>
      </c>
      <c r="C149">
        <f>1*C146+1*C147+1*C148</f>
        <v/>
      </c>
    </row>
    <row r="150">
      <c r="A150" s="1" t="inlineStr">
        <is>
          <t>Non-current portion of non-current unsecured bank loans received</t>
        </is>
      </c>
    </row>
    <row r="151">
      <c r="A151" t="inlineStr">
        <is>
          <t>Islamic medium term notes</t>
        </is>
      </c>
    </row>
    <row r="152">
      <c r="A152" t="inlineStr">
        <is>
          <t>Revolving credit and others</t>
        </is>
      </c>
    </row>
    <row r="153">
      <c r="A153" t="inlineStr">
        <is>
          <t>Other unsecured bank loans</t>
        </is>
      </c>
    </row>
    <row r="154">
      <c r="A154" s="2" t="inlineStr">
        <is>
          <t>*Total non-current portion of non-current unsecured bank loans received</t>
        </is>
      </c>
      <c r="B154">
        <f>1*B151+1*B152+1*B153</f>
        <v/>
      </c>
      <c r="C154">
        <f>1*C151+1*C152+1*C153</f>
        <v/>
      </c>
    </row>
    <row r="155">
      <c r="A155" t="inlineStr">
        <is>
          <t>Non-current portion of secured bonds/sukuk/loan stock</t>
        </is>
      </c>
    </row>
    <row r="156">
      <c r="A156" t="inlineStr">
        <is>
          <t>Non-current portion of unsecured bonds/sukuk/loan stock</t>
        </is>
      </c>
    </row>
    <row r="157">
      <c r="A157" t="inlineStr">
        <is>
          <t>Other non-current borrowings</t>
        </is>
      </c>
    </row>
    <row r="158">
      <c r="A158" s="2" t="inlineStr">
        <is>
          <t>*Total non-current borrowings</t>
        </is>
      </c>
      <c r="B158">
        <f>1*B149+1*B154+1*B155+1*B156+1*B157</f>
        <v/>
      </c>
      <c r="C158">
        <f>1*C149+1*C154+1*C155+1*C156+1*C157</f>
        <v/>
      </c>
    </row>
    <row r="159">
      <c r="A159" s="1" t="inlineStr">
        <is>
          <t>Trade and other non-current payables</t>
        </is>
      </c>
    </row>
    <row r="160">
      <c r="A160" s="1" t="inlineStr">
        <is>
          <t>Non-current trade payables</t>
        </is>
      </c>
    </row>
    <row r="161">
      <c r="A161" t="inlineStr">
        <is>
          <t>Trade payables</t>
        </is>
      </c>
    </row>
    <row r="162">
      <c r="A162" t="inlineStr">
        <is>
          <t>Trade payables due to related parties</t>
        </is>
      </c>
    </row>
    <row r="163">
      <c r="A163" t="inlineStr">
        <is>
          <t>Other non-current trade payables</t>
        </is>
      </c>
    </row>
    <row r="164">
      <c r="A164" s="2" t="inlineStr">
        <is>
          <t>*Total non-current trade payables</t>
        </is>
      </c>
      <c r="B164">
        <f>1*B161+1*B162+1*B163</f>
        <v/>
      </c>
      <c r="C164">
        <f>1*C161+1*C162+1*C163</f>
        <v/>
      </c>
    </row>
    <row r="165">
      <c r="A165" s="1" t="inlineStr">
        <is>
          <t>Non-current other payables</t>
        </is>
      </c>
    </row>
    <row r="166">
      <c r="A166" t="inlineStr">
        <is>
          <t>Other payables due to other related parties</t>
        </is>
      </c>
    </row>
    <row r="167">
      <c r="A167" t="inlineStr">
        <is>
          <t>Other payables due to trustees</t>
        </is>
      </c>
    </row>
    <row r="168">
      <c r="A168" s="2" t="inlineStr">
        <is>
          <t>*Total non-current other payables due to related parties</t>
        </is>
      </c>
      <c r="B168">
        <f>1*B166+1*B167</f>
        <v/>
      </c>
      <c r="C168">
        <f>1*C166+1*C167</f>
        <v/>
      </c>
    </row>
    <row r="169">
      <c r="A169" s="1" t="inlineStr">
        <is>
          <t>Non-current non-trade payables</t>
        </is>
      </c>
    </row>
    <row r="170">
      <c r="A170" t="inlineStr">
        <is>
          <t>Deferred income</t>
        </is>
      </c>
    </row>
    <row r="171">
      <c r="A171" t="inlineStr">
        <is>
          <t>Accruals</t>
        </is>
      </c>
    </row>
    <row r="172">
      <c r="A172" t="inlineStr">
        <is>
          <t>Retention payable</t>
        </is>
      </c>
    </row>
    <row r="173">
      <c r="A173" t="inlineStr">
        <is>
          <t>Deposits</t>
        </is>
      </c>
    </row>
    <row r="174">
      <c r="A174" t="inlineStr">
        <is>
          <t>Other non-current non-trade payables</t>
        </is>
      </c>
    </row>
    <row r="175">
      <c r="A175" s="2" t="inlineStr">
        <is>
          <t>*Total non-current non-trade payables</t>
        </is>
      </c>
      <c r="B175">
        <f>1*B171+1*B170+1*B173+1*B172+1*B174</f>
        <v/>
      </c>
      <c r="C175">
        <f>1*C171+1*C170+1*C173+1*C172+1*C174</f>
        <v/>
      </c>
    </row>
    <row r="176">
      <c r="A176" t="inlineStr">
        <is>
          <t>Other non-current payables</t>
        </is>
      </c>
    </row>
    <row r="177">
      <c r="A177" s="2" t="inlineStr">
        <is>
          <t>*Total trade and other non-current payables</t>
        </is>
      </c>
      <c r="B177">
        <f>1*B164+1*B168+1*B175+1*B176</f>
        <v/>
      </c>
      <c r="C177">
        <f>1*C164+1*C168+1*C175+1*C176</f>
        <v/>
      </c>
    </row>
    <row r="178">
      <c r="A178" s="1" t="inlineStr">
        <is>
          <t>Current borrowings</t>
        </is>
      </c>
    </row>
    <row r="179">
      <c r="A179" s="1" t="inlineStr">
        <is>
          <t>Current secured bank loans received and current portion of non-current secured bank loans received</t>
        </is>
      </c>
    </row>
    <row r="180">
      <c r="A180" t="inlineStr">
        <is>
          <t>Islamic medium term notes</t>
        </is>
      </c>
    </row>
    <row r="181">
      <c r="A181" t="inlineStr">
        <is>
          <t>Revolving credit and others</t>
        </is>
      </c>
    </row>
    <row r="182">
      <c r="A182" t="inlineStr">
        <is>
          <t>Other secured bank loans received</t>
        </is>
      </c>
    </row>
    <row r="183">
      <c r="A183" s="2" t="inlineStr">
        <is>
          <t>*Total current secured bank loans received and current portion of non-current secured bank loans received</t>
        </is>
      </c>
      <c r="B183">
        <f>1*B180+1*B181+1*B182</f>
        <v/>
      </c>
      <c r="C183">
        <f>1*C180+1*C181+1*C182</f>
        <v/>
      </c>
    </row>
    <row r="184">
      <c r="A184" s="1" t="inlineStr">
        <is>
          <t>Current unsecured bank loans received and current portion of non-current unsecured bank loans received</t>
        </is>
      </c>
    </row>
    <row r="185">
      <c r="A185" t="inlineStr">
        <is>
          <t>Islamic medium term notes</t>
        </is>
      </c>
    </row>
    <row r="186">
      <c r="A186" t="inlineStr">
        <is>
          <t>Revolving credit and others</t>
        </is>
      </c>
    </row>
    <row r="187">
      <c r="A187" t="inlineStr">
        <is>
          <t>Other unsecured bank loans received</t>
        </is>
      </c>
    </row>
    <row r="188">
      <c r="A188" s="2" t="inlineStr">
        <is>
          <t>*Total current unsecured bank loans received and current portion of non-current unsecured bank loans received</t>
        </is>
      </c>
      <c r="B188">
        <f>1*B185+1*B186+1*B187</f>
        <v/>
      </c>
      <c r="C188">
        <f>1*C185+1*C186+1*C187</f>
        <v/>
      </c>
    </row>
    <row r="189">
      <c r="A189" t="inlineStr">
        <is>
          <t>Current portion of secured bonds/sukuk/loan stocks</t>
        </is>
      </c>
    </row>
    <row r="190">
      <c r="A190" t="inlineStr">
        <is>
          <t>Current portion of unsecured bonds/sukuk/loan stocks</t>
        </is>
      </c>
    </row>
    <row r="191">
      <c r="A191" t="inlineStr">
        <is>
          <t>Other current borrowings</t>
        </is>
      </c>
    </row>
    <row r="192">
      <c r="A192" s="2" t="inlineStr">
        <is>
          <t>*Total current borrowings</t>
        </is>
      </c>
      <c r="B192">
        <f>1*B183+1*B188+1*B189+1*B190+1*B191</f>
        <v/>
      </c>
      <c r="C192">
        <f>1*C183+1*C188+1*C189+1*C190+1*C191</f>
        <v/>
      </c>
    </row>
    <row r="193">
      <c r="A193" s="1" t="inlineStr">
        <is>
          <t>Trade and other current payables</t>
        </is>
      </c>
    </row>
    <row r="194">
      <c r="A194" s="1" t="inlineStr">
        <is>
          <t>Current trade payables</t>
        </is>
      </c>
    </row>
    <row r="195">
      <c r="A195" t="inlineStr">
        <is>
          <t>Trade payables</t>
        </is>
      </c>
    </row>
    <row r="196">
      <c r="A196" t="inlineStr">
        <is>
          <t>Trade payables due to related parties</t>
        </is>
      </c>
    </row>
    <row r="197">
      <c r="A197" t="inlineStr">
        <is>
          <t>Other current trade payables</t>
        </is>
      </c>
    </row>
    <row r="198">
      <c r="A198" s="2" t="inlineStr">
        <is>
          <t>*Total current trade payables</t>
        </is>
      </c>
      <c r="B198">
        <f>1*B195+1*B196+1*B197</f>
        <v/>
      </c>
      <c r="C198">
        <f>1*C195+1*C196+1*C197</f>
        <v/>
      </c>
    </row>
    <row r="199">
      <c r="A199" s="1" t="inlineStr">
        <is>
          <t>Current other payables</t>
        </is>
      </c>
    </row>
    <row r="200">
      <c r="A200" s="1" t="inlineStr">
        <is>
          <t>Current other payables due to related parties</t>
        </is>
      </c>
    </row>
    <row r="201">
      <c r="A201" t="inlineStr">
        <is>
          <t>Other payables due to from trustees</t>
        </is>
      </c>
    </row>
    <row r="202">
      <c r="A202" s="2" t="inlineStr">
        <is>
          <t>*Total current payables due to related parties</t>
        </is>
      </c>
      <c r="B202">
        <f>1*B201</f>
        <v/>
      </c>
      <c r="C202">
        <f>1*C201</f>
        <v/>
      </c>
    </row>
    <row r="203">
      <c r="A203" s="1" t="inlineStr">
        <is>
          <t>Current non-trade payables</t>
        </is>
      </c>
    </row>
    <row r="204">
      <c r="A204" t="inlineStr">
        <is>
          <t>Deferred income</t>
        </is>
      </c>
    </row>
    <row r="205">
      <c r="A205" t="inlineStr">
        <is>
          <t>Accruals</t>
        </is>
      </c>
    </row>
    <row r="206">
      <c r="A206" t="inlineStr">
        <is>
          <t>Retention payable</t>
        </is>
      </c>
    </row>
    <row r="207">
      <c r="A207" t="inlineStr">
        <is>
          <t>Deposits and advanced billings</t>
        </is>
      </c>
    </row>
    <row r="208">
      <c r="A208" t="inlineStr">
        <is>
          <t>Dividend payable</t>
        </is>
      </c>
    </row>
    <row r="209">
      <c r="A209" t="inlineStr">
        <is>
          <t>Other current non-trade payables</t>
        </is>
      </c>
    </row>
    <row r="210">
      <c r="A210" s="2" t="inlineStr">
        <is>
          <t>*Total current non-trade payables</t>
        </is>
      </c>
      <c r="B210">
        <f>1*B205+1*B204+1*B207+1*B208+1*B206+1*B209</f>
        <v/>
      </c>
      <c r="C210">
        <f>1*C205+1*C204+1*C207+1*C208+1*C206+1*C209</f>
        <v/>
      </c>
    </row>
    <row r="211">
      <c r="A211" s="2" t="inlineStr">
        <is>
          <t>*Total other current payables</t>
        </is>
      </c>
      <c r="B211">
        <f>1*B202+1*B210</f>
        <v/>
      </c>
      <c r="C211">
        <f>1*C202+1*C210</f>
        <v/>
      </c>
    </row>
    <row r="212">
      <c r="A212" s="2" t="inlineStr">
        <is>
          <t>*Total trade and other current payables</t>
        </is>
      </c>
      <c r="B212">
        <f>1*B198+1*B211</f>
        <v/>
      </c>
      <c r="C212">
        <f>1*C198+1*C211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