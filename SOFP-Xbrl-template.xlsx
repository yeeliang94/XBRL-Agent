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/>
  <mc:AlternateContent xmlns:mc="http://schemas.openxmlformats.org/markup-compatibility/2006">
    <mc:Choice Requires="x15">
      <x15ac:absPath xmlns:x15ac="http://schemas.microsoft.com/office/spreadsheetml/2010/11/ac" url="/Users/user/Desktop/ream/"/>
    </mc:Choice>
  </mc:AlternateContent>
  <xr:revisionPtr revIDLastSave="0" documentId="13_ncr:1_{DB267429-8286-E04C-BB9A-2C8999FC6817}" xr6:coauthVersionLast="47" xr6:coauthVersionMax="47" xr10:uidLastSave="{00000000-0000-0000-0000-000000000000}"/>
  <bookViews>
    <workbookView xWindow="0" yWindow="660" windowWidth="18080" windowHeight="15220" tabRatio="500" activeTab="1" xr2:uid="{00000000-000D-0000-FFFF-FFFF00000000}"/>
  </bookViews>
  <sheets>
    <sheet name="SOFP-CuNonCu" sheetId="1" r:id="rId1"/>
    <sheet name="SOFP-Sub-CuNonCu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449" i="2" l="1"/>
  <c r="B449" i="2"/>
  <c r="C443" i="2"/>
  <c r="C451" i="2" s="1"/>
  <c r="C68" i="1" s="1"/>
  <c r="B443" i="2"/>
  <c r="B451" i="2" s="1"/>
  <c r="B68" i="1" s="1"/>
  <c r="C434" i="2"/>
  <c r="B434" i="2"/>
  <c r="C424" i="2"/>
  <c r="B424" i="2"/>
  <c r="C419" i="2"/>
  <c r="B419" i="2"/>
  <c r="C411" i="2"/>
  <c r="B411" i="2"/>
  <c r="C400" i="2"/>
  <c r="B400" i="2"/>
  <c r="C391" i="2"/>
  <c r="B391" i="2"/>
  <c r="C381" i="2"/>
  <c r="B381" i="2"/>
  <c r="C373" i="2"/>
  <c r="B373" i="2"/>
  <c r="C366" i="2"/>
  <c r="B366" i="2"/>
  <c r="C359" i="2"/>
  <c r="B359" i="2"/>
  <c r="C348" i="2"/>
  <c r="B348" i="2"/>
  <c r="C333" i="2"/>
  <c r="C335" i="2" s="1"/>
  <c r="C57" i="1" s="1"/>
  <c r="B333" i="2"/>
  <c r="B335" i="2" s="1"/>
  <c r="B57" i="1" s="1"/>
  <c r="C327" i="2"/>
  <c r="B327" i="2"/>
  <c r="C318" i="2"/>
  <c r="B318" i="2"/>
  <c r="C311" i="2"/>
  <c r="B311" i="2"/>
  <c r="C306" i="2"/>
  <c r="B306" i="2"/>
  <c r="C298" i="2"/>
  <c r="B298" i="2"/>
  <c r="C288" i="2"/>
  <c r="C53" i="1" s="1"/>
  <c r="B288" i="2"/>
  <c r="B53" i="1" s="1"/>
  <c r="C279" i="2"/>
  <c r="C52" i="1" s="1"/>
  <c r="B279" i="2"/>
  <c r="B52" i="1" s="1"/>
  <c r="C269" i="2"/>
  <c r="B269" i="2"/>
  <c r="C262" i="2"/>
  <c r="B262" i="2"/>
  <c r="C255" i="2"/>
  <c r="B255" i="2"/>
  <c r="C248" i="2"/>
  <c r="B248" i="2"/>
  <c r="C238" i="2"/>
  <c r="B238" i="2"/>
  <c r="C228" i="2"/>
  <c r="C44" i="1" s="1"/>
  <c r="B228" i="2"/>
  <c r="B44" i="1" s="1"/>
  <c r="C220" i="2"/>
  <c r="B220" i="2"/>
  <c r="C213" i="2"/>
  <c r="B213" i="2"/>
  <c r="B221" i="2" s="1"/>
  <c r="B42" i="1" s="1"/>
  <c r="C202" i="2"/>
  <c r="B202" i="2"/>
  <c r="C197" i="2"/>
  <c r="C21" i="1" s="1"/>
  <c r="B197" i="2"/>
  <c r="C190" i="2"/>
  <c r="B190" i="2"/>
  <c r="C182" i="2"/>
  <c r="C192" i="2" s="1"/>
  <c r="C31" i="1" s="1"/>
  <c r="B182" i="2"/>
  <c r="C177" i="2"/>
  <c r="C175" i="2"/>
  <c r="B175" i="2"/>
  <c r="B177" i="2" s="1"/>
  <c r="B30" i="1" s="1"/>
  <c r="C166" i="2"/>
  <c r="B166" i="2"/>
  <c r="C159" i="2"/>
  <c r="B159" i="2"/>
  <c r="C155" i="2"/>
  <c r="B155" i="2"/>
  <c r="C147" i="2"/>
  <c r="B147" i="2"/>
  <c r="C135" i="2"/>
  <c r="C24" i="1" s="1"/>
  <c r="B135" i="2"/>
  <c r="B24" i="1" s="1"/>
  <c r="C128" i="2"/>
  <c r="B128" i="2"/>
  <c r="C126" i="2"/>
  <c r="B126" i="2"/>
  <c r="C117" i="2"/>
  <c r="B117" i="2"/>
  <c r="C112" i="2"/>
  <c r="B112" i="2"/>
  <c r="C104" i="2"/>
  <c r="B104" i="2"/>
  <c r="C94" i="2"/>
  <c r="C15" i="1" s="1"/>
  <c r="B94" i="2"/>
  <c r="B15" i="1" s="1"/>
  <c r="C85" i="2"/>
  <c r="C14" i="1" s="1"/>
  <c r="B85" i="2"/>
  <c r="B14" i="1" s="1"/>
  <c r="C76" i="2"/>
  <c r="C13" i="1" s="1"/>
  <c r="B76" i="2"/>
  <c r="B13" i="1" s="1"/>
  <c r="B68" i="2"/>
  <c r="C66" i="2"/>
  <c r="C68" i="2" s="1"/>
  <c r="C12" i="1" s="1"/>
  <c r="B66" i="2"/>
  <c r="C52" i="2"/>
  <c r="B52" i="2"/>
  <c r="C46" i="2"/>
  <c r="B46" i="2"/>
  <c r="C43" i="2"/>
  <c r="C48" i="2" s="1"/>
  <c r="C8" i="1" s="1"/>
  <c r="B43" i="2"/>
  <c r="B48" i="2" s="1"/>
  <c r="B8" i="1" s="1"/>
  <c r="C25" i="2"/>
  <c r="B25" i="2"/>
  <c r="C18" i="2"/>
  <c r="B18" i="2"/>
  <c r="C12" i="2"/>
  <c r="C19" i="2" s="1"/>
  <c r="C38" i="2" s="1"/>
  <c r="C7" i="1" s="1"/>
  <c r="B12" i="2"/>
  <c r="B19" i="2" s="1"/>
  <c r="B38" i="2" s="1"/>
  <c r="B7" i="1" s="1"/>
  <c r="C64" i="1"/>
  <c r="B64" i="1"/>
  <c r="C63" i="1"/>
  <c r="B63" i="1"/>
  <c r="C39" i="1"/>
  <c r="B39" i="1"/>
  <c r="C30" i="1"/>
  <c r="B21" i="1"/>
  <c r="C20" i="1"/>
  <c r="B20" i="1"/>
  <c r="B12" i="1"/>
  <c r="B435" i="2" l="1"/>
  <c r="B118" i="2"/>
  <c r="B119" i="2" s="1"/>
  <c r="B17" i="1" s="1"/>
  <c r="B22" i="1" s="1"/>
  <c r="C221" i="2"/>
  <c r="C42" i="1" s="1"/>
  <c r="C46" i="1" s="1"/>
  <c r="C320" i="2"/>
  <c r="C54" i="1" s="1"/>
  <c r="C435" i="2"/>
  <c r="C436" i="2" s="1"/>
  <c r="C66" i="1" s="1"/>
  <c r="C70" i="1" s="1"/>
  <c r="B167" i="2"/>
  <c r="B168" i="2" s="1"/>
  <c r="B28" i="1" s="1"/>
  <c r="C270" i="2"/>
  <c r="C50" i="1" s="1"/>
  <c r="C59" i="1" s="1"/>
  <c r="C118" i="2"/>
  <c r="C119" i="2" s="1"/>
  <c r="C17" i="1" s="1"/>
  <c r="B192" i="2"/>
  <c r="B31" i="1" s="1"/>
  <c r="B382" i="2"/>
  <c r="B61" i="1" s="1"/>
  <c r="C382" i="2"/>
  <c r="C61" i="1" s="1"/>
  <c r="B270" i="2"/>
  <c r="B50" i="1" s="1"/>
  <c r="B319" i="2"/>
  <c r="B320" i="2" s="1"/>
  <c r="B54" i="1" s="1"/>
  <c r="C319" i="2"/>
  <c r="C167" i="2"/>
  <c r="C168" i="2" s="1"/>
  <c r="C28" i="1" s="1"/>
  <c r="B436" i="2"/>
  <c r="B66" i="1" s="1"/>
  <c r="B43" i="1"/>
  <c r="C43" i="1"/>
  <c r="B46" i="1"/>
  <c r="B70" i="1" l="1"/>
  <c r="C22" i="1"/>
  <c r="C36" i="1"/>
  <c r="C35" i="1"/>
  <c r="C33" i="1"/>
  <c r="B33" i="1"/>
  <c r="B35" i="1"/>
  <c r="B36" i="1"/>
  <c r="B59" i="1"/>
  <c r="C72" i="1"/>
  <c r="B72" i="1"/>
  <c r="B73" i="1"/>
  <c r="C73" i="1"/>
  <c r="C74" i="1" s="1"/>
  <c r="B7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Madieha Mazlan</author>
  </authors>
  <commentList>
    <comment ref="A41" authorId="0" shapeId="0" xr:uid="{00000000-0006-0000-0000-000001000000}">
      <text>
        <r>
          <rPr>
            <sz val="10"/>
            <rFont val="Arial"/>
            <family val="2"/>
          </rPr>
          <t xml:space="preserve">This value is subtracted from Total
</t>
        </r>
      </text>
    </comment>
  </commentList>
</comments>
</file>

<file path=xl/sharedStrings.xml><?xml version="1.0" encoding="utf-8"?>
<sst xmlns="http://schemas.openxmlformats.org/spreadsheetml/2006/main" count="525" uniqueCount="393">
  <si>
    <t>01/01/YYYY - 31/12/YYYY</t>
  </si>
  <si>
    <t>Statement of financial position</t>
  </si>
  <si>
    <t>Assets</t>
  </si>
  <si>
    <t>Non-current assets</t>
  </si>
  <si>
    <t>*Property, plant and equipment</t>
  </si>
  <si>
    <t>*Investment property</t>
  </si>
  <si>
    <t>Biological assets</t>
  </si>
  <si>
    <t>Right-of-use assets</t>
  </si>
  <si>
    <t>Service concession assets</t>
  </si>
  <si>
    <t>*Intangible assets</t>
  </si>
  <si>
    <t>*Investments in subsidiaries</t>
  </si>
  <si>
    <t>*Investments in associates</t>
  </si>
  <si>
    <t>*Investments in joint ventures</t>
  </si>
  <si>
    <t>*Other investments</t>
  </si>
  <si>
    <t>*Trade and other non-current receivables</t>
  </si>
  <si>
    <t>Contract assets</t>
  </si>
  <si>
    <t>Deferred tax assets</t>
  </si>
  <si>
    <t>*Derivative financial assets</t>
  </si>
  <si>
    <t>*Other non-current assets</t>
  </si>
  <si>
    <t>*Total non-current assets</t>
  </si>
  <si>
    <t>Current assets</t>
  </si>
  <si>
    <t>*Inventories</t>
  </si>
  <si>
    <t>Other investments</t>
  </si>
  <si>
    <t>Current tax assets</t>
  </si>
  <si>
    <t>*Trade and other current receivables</t>
  </si>
  <si>
    <t>*Cash and cash equivalents</t>
  </si>
  <si>
    <t>*Other current assets</t>
  </si>
  <si>
    <t>Total current assets other than assets held for sale</t>
  </si>
  <si>
    <t>Non-current assets or disposal groups classified as held for sale or as held for distribution to owners</t>
  </si>
  <si>
    <t>*Total current assets</t>
  </si>
  <si>
    <t>*Total assets</t>
  </si>
  <si>
    <t>Equity and liabilities</t>
  </si>
  <si>
    <t>Equity</t>
  </si>
  <si>
    <t>*Issued capital</t>
  </si>
  <si>
    <t>*Retained earnings</t>
  </si>
  <si>
    <t>Treasury shares</t>
  </si>
  <si>
    <t>*Reserves</t>
  </si>
  <si>
    <t>*Total equity attributable to owners</t>
  </si>
  <si>
    <t>*Equity - other components</t>
  </si>
  <si>
    <t>*Non-controlling interests</t>
  </si>
  <si>
    <t>*Total equity</t>
  </si>
  <si>
    <t>Liabilities</t>
  </si>
  <si>
    <t>Non-current liabilities</t>
  </si>
  <si>
    <t>Service concession liabilities</t>
  </si>
  <si>
    <t>*Borrowings</t>
  </si>
  <si>
    <t>Lease liabilities</t>
  </si>
  <si>
    <t>*Employee benefit liabilities</t>
  </si>
  <si>
    <t>*Provisions</t>
  </si>
  <si>
    <t>*Trade and other non-current payables</t>
  </si>
  <si>
    <t>Contract liabilities</t>
  </si>
  <si>
    <t>Deferred tax liabilities</t>
  </si>
  <si>
    <t>*Derivative financial liabilities</t>
  </si>
  <si>
    <t>Other non-current liabilities</t>
  </si>
  <si>
    <t>Total non-current liabilities</t>
  </si>
  <si>
    <t>Current liabilities</t>
  </si>
  <si>
    <t>Current tax liabilities</t>
  </si>
  <si>
    <t>*Trade and other current payables</t>
  </si>
  <si>
    <t>Other current liabilities</t>
  </si>
  <si>
    <t>Total current liabilities other than liabilities held for sale</t>
  </si>
  <si>
    <t>*Liabilities included in disposal groups classified as held for sale</t>
  </si>
  <si>
    <t>*Total current liabilities</t>
  </si>
  <si>
    <t>*Total liabilities</t>
  </si>
  <si>
    <t>*Total equity and liabilities</t>
  </si>
  <si>
    <t>Statement on sub-classification of assets, liabilities and equity</t>
  </si>
  <si>
    <t>Sub-classification of assets, liabilities and equity</t>
  </si>
  <si>
    <t>Property, plant and equipment</t>
  </si>
  <si>
    <t>Land and buildings</t>
  </si>
  <si>
    <t>Land</t>
  </si>
  <si>
    <t>Freehold land</t>
  </si>
  <si>
    <t>Long term leasehold land</t>
  </si>
  <si>
    <t>Short term leasehold land</t>
  </si>
  <si>
    <t>Total land</t>
  </si>
  <si>
    <t>Buildings</t>
  </si>
  <si>
    <t>Building on freehold land</t>
  </si>
  <si>
    <t>Building on long term leasehold land</t>
  </si>
  <si>
    <t>Building on short term leasehold land</t>
  </si>
  <si>
    <t>Leased properties</t>
  </si>
  <si>
    <t>Total buildings</t>
  </si>
  <si>
    <t>Total land and buildings</t>
  </si>
  <si>
    <t>Vehicles</t>
  </si>
  <si>
    <t>Vessels</t>
  </si>
  <si>
    <t>Aircraft</t>
  </si>
  <si>
    <t>Motor vehicles</t>
  </si>
  <si>
    <t>Other vehicles</t>
  </si>
  <si>
    <t>Total vehicles</t>
  </si>
  <si>
    <t>Machinery</t>
  </si>
  <si>
    <t>Plant and equipment</t>
  </si>
  <si>
    <t>Office equipment, fixture and fittings</t>
  </si>
  <si>
    <t>Computer software and hardware</t>
  </si>
  <si>
    <t>Bearer plants</t>
  </si>
  <si>
    <t>Infrastructure and site facilities</t>
  </si>
  <si>
    <t>Mining assets</t>
  </si>
  <si>
    <t>Oil and gas assets</t>
  </si>
  <si>
    <t>Tangible exploration and evaluation assets</t>
  </si>
  <si>
    <t>Telecommunication equipments</t>
  </si>
  <si>
    <t>Construction in progress/Asset work-in progress</t>
  </si>
  <si>
    <t>Other property, plant and equipment</t>
  </si>
  <si>
    <t>*Total property, plant and equipment</t>
  </si>
  <si>
    <t>Investment property</t>
  </si>
  <si>
    <t>Investment properties completed, at carrying value</t>
  </si>
  <si>
    <t>Freehold land and building</t>
  </si>
  <si>
    <t>Leasehold land and building</t>
  </si>
  <si>
    <t>Total investment properties completed, at carrying value</t>
  </si>
  <si>
    <t>Investment properties under construction or development, at cost</t>
  </si>
  <si>
    <t>Building under construction</t>
  </si>
  <si>
    <t>Total investment properties under construction or development, at cost</t>
  </si>
  <si>
    <t>Other investment property</t>
  </si>
  <si>
    <t>*Total investment properties</t>
  </si>
  <si>
    <t>Consumable biological assets</t>
  </si>
  <si>
    <t>Bearer biological assets</t>
  </si>
  <si>
    <t>Total biological assets</t>
  </si>
  <si>
    <t>Intangible assets and goodwill</t>
  </si>
  <si>
    <t>Intangible assets other than goodwill</t>
  </si>
  <si>
    <t>Customer acquisition costs</t>
  </si>
  <si>
    <t>Brand names</t>
  </si>
  <si>
    <t>Customer relationships</t>
  </si>
  <si>
    <t>Copyrights, patents and other industrial property rights, service and operating rights</t>
  </si>
  <si>
    <t>Intangible assets under development</t>
  </si>
  <si>
    <t>Intangible exploration and evaluation assets</t>
  </si>
  <si>
    <t>Licences and franchises</t>
  </si>
  <si>
    <t>Recipes, formulae, models, designs and prototypes</t>
  </si>
  <si>
    <t>Computer software</t>
  </si>
  <si>
    <t>Small holder relationship</t>
  </si>
  <si>
    <t>Other intangible assets</t>
  </si>
  <si>
    <t>Total intangible assets other than goodwill</t>
  </si>
  <si>
    <t>Goodwill</t>
  </si>
  <si>
    <t>*Total intangible assets and goodwill</t>
  </si>
  <si>
    <t>Investments in subsidiaries</t>
  </si>
  <si>
    <t>Unquoted shares, net of impairment losses</t>
  </si>
  <si>
    <t>Quoted shares in Malaysia</t>
  </si>
  <si>
    <t>Quoted shares outside Malaysia</t>
  </si>
  <si>
    <t>Fair value adjustments on loans and advances and financial guarantee</t>
  </si>
  <si>
    <t>Contributions to subsidiaries, net of impairment losses</t>
  </si>
  <si>
    <t>Other investments in subsidiaries</t>
  </si>
  <si>
    <t>*Total investments in subsidiaries</t>
  </si>
  <si>
    <t>Investments in associates</t>
  </si>
  <si>
    <t>Share of post-acquisition profits and reserves</t>
  </si>
  <si>
    <t>Unrealised profit on transactions with associates</t>
  </si>
  <si>
    <t>Other investments in associates</t>
  </si>
  <si>
    <t>*Total investments in associates</t>
  </si>
  <si>
    <t>Investments in joint ventures</t>
  </si>
  <si>
    <t>Unrealised profit on transactions with joint ventures</t>
  </si>
  <si>
    <t>Other investments in joint ventures</t>
  </si>
  <si>
    <t>*Total investments in joint ventures</t>
  </si>
  <si>
    <t>Trade and other non-current receivables</t>
  </si>
  <si>
    <t>Non-current trade receivables</t>
  </si>
  <si>
    <t>Trade receivables</t>
  </si>
  <si>
    <t>Trade receivables due from holding company</t>
  </si>
  <si>
    <t>Trade receivables due from subsidiaries</t>
  </si>
  <si>
    <t>Trade receivables from associates</t>
  </si>
  <si>
    <t>Trade receivables due from joint ventures</t>
  </si>
  <si>
    <t>Trade receivables due from other related parties</t>
  </si>
  <si>
    <t>Other non-current trade receivables</t>
  </si>
  <si>
    <t>Total non-current trade receivables</t>
  </si>
  <si>
    <t>Other non-current receivables</t>
  </si>
  <si>
    <t>Other non-current receivables due from related parties</t>
  </si>
  <si>
    <t>Other receivables due from holding company</t>
  </si>
  <si>
    <t>Other receivables due from subsidiaries</t>
  </si>
  <si>
    <t>Other receivables due from associates</t>
  </si>
  <si>
    <t>Other receivables due from joint ventures</t>
  </si>
  <si>
    <t>Other receivables due from other related companies</t>
  </si>
  <si>
    <t>Total other non-current receivables due from related parties</t>
  </si>
  <si>
    <t>Non-current non-trade receivables</t>
  </si>
  <si>
    <t>Accrued income</t>
  </si>
  <si>
    <t>Lease and hire purchase receivables</t>
  </si>
  <si>
    <t>Other non-current non-trade receivables</t>
  </si>
  <si>
    <t>Total non-current non-trade receivables</t>
  </si>
  <si>
    <t>Total other non-current receivables</t>
  </si>
  <si>
    <t>*Total trade and other non-current receivables</t>
  </si>
  <si>
    <t>Non-current derivative financial assets</t>
  </si>
  <si>
    <t>Non-current derivatives at fair value through profit or loss</t>
  </si>
  <si>
    <t>Forward contract</t>
  </si>
  <si>
    <t>Options</t>
  </si>
  <si>
    <t>Swap</t>
  </si>
  <si>
    <t>Other derivatives</t>
  </si>
  <si>
    <t>Total non-current derivatives at fair value through profit or loss</t>
  </si>
  <si>
    <t>Other non-current derivative financial assets</t>
  </si>
  <si>
    <t>*Total non-current derivative financial assets</t>
  </si>
  <si>
    <t>Inventories</t>
  </si>
  <si>
    <t>Raw materials</t>
  </si>
  <si>
    <t>Work in progress</t>
  </si>
  <si>
    <t>Finished goods</t>
  </si>
  <si>
    <t>Spare parts</t>
  </si>
  <si>
    <t>Other inventories</t>
  </si>
  <si>
    <t>*Total inventories</t>
  </si>
  <si>
    <t>Trade and other current receivables</t>
  </si>
  <si>
    <t>Current trade receivables</t>
  </si>
  <si>
    <t>Trade receivables due from contract customers</t>
  </si>
  <si>
    <t>Trade receivables due from associates</t>
  </si>
  <si>
    <t>Unearned current carrying charges</t>
  </si>
  <si>
    <t>Other current trade receivables</t>
  </si>
  <si>
    <t>Total current trade receivables</t>
  </si>
  <si>
    <t>Other current receivables</t>
  </si>
  <si>
    <t>Other current receivables due from related parties</t>
  </si>
  <si>
    <t>Other receivables due from other related parties</t>
  </si>
  <si>
    <t>Total other current receivables due from related parties</t>
  </si>
  <si>
    <t>Current prepayments and current accrued income</t>
  </si>
  <si>
    <t>Prepayments</t>
  </si>
  <si>
    <t>Total current prepayments and current accrued income</t>
  </si>
  <si>
    <t>Current non-trade receivables</t>
  </si>
  <si>
    <t>Interest receivables</t>
  </si>
  <si>
    <t>Deposits</t>
  </si>
  <si>
    <t>Dividend receivables</t>
  </si>
  <si>
    <t>Other current non-trade receivables</t>
  </si>
  <si>
    <t>Total current non-trade receivables</t>
  </si>
  <si>
    <t>Total other current receivables</t>
  </si>
  <si>
    <t>*Total trade and other current receivables</t>
  </si>
  <si>
    <t>Current derivative financial assets</t>
  </si>
  <si>
    <t>Current derivatives at fair value through profit or loss</t>
  </si>
  <si>
    <t>Total current derivatives at fair value through profit or loss</t>
  </si>
  <si>
    <t>Other current derivative financial assets</t>
  </si>
  <si>
    <t>*Total current derivative financial assets</t>
  </si>
  <si>
    <t>Cash and cash equivalents</t>
  </si>
  <si>
    <t>Cash</t>
  </si>
  <si>
    <t>Cash in hand</t>
  </si>
  <si>
    <t>Balances with Licensed Banks</t>
  </si>
  <si>
    <t>Total cash</t>
  </si>
  <si>
    <t>Cash equivalents</t>
  </si>
  <si>
    <t>Deposits placed with licensed banks</t>
  </si>
  <si>
    <t>Deposit placed with other corporations</t>
  </si>
  <si>
    <t>Cash equivalents with other financial institutions</t>
  </si>
  <si>
    <t>Short-term deposits</t>
  </si>
  <si>
    <t>Short-term investments</t>
  </si>
  <si>
    <t>Other banking arrangements</t>
  </si>
  <si>
    <t>Total cash equivalents</t>
  </si>
  <si>
    <t>Other cash and cash equivalents</t>
  </si>
  <si>
    <t>*Total cash and cash equivalents</t>
  </si>
  <si>
    <t>Other non-current assets</t>
  </si>
  <si>
    <t>Prepaid rental of buildings and facilities</t>
  </si>
  <si>
    <t>Prepaid land lease</t>
  </si>
  <si>
    <t>*Total other non-current assets</t>
  </si>
  <si>
    <t>Issued capital</t>
  </si>
  <si>
    <t>Capital from ordinary shares</t>
  </si>
  <si>
    <t>Capital from redeemable preference shares</t>
  </si>
  <si>
    <t>Capital from non-redeemable preference shares</t>
  </si>
  <si>
    <t>*Total issued capital</t>
  </si>
  <si>
    <t>Reserves</t>
  </si>
  <si>
    <t>Non-distributable</t>
  </si>
  <si>
    <t>Capital reserve</t>
  </si>
  <si>
    <t>Hedging reserve</t>
  </si>
  <si>
    <t>Foreign currency translation reserve</t>
  </si>
  <si>
    <t>Reserve of share-based payments</t>
  </si>
  <si>
    <t>Revaluation surplus</t>
  </si>
  <si>
    <t>Statutory reserve</t>
  </si>
  <si>
    <t>Warrant reserve</t>
  </si>
  <si>
    <t>Other non-distributable reserves</t>
  </si>
  <si>
    <t>Total non-distributable reserves</t>
  </si>
  <si>
    <t>Distributable</t>
  </si>
  <si>
    <t>Fair value reserves</t>
  </si>
  <si>
    <t>Reserve of non-current assets classified as held for sale</t>
  </si>
  <si>
    <t>Consolidation reserve</t>
  </si>
  <si>
    <t>Warranty reserve</t>
  </si>
  <si>
    <t>Other distributable reserves</t>
  </si>
  <si>
    <t>Total distributable reserves</t>
  </si>
  <si>
    <t>*Total reserves</t>
  </si>
  <si>
    <t>Equity - others components</t>
  </si>
  <si>
    <t>Perpetual sukuk</t>
  </si>
  <si>
    <t>Equity component of Irredeemable Convertible Unsecured Loan Stocks (ICULS)</t>
  </si>
  <si>
    <t>Equity component of preference shares</t>
  </si>
  <si>
    <t>Head office accounts</t>
  </si>
  <si>
    <t>Equity components of other financial instruments</t>
  </si>
  <si>
    <t>*Total equity - other components</t>
  </si>
  <si>
    <t>Non-current borrowings</t>
  </si>
  <si>
    <t>Non-current portion of non-current secured bank loans received</t>
  </si>
  <si>
    <t>Term loans</t>
  </si>
  <si>
    <t>Islamic financing facilities</t>
  </si>
  <si>
    <t>Hire purchase and finance lease liabilities</t>
  </si>
  <si>
    <t>Islamic medium term notes</t>
  </si>
  <si>
    <t>Sukuk</t>
  </si>
  <si>
    <t>Revolving credit and others</t>
  </si>
  <si>
    <t>Other secured bank loans</t>
  </si>
  <si>
    <t>Total non-current portion of non-current secured bank loans received</t>
  </si>
  <si>
    <t>Non-current portion of non-current unsecured bank loans received</t>
  </si>
  <si>
    <t>Irredeemable Convertible Unsecured Loan Stocks (ICULS)</t>
  </si>
  <si>
    <t>Other unsecured bank loans received</t>
  </si>
  <si>
    <t>Total non-current portion of non-current unsecured bank loans received</t>
  </si>
  <si>
    <t>Non-current portion of secured bonds, sukuk and loan stock</t>
  </si>
  <si>
    <t>Bonds</t>
  </si>
  <si>
    <t>Medium term notes</t>
  </si>
  <si>
    <t>Loan stocks</t>
  </si>
  <si>
    <t>Preference shares</t>
  </si>
  <si>
    <t>Total non-current portion of secured bonds/sukuk/loan stocks</t>
  </si>
  <si>
    <t>Non-current portion of unsecured bonds, sukuk and loan stock</t>
  </si>
  <si>
    <t>Total non-current portion of unsecured bonds/sukuk/loan stocks</t>
  </si>
  <si>
    <t>Other non-current borrowings</t>
  </si>
  <si>
    <t>Loan from subsidiaries</t>
  </si>
  <si>
    <t>Loan from associates</t>
  </si>
  <si>
    <t>Loan from joint ventures</t>
  </si>
  <si>
    <t>Redeemable preference shares</t>
  </si>
  <si>
    <t>Total other non-current borrowings</t>
  </si>
  <si>
    <t>*Total non-current borrowings</t>
  </si>
  <si>
    <t>Non-current employee benefit liabilities</t>
  </si>
  <si>
    <t>Cash-settled share-based payment liability</t>
  </si>
  <si>
    <t>Retirement benefits</t>
  </si>
  <si>
    <t>Employment termination benefits</t>
  </si>
  <si>
    <t>Provision for unconsumed leave</t>
  </si>
  <si>
    <t>Defined contribution plan</t>
  </si>
  <si>
    <t>Defined benefit plan</t>
  </si>
  <si>
    <t>Other non-current employee benefit liabilities</t>
  </si>
  <si>
    <t>*Total non-current employee benefit liabilities</t>
  </si>
  <si>
    <t>Non-current provisions</t>
  </si>
  <si>
    <t>Warranty provision</t>
  </si>
  <si>
    <t>Restructuring provision</t>
  </si>
  <si>
    <t>Legal proceedings provision</t>
  </si>
  <si>
    <t>Refund provision</t>
  </si>
  <si>
    <t>Onerous contracts provision</t>
  </si>
  <si>
    <t>Provision for decommissioning, restoration and rehabilitation costs</t>
  </si>
  <si>
    <t>Other non-current provisions</t>
  </si>
  <si>
    <t>*Total non-current provisions</t>
  </si>
  <si>
    <t>Trade and other non-current payables</t>
  </si>
  <si>
    <t>Non-current trade payables</t>
  </si>
  <si>
    <t>Trade payables</t>
  </si>
  <si>
    <t>Trade payables due to holding company</t>
  </si>
  <si>
    <t>Trade payables due to subsidiaries</t>
  </si>
  <si>
    <t>Trade payables due to associates</t>
  </si>
  <si>
    <t>Trade payables due to joint ventures</t>
  </si>
  <si>
    <t>Trade payables due to other related parties</t>
  </si>
  <si>
    <t>Other non-current trade payables</t>
  </si>
  <si>
    <t>Total non-current trade payables</t>
  </si>
  <si>
    <t>Other non-current payables</t>
  </si>
  <si>
    <t>Other non-current payables due to related parties</t>
  </si>
  <si>
    <t>Other payables due to holding company</t>
  </si>
  <si>
    <t>Other payables due to subsidiaries</t>
  </si>
  <si>
    <t>Other payables due to associates</t>
  </si>
  <si>
    <t>Other payables due to joint ventures</t>
  </si>
  <si>
    <t>Other payables due to other related parties</t>
  </si>
  <si>
    <t>Total other non-current payables due to related parties</t>
  </si>
  <si>
    <t>Other payables due to non-controlling interests</t>
  </si>
  <si>
    <t>Dividend payable to non-controlling interest</t>
  </si>
  <si>
    <t>Loans from non-controlling interest</t>
  </si>
  <si>
    <t>Miscellaneous payables due to non-controlling interests</t>
  </si>
  <si>
    <t>Total other payables due to non-controlling interests</t>
  </si>
  <si>
    <t>Non-current non-trade payables</t>
  </si>
  <si>
    <t>Deferred income</t>
  </si>
  <si>
    <t>Accruals</t>
  </si>
  <si>
    <t>Retention payable</t>
  </si>
  <si>
    <t>Other non-current non-trade payables</t>
  </si>
  <si>
    <t>Total non-current non-trade payables</t>
  </si>
  <si>
    <t>*Total trade and other non-current payables</t>
  </si>
  <si>
    <t>Non-current derivative financial liabilities</t>
  </si>
  <si>
    <t>Non-current Derivates used for hedging</t>
  </si>
  <si>
    <t>Total non-current derivatives used for hedging</t>
  </si>
  <si>
    <t>Other non-current derivative financial liabilities</t>
  </si>
  <si>
    <t>*Total non-current derivative financial liabilities</t>
  </si>
  <si>
    <t>Current borrowings</t>
  </si>
  <si>
    <t>Current secured bank loans received and current portion of non-current secured bank loans received</t>
  </si>
  <si>
    <t>Bankers' acceptance</t>
  </si>
  <si>
    <t>Bank overdrafts</t>
  </si>
  <si>
    <t>Trade financing facilities</t>
  </si>
  <si>
    <t>Other secured bank loans received</t>
  </si>
  <si>
    <t>Total current secured bank loans received and current portion of non-current secured bank loans received</t>
  </si>
  <si>
    <t>Current unsecured bank loans received and current portion of non-current unsecured bank loans received</t>
  </si>
  <si>
    <t>Block discounting payables</t>
  </si>
  <si>
    <t>Irredeemable convertible unsecured loan stocks (ICULS)</t>
  </si>
  <si>
    <t>Total current unsecured bank loans received and current portion of non-current unsecured bank loans received</t>
  </si>
  <si>
    <t>Current portion of secured bonds/sukuk/loan stocks</t>
  </si>
  <si>
    <t>Total current portion of secured bonds/sukuk/loan stocks</t>
  </si>
  <si>
    <t>Current portion of unsecured bonds/sukuk/loan stocks</t>
  </si>
  <si>
    <t>Total current portion of unsecured bonds/sukuk/loan stocks</t>
  </si>
  <si>
    <t>Other current borrowings</t>
  </si>
  <si>
    <t>Trade loans</t>
  </si>
  <si>
    <t>Total other current borrowings</t>
  </si>
  <si>
    <t>Total current borrowings</t>
  </si>
  <si>
    <t>Current employee benefit liabilities</t>
  </si>
  <si>
    <t>Other current employee benefit liabilities</t>
  </si>
  <si>
    <t>*Total current employee benefit liabilities</t>
  </si>
  <si>
    <t>Current provisions</t>
  </si>
  <si>
    <t>Refunds provision</t>
  </si>
  <si>
    <t>Other current provisions</t>
  </si>
  <si>
    <t>*Total current provisions</t>
  </si>
  <si>
    <t>Trade and other current payables</t>
  </si>
  <si>
    <t>Current trade payables</t>
  </si>
  <si>
    <t>Trade payable due to contract suppliers</t>
  </si>
  <si>
    <t>Other current trade payables</t>
  </si>
  <si>
    <t>Total current trade payables</t>
  </si>
  <si>
    <t>Other current payables</t>
  </si>
  <si>
    <t xml:space="preserve"> Other current payables due to related parties</t>
  </si>
  <si>
    <t>Total other current payables due to related parties</t>
  </si>
  <si>
    <t>Miscellaneous payable due to non-controlling interests</t>
  </si>
  <si>
    <t>Current non-trade payables</t>
  </si>
  <si>
    <t>Deposits and advanced billings</t>
  </si>
  <si>
    <t>Financing costs</t>
  </si>
  <si>
    <t>Dividend payable</t>
  </si>
  <si>
    <t>Interest payables</t>
  </si>
  <si>
    <t>Other current non-trade payables</t>
  </si>
  <si>
    <t>Total current non-trade payables</t>
  </si>
  <si>
    <t>Total other current payables</t>
  </si>
  <si>
    <t>*Total trade and other current payables</t>
  </si>
  <si>
    <t>Current derivative financial liabilities</t>
  </si>
  <si>
    <t>Current derivatives used for hedging</t>
  </si>
  <si>
    <t>Total current derivatives used for hedging</t>
  </si>
  <si>
    <t>Other current derivative financial liabilities</t>
  </si>
  <si>
    <t>*Total current derivative financial liabilities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</si>
</sst>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Aptos Narrow"/>
      <family val="2"/>
      <charset val="1"/>
    </font>
    <font>
      <sz val="10"/>
      <name val="Arial"/>
      <family val="2"/>
    </font>
    <font>
      <b/>
      <sz val="10"/>
      <color rgb="FF000000"/>
      <name val="Verdana"/>
      <family val="2"/>
      <charset val="1"/>
    </font>
    <font>
      <sz val="10"/>
      <color rgb="FFFF0000"/>
      <name val="Verdana"/>
      <family val="2"/>
      <charset val="1"/>
    </font>
    <font>
      <sz val="10"/>
      <color rgb="FF000000"/>
      <name val="Verdana"/>
      <family val="2"/>
      <charset val="1"/>
    </font>
    <font>
      <b/>
      <sz val="10"/>
      <color rgb="FFFF0000"/>
      <name val="Verdana"/>
      <family val="2"/>
      <charset val="1"/>
    </font>
    <font>
      <b/>
      <sz val="10"/>
      <color rgb="FF010000"/>
      <name val="Verdana"/>
      <family val="2"/>
      <charset val="1"/>
    </font>
    <font>
      <sz val="10"/>
      <color rgb="FFFFFFFF"/>
      <name val="Verdana"/>
      <family val="2"/>
      <charset val="1"/>
    </font>
    <font>
      <sz val="10"/>
      <color theme="1"/>
      <name val="Verdana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C0C0C0"/>
        <bgColor rgb="FFCCCCFF"/>
      </patternFill>
    </fill>
    <fill>
      <patternFill patternType="solid">
        <fgColor rgb="FFFFFFFF"/>
        <bgColor rgb="FFFFFFCC"/>
      </patternFill>
    </fill>
    <fill>
      <patternFill patternType="solid">
        <fgColor rgb="FF99CCFF"/>
        <bgColor rgb="FFCCCCFF"/>
      </patternFill>
    </fill>
    <fill>
      <patternFill patternType="solid">
        <fgColor rgb="FF203764"/>
        <bgColor rgb="FF333333"/>
      </patternFill>
    </fill>
  </fills>
  <borders count="5">
    <border>
      <left/>
      <right/>
      <top/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uble">
        <color auto="1"/>
      </bottom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2" borderId="1" xfId="0" applyFont="1" applyFill="1" applyBorder="1" applyAlignment="1">
      <alignment vertical="center" wrapText="1" shrinkToFit="1"/>
    </xf>
    <xf numFmtId="0" fontId="2" fillId="2" borderId="1" xfId="0" applyFont="1" applyFill="1" applyBorder="1" applyAlignment="1">
      <alignment horizontal="left" vertical="center" wrapText="1" indent="2" shrinkToFit="1"/>
    </xf>
    <xf numFmtId="0" fontId="2" fillId="2" borderId="1" xfId="0" applyFont="1" applyFill="1" applyBorder="1" applyAlignment="1">
      <alignment horizontal="left" vertical="center" wrapText="1" indent="4" shrinkToFit="1"/>
    </xf>
    <xf numFmtId="0" fontId="2" fillId="2" borderId="1" xfId="0" applyFont="1" applyFill="1" applyBorder="1" applyAlignment="1">
      <alignment horizontal="left" vertical="center" wrapText="1" indent="6" shrinkToFit="1"/>
    </xf>
    <xf numFmtId="0" fontId="3" fillId="3" borderId="1" xfId="0" applyFont="1" applyFill="1" applyBorder="1" applyAlignment="1">
      <alignment horizontal="left" vertical="center" wrapText="1" indent="7" shrinkToFit="1"/>
    </xf>
    <xf numFmtId="40" fontId="4" fillId="4" borderId="1" xfId="0" applyNumberFormat="1" applyFont="1" applyFill="1" applyBorder="1" applyAlignment="1">
      <alignment horizontal="right" vertical="center" wrapText="1" shrinkToFit="1"/>
    </xf>
    <xf numFmtId="0" fontId="4" fillId="3" borderId="1" xfId="0" applyFont="1" applyFill="1" applyBorder="1" applyAlignment="1">
      <alignment horizontal="left" vertical="center" wrapText="1" indent="8" shrinkToFit="1"/>
    </xf>
    <xf numFmtId="40" fontId="4" fillId="3" borderId="1" xfId="0" applyNumberFormat="1" applyFont="1" applyFill="1" applyBorder="1" applyAlignment="1" applyProtection="1">
      <alignment horizontal="right" vertical="center" wrapText="1" shrinkToFit="1"/>
      <protection locked="0"/>
    </xf>
    <xf numFmtId="0" fontId="5" fillId="4" borderId="1" xfId="0" applyFont="1" applyFill="1" applyBorder="1" applyAlignment="1">
      <alignment horizontal="left" vertical="center" wrapText="1" indent="7" shrinkToFit="1"/>
    </xf>
    <xf numFmtId="40" fontId="4" fillId="4" borderId="2" xfId="0" applyNumberFormat="1" applyFont="1" applyFill="1" applyBorder="1" applyAlignment="1">
      <alignment horizontal="right" vertical="center" wrapText="1" shrinkToFit="1"/>
    </xf>
    <xf numFmtId="0" fontId="2" fillId="2" borderId="3" xfId="0" applyFont="1" applyFill="1" applyBorder="1" applyAlignment="1">
      <alignment vertical="center" wrapText="1" shrinkToFit="1"/>
    </xf>
    <xf numFmtId="0" fontId="2" fillId="4" borderId="1" xfId="0" applyFont="1" applyFill="1" applyBorder="1" applyAlignment="1">
      <alignment horizontal="left" vertical="center" wrapText="1" indent="8" shrinkToFit="1"/>
    </xf>
    <xf numFmtId="40" fontId="4" fillId="3" borderId="3" xfId="0" applyNumberFormat="1" applyFont="1" applyFill="1" applyBorder="1" applyAlignment="1" applyProtection="1">
      <alignment horizontal="right" vertical="center" wrapText="1" shrinkToFit="1"/>
      <protection locked="0"/>
    </xf>
    <xf numFmtId="40" fontId="4" fillId="4" borderId="4" xfId="0" applyNumberFormat="1" applyFont="1" applyFill="1" applyBorder="1" applyAlignment="1">
      <alignment horizontal="right" vertical="center" wrapText="1" shrinkToFit="1"/>
    </xf>
    <xf numFmtId="0" fontId="5" fillId="4" borderId="1" xfId="0" applyFont="1" applyFill="1" applyBorder="1" applyAlignment="1">
      <alignment horizontal="left" vertical="center" wrapText="1" indent="5" shrinkToFit="1"/>
    </xf>
    <xf numFmtId="0" fontId="2" fillId="2" borderId="1" xfId="0" applyFont="1" applyFill="1" applyBorder="1" applyAlignment="1">
      <alignment horizontal="left" vertical="center" wrapText="1" indent="8" shrinkToFit="1"/>
    </xf>
    <xf numFmtId="0" fontId="4" fillId="3" borderId="1" xfId="0" applyFont="1" applyFill="1" applyBorder="1" applyAlignment="1">
      <alignment horizontal="left" vertical="center" wrapText="1" indent="10" shrinkToFit="1"/>
    </xf>
    <xf numFmtId="0" fontId="3" fillId="3" borderId="1" xfId="0" applyFont="1" applyFill="1" applyBorder="1" applyAlignment="1">
      <alignment horizontal="left" vertical="center" wrapText="1" indent="9" shrinkToFit="1"/>
    </xf>
    <xf numFmtId="0" fontId="2" fillId="4" borderId="1" xfId="0" applyFont="1" applyFill="1" applyBorder="1" applyAlignment="1">
      <alignment horizontal="left" vertical="center" wrapText="1" indent="10" shrinkToFit="1"/>
    </xf>
    <xf numFmtId="0" fontId="5" fillId="4" borderId="1" xfId="0" applyFont="1" applyFill="1" applyBorder="1" applyAlignment="1">
      <alignment horizontal="left" vertical="center" wrapText="1" indent="9" shrinkToFit="1"/>
    </xf>
    <xf numFmtId="0" fontId="6" fillId="0" borderId="0" xfId="0" applyFont="1" applyAlignment="1">
      <alignment horizontal="right"/>
    </xf>
    <xf numFmtId="0" fontId="7" fillId="5" borderId="1" xfId="0" applyFont="1" applyFill="1" applyBorder="1" applyAlignment="1">
      <alignment horizontal="center" vertical="center" wrapText="1" shrinkToFit="1"/>
    </xf>
    <xf numFmtId="0" fontId="6" fillId="0" borderId="0" xfId="0" applyFont="1"/>
    <xf numFmtId="0" fontId="8" fillId="0" borderId="0" xfId="0" applyFont="1"/>
    <xf numFmtId="0" fontId="2" fillId="2" borderId="1" xfId="0" applyFont="1" applyFill="1" applyBorder="1" applyAlignment="1">
      <alignment horizontal="left" vertical="center" wrapText="1" indent="10" shrinkToFit="1"/>
    </xf>
    <xf numFmtId="0" fontId="4" fillId="3" borderId="1" xfId="0" applyFont="1" applyFill="1" applyBorder="1" applyAlignment="1">
      <alignment horizontal="left" vertical="center" wrapText="1" indent="12" shrinkToFit="1"/>
    </xf>
    <xf numFmtId="0" fontId="2" fillId="4" borderId="1" xfId="0" applyFont="1" applyFill="1" applyBorder="1" applyAlignment="1">
      <alignment horizontal="left" vertical="center" wrapText="1" indent="12" shrinkToFi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203764"/>
      <rgbColor rgb="FF339966"/>
      <rgbColor rgb="FF0100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5"/>
  <sheetViews>
    <sheetView zoomScaleNormal="100" workbookViewId="0">
      <selection activeCell="A14" sqref="A14"/>
    </sheetView>
  </sheetViews>
  <sheetFormatPr baseColWidth="10" defaultColWidth="10.5" defaultRowHeight="16" x14ac:dyDescent="0.2"/>
  <cols>
    <col min="1" max="1" width="79.83203125" customWidth="1"/>
    <col min="2" max="2" width="23.6640625" customWidth="1"/>
    <col min="3" max="3" width="27.33203125" customWidth="1"/>
  </cols>
  <sheetData>
    <row r="1" spans="1:3" ht="15.75" customHeight="1" x14ac:dyDescent="0.2">
      <c r="B1" t="s">
        <v>0</v>
      </c>
      <c r="C1" t="s">
        <v>0</v>
      </c>
    </row>
    <row r="3" spans="1:3" ht="15.75" customHeight="1" x14ac:dyDescent="0.2">
      <c r="A3" s="1" t="s">
        <v>1</v>
      </c>
      <c r="B3" s="1"/>
      <c r="C3" s="1"/>
    </row>
    <row r="4" spans="1:3" ht="15.75" customHeight="1" x14ac:dyDescent="0.2">
      <c r="A4" s="2" t="s">
        <v>1</v>
      </c>
      <c r="B4" s="1"/>
      <c r="C4" s="1"/>
    </row>
    <row r="5" spans="1:3" ht="15.75" customHeight="1" x14ac:dyDescent="0.2">
      <c r="A5" s="3" t="s">
        <v>2</v>
      </c>
      <c r="B5" s="1"/>
      <c r="C5" s="1"/>
    </row>
    <row r="6" spans="1:3" ht="15.75" customHeight="1" x14ac:dyDescent="0.2">
      <c r="A6" s="4" t="s">
        <v>3</v>
      </c>
      <c r="B6" s="1"/>
      <c r="C6" s="1"/>
    </row>
    <row r="7" spans="1:3" ht="15.75" customHeight="1" x14ac:dyDescent="0.2">
      <c r="A7" s="5" t="s">
        <v>4</v>
      </c>
      <c r="B7" s="6">
        <f>'SOFP-Sub-CuNonCu'!B38</f>
        <v>0</v>
      </c>
      <c r="C7" s="6">
        <f>'SOFP-Sub-CuNonCu'!C38</f>
        <v>0</v>
      </c>
    </row>
    <row r="8" spans="1:3" ht="15.75" customHeight="1" x14ac:dyDescent="0.2">
      <c r="A8" s="5" t="s">
        <v>5</v>
      </c>
      <c r="B8" s="6">
        <f>'SOFP-Sub-CuNonCu'!B48</f>
        <v>0</v>
      </c>
      <c r="C8" s="6">
        <f>'SOFP-Sub-CuNonCu'!C48</f>
        <v>0</v>
      </c>
    </row>
    <row r="9" spans="1:3" ht="15.75" customHeight="1" x14ac:dyDescent="0.2">
      <c r="A9" s="7" t="s">
        <v>6</v>
      </c>
      <c r="B9" s="8"/>
      <c r="C9" s="8"/>
    </row>
    <row r="10" spans="1:3" ht="15.75" customHeight="1" x14ac:dyDescent="0.2">
      <c r="A10" s="7" t="s">
        <v>7</v>
      </c>
      <c r="B10" s="8"/>
      <c r="C10" s="8"/>
    </row>
    <row r="11" spans="1:3" ht="15.75" customHeight="1" x14ac:dyDescent="0.2">
      <c r="A11" s="7" t="s">
        <v>8</v>
      </c>
      <c r="B11" s="8"/>
      <c r="C11" s="8"/>
    </row>
    <row r="12" spans="1:3" ht="15.75" customHeight="1" x14ac:dyDescent="0.2">
      <c r="A12" s="5" t="s">
        <v>9</v>
      </c>
      <c r="B12" s="6">
        <f>'SOFP-Sub-CuNonCu'!B68</f>
        <v>0</v>
      </c>
      <c r="C12" s="6">
        <f>'SOFP-Sub-CuNonCu'!C68</f>
        <v>0</v>
      </c>
    </row>
    <row r="13" spans="1:3" ht="15.75" customHeight="1" x14ac:dyDescent="0.2">
      <c r="A13" s="5" t="s">
        <v>10</v>
      </c>
      <c r="B13" s="6">
        <f>'SOFP-Sub-CuNonCu'!B76</f>
        <v>0</v>
      </c>
      <c r="C13" s="6">
        <f>'SOFP-Sub-CuNonCu'!C76</f>
        <v>0</v>
      </c>
    </row>
    <row r="14" spans="1:3" ht="15.75" customHeight="1" x14ac:dyDescent="0.2">
      <c r="A14" s="5" t="s">
        <v>11</v>
      </c>
      <c r="B14" s="6">
        <f>'SOFP-Sub-CuNonCu'!B85</f>
        <v>0</v>
      </c>
      <c r="C14" s="6">
        <f>'SOFP-Sub-CuNonCu'!C85</f>
        <v>0</v>
      </c>
    </row>
    <row r="15" spans="1:3" ht="15.75" customHeight="1" x14ac:dyDescent="0.2">
      <c r="A15" s="5" t="s">
        <v>12</v>
      </c>
      <c r="B15" s="6">
        <f>'SOFP-Sub-CuNonCu'!B94</f>
        <v>0</v>
      </c>
      <c r="C15" s="6">
        <f>'SOFP-Sub-CuNonCu'!C94</f>
        <v>0</v>
      </c>
    </row>
    <row r="16" spans="1:3" ht="15.75" customHeight="1" x14ac:dyDescent="0.2">
      <c r="A16" s="5" t="s">
        <v>13</v>
      </c>
      <c r="B16" s="8"/>
      <c r="C16" s="8"/>
    </row>
    <row r="17" spans="1:3" ht="15.75" customHeight="1" x14ac:dyDescent="0.2">
      <c r="A17" s="5" t="s">
        <v>14</v>
      </c>
      <c r="B17" s="6">
        <f>'SOFP-Sub-CuNonCu'!B119</f>
        <v>0</v>
      </c>
      <c r="C17" s="6">
        <f>'SOFP-Sub-CuNonCu'!C119</f>
        <v>0</v>
      </c>
    </row>
    <row r="18" spans="1:3" ht="15.75" customHeight="1" x14ac:dyDescent="0.2">
      <c r="A18" s="7" t="s">
        <v>15</v>
      </c>
      <c r="B18" s="8"/>
      <c r="C18" s="8"/>
    </row>
    <row r="19" spans="1:3" ht="15.75" customHeight="1" x14ac:dyDescent="0.2">
      <c r="A19" s="7" t="s">
        <v>16</v>
      </c>
      <c r="B19" s="8"/>
      <c r="C19" s="8"/>
    </row>
    <row r="20" spans="1:3" ht="15.75" customHeight="1" x14ac:dyDescent="0.2">
      <c r="A20" s="5" t="s">
        <v>17</v>
      </c>
      <c r="B20" s="6">
        <f>'SOFP-Sub-CuNonCu'!B128</f>
        <v>0</v>
      </c>
      <c r="C20" s="6">
        <f>'SOFP-Sub-CuNonCu'!C128</f>
        <v>0</v>
      </c>
    </row>
    <row r="21" spans="1:3" ht="15.75" customHeight="1" x14ac:dyDescent="0.2">
      <c r="A21" s="5" t="s">
        <v>18</v>
      </c>
      <c r="B21" s="6">
        <f>'SOFP-Sub-CuNonCu'!B197</f>
        <v>0</v>
      </c>
      <c r="C21" s="6">
        <f>'SOFP-Sub-CuNonCu'!C197</f>
        <v>0</v>
      </c>
    </row>
    <row r="22" spans="1:3" ht="16.5" customHeight="1" x14ac:dyDescent="0.2">
      <c r="A22" s="9" t="s">
        <v>19</v>
      </c>
      <c r="B22" s="10">
        <f>1*B7+1*B8+1*B9+1*B10+1*B11+1*B12+1*B13+1*B14+1*B15+1*B16+1*B17+1*B18+1*B19+1*B20+1*B21</f>
        <v>0</v>
      </c>
      <c r="C22" s="10">
        <f>1*C7+1*C8+1*C9+1*C10+1*C11+1*C12+1*C13+1*C14+1*C15+1*C16+1*C17+1*C18+1*C19+1*C20+1*C21</f>
        <v>0</v>
      </c>
    </row>
    <row r="23" spans="1:3" ht="16.5" customHeight="1" x14ac:dyDescent="0.2">
      <c r="A23" s="4" t="s">
        <v>20</v>
      </c>
      <c r="B23" s="11"/>
      <c r="C23" s="11"/>
    </row>
    <row r="24" spans="1:3" ht="15.75" customHeight="1" x14ac:dyDescent="0.2">
      <c r="A24" s="5" t="s">
        <v>21</v>
      </c>
      <c r="B24" s="6">
        <f>'SOFP-Sub-CuNonCu'!B135</f>
        <v>0</v>
      </c>
      <c r="C24" s="6">
        <f>'SOFP-Sub-CuNonCu'!C135</f>
        <v>0</v>
      </c>
    </row>
    <row r="25" spans="1:3" ht="15.75" customHeight="1" x14ac:dyDescent="0.2">
      <c r="A25" s="7" t="s">
        <v>6</v>
      </c>
      <c r="B25" s="8"/>
      <c r="C25" s="8"/>
    </row>
    <row r="26" spans="1:3" ht="15.75" customHeight="1" x14ac:dyDescent="0.2">
      <c r="A26" s="7" t="s">
        <v>22</v>
      </c>
      <c r="B26" s="8"/>
      <c r="C26" s="8"/>
    </row>
    <row r="27" spans="1:3" ht="15.75" customHeight="1" x14ac:dyDescent="0.2">
      <c r="A27" s="7" t="s">
        <v>23</v>
      </c>
      <c r="B27" s="8"/>
      <c r="C27" s="8"/>
    </row>
    <row r="28" spans="1:3" ht="15.75" customHeight="1" x14ac:dyDescent="0.2">
      <c r="A28" s="5" t="s">
        <v>24</v>
      </c>
      <c r="B28" s="6">
        <f>'SOFP-Sub-CuNonCu'!B168</f>
        <v>0</v>
      </c>
      <c r="C28" s="6">
        <f>'SOFP-Sub-CuNonCu'!C168</f>
        <v>0</v>
      </c>
    </row>
    <row r="29" spans="1:3" ht="15.75" customHeight="1" x14ac:dyDescent="0.2">
      <c r="A29" s="7" t="s">
        <v>15</v>
      </c>
      <c r="B29" s="8"/>
      <c r="C29" s="8"/>
    </row>
    <row r="30" spans="1:3" ht="15.75" customHeight="1" x14ac:dyDescent="0.2">
      <c r="A30" s="5" t="s">
        <v>17</v>
      </c>
      <c r="B30" s="6">
        <f>'SOFP-Sub-CuNonCu'!B177</f>
        <v>0</v>
      </c>
      <c r="C30" s="6">
        <f>'SOFP-Sub-CuNonCu'!C177</f>
        <v>0</v>
      </c>
    </row>
    <row r="31" spans="1:3" ht="15.75" customHeight="1" x14ac:dyDescent="0.2">
      <c r="A31" s="5" t="s">
        <v>25</v>
      </c>
      <c r="B31" s="6">
        <f>'SOFP-Sub-CuNonCu'!B192</f>
        <v>0</v>
      </c>
      <c r="C31" s="6">
        <f>'SOFP-Sub-CuNonCu'!C192</f>
        <v>0</v>
      </c>
    </row>
    <row r="32" spans="1:3" ht="15.75" customHeight="1" x14ac:dyDescent="0.2">
      <c r="A32" s="5" t="s">
        <v>26</v>
      </c>
      <c r="B32" s="8"/>
      <c r="C32" s="8"/>
    </row>
    <row r="33" spans="1:3" ht="16.5" customHeight="1" x14ac:dyDescent="0.2">
      <c r="A33" s="12" t="s">
        <v>27</v>
      </c>
      <c r="B33" s="10">
        <f>1*B24+1*B25+1*B26+1*B27+1*B28+1*B29+1*B30+1*B31+1*B32</f>
        <v>0</v>
      </c>
      <c r="C33" s="10">
        <f>1*C24+1*C25+1*C26+1*C27+1*C28+1*C29+1*C30+1*C31+1*C32</f>
        <v>0</v>
      </c>
    </row>
    <row r="34" spans="1:3" ht="28.5" customHeight="1" x14ac:dyDescent="0.2">
      <c r="A34" s="7" t="s">
        <v>28</v>
      </c>
      <c r="B34" s="13"/>
      <c r="C34" s="13"/>
    </row>
    <row r="35" spans="1:3" ht="15.75" customHeight="1" x14ac:dyDescent="0.2">
      <c r="A35" s="9" t="s">
        <v>29</v>
      </c>
      <c r="B35" s="14">
        <f>1*B24+1*B25+1*B26+1*B27+1*B28+1*B29+1*B30+1*B31+1*B32+1*B34</f>
        <v>0</v>
      </c>
      <c r="C35" s="14">
        <f>1*C24+1*C25+1*C26+1*C27+1*C28+1*C29+1*C30+1*C31+1*C32+1*C34</f>
        <v>0</v>
      </c>
    </row>
    <row r="36" spans="1:3" ht="16.5" customHeight="1" x14ac:dyDescent="0.2">
      <c r="A36" s="15" t="s">
        <v>30</v>
      </c>
      <c r="B36" s="10">
        <f>1*B7+1*B8+1*B10+1*B11+1*B12+1*B13+1*B14+1*B15+1*B16+1*B17+1*B18+1*B19+1*B20+1*B21+1*B24+1*B26+1*B27+1*B28+1*B29+1*B30+1*B31+1*B32+1*B34+1*B25+1*B9</f>
        <v>0</v>
      </c>
      <c r="C36" s="10">
        <f>1*C7+1*C8+1*C10+1*C11+1*C12+1*C13+1*C14+1*C15+1*C16+1*C17+1*C18+1*C19+1*C20+1*C21+1*C24+1*C26+1*C27+1*C28+1*C29+1*C30+1*C31+1*C32+1*C34+1*C25+1*C9</f>
        <v>0</v>
      </c>
    </row>
    <row r="37" spans="1:3" ht="16.5" customHeight="1" x14ac:dyDescent="0.2">
      <c r="A37" s="3" t="s">
        <v>31</v>
      </c>
      <c r="B37" s="11"/>
      <c r="C37" s="11"/>
    </row>
    <row r="38" spans="1:3" ht="15.75" customHeight="1" x14ac:dyDescent="0.2">
      <c r="A38" s="4" t="s">
        <v>32</v>
      </c>
      <c r="B38" s="1"/>
      <c r="C38" s="1"/>
    </row>
    <row r="39" spans="1:3" ht="15.75" customHeight="1" x14ac:dyDescent="0.2">
      <c r="A39" s="5" t="s">
        <v>33</v>
      </c>
      <c r="B39" s="6">
        <f>'SOFP-Sub-CuNonCu'!B202</f>
        <v>0</v>
      </c>
      <c r="C39" s="6">
        <f>'SOFP-Sub-CuNonCu'!C202</f>
        <v>0</v>
      </c>
    </row>
    <row r="40" spans="1:3" ht="15.75" customHeight="1" x14ac:dyDescent="0.2">
      <c r="A40" s="5" t="s">
        <v>34</v>
      </c>
      <c r="B40" s="8"/>
      <c r="C40" s="8"/>
    </row>
    <row r="41" spans="1:3" ht="15.75" customHeight="1" x14ac:dyDescent="0.2">
      <c r="A41" s="7" t="s">
        <v>35</v>
      </c>
      <c r="B41" s="8"/>
      <c r="C41" s="8"/>
    </row>
    <row r="42" spans="1:3" ht="15.75" customHeight="1" x14ac:dyDescent="0.2">
      <c r="A42" s="5" t="s">
        <v>36</v>
      </c>
      <c r="B42" s="6">
        <f>'SOFP-Sub-CuNonCu'!B221</f>
        <v>0</v>
      </c>
      <c r="C42" s="6">
        <f>'SOFP-Sub-CuNonCu'!C221</f>
        <v>0</v>
      </c>
    </row>
    <row r="43" spans="1:3" ht="15.75" customHeight="1" x14ac:dyDescent="0.2">
      <c r="A43" s="9" t="s">
        <v>37</v>
      </c>
      <c r="B43" s="14">
        <f>1*B39+1*B40+-1*B41+1*B42</f>
        <v>0</v>
      </c>
      <c r="C43" s="14">
        <f>1*C39+1*C40+-1*C41+1*C42</f>
        <v>0</v>
      </c>
    </row>
    <row r="44" spans="1:3" ht="15.75" customHeight="1" x14ac:dyDescent="0.2">
      <c r="A44" s="5" t="s">
        <v>38</v>
      </c>
      <c r="B44" s="6">
        <f>'SOFP-Sub-CuNonCu'!B228</f>
        <v>0</v>
      </c>
      <c r="C44" s="6">
        <f>'SOFP-Sub-CuNonCu'!C228</f>
        <v>0</v>
      </c>
    </row>
    <row r="45" spans="1:3" ht="15.75" customHeight="1" x14ac:dyDescent="0.2">
      <c r="A45" s="5" t="s">
        <v>39</v>
      </c>
      <c r="B45" s="8"/>
      <c r="C45" s="8"/>
    </row>
    <row r="46" spans="1:3" ht="15.75" customHeight="1" x14ac:dyDescent="0.2">
      <c r="A46" s="9" t="s">
        <v>40</v>
      </c>
      <c r="B46" s="6">
        <f>1*B39+1*B40+-1*B41+1*B42+1*B44+1*B45</f>
        <v>0</v>
      </c>
      <c r="C46" s="6">
        <f>1*C39+1*C40+-1*C41+1*C42+1*C44+1*C45</f>
        <v>0</v>
      </c>
    </row>
    <row r="47" spans="1:3" ht="15.75" customHeight="1" x14ac:dyDescent="0.2">
      <c r="A47" s="4" t="s">
        <v>41</v>
      </c>
      <c r="B47" s="1"/>
      <c r="C47" s="1"/>
    </row>
    <row r="48" spans="1:3" ht="15.75" customHeight="1" x14ac:dyDescent="0.2">
      <c r="A48" s="16" t="s">
        <v>42</v>
      </c>
      <c r="B48" s="1"/>
      <c r="C48" s="1"/>
    </row>
    <row r="49" spans="1:3" ht="15.75" customHeight="1" x14ac:dyDescent="0.2">
      <c r="A49" s="17" t="s">
        <v>43</v>
      </c>
      <c r="B49" s="8"/>
      <c r="C49" s="8"/>
    </row>
    <row r="50" spans="1:3" ht="15.75" customHeight="1" x14ac:dyDescent="0.2">
      <c r="A50" s="18" t="s">
        <v>44</v>
      </c>
      <c r="B50" s="6">
        <f>'SOFP-Sub-CuNonCu'!B270</f>
        <v>0</v>
      </c>
      <c r="C50" s="6">
        <f>'SOFP-Sub-CuNonCu'!C270</f>
        <v>0</v>
      </c>
    </row>
    <row r="51" spans="1:3" ht="15.75" customHeight="1" x14ac:dyDescent="0.2">
      <c r="A51" s="17" t="s">
        <v>45</v>
      </c>
      <c r="B51" s="8"/>
      <c r="C51" s="8"/>
    </row>
    <row r="52" spans="1:3" ht="15.75" customHeight="1" x14ac:dyDescent="0.2">
      <c r="A52" s="18" t="s">
        <v>46</v>
      </c>
      <c r="B52" s="6">
        <f>'SOFP-Sub-CuNonCu'!B279</f>
        <v>0</v>
      </c>
      <c r="C52" s="6">
        <f>'SOFP-Sub-CuNonCu'!C279</f>
        <v>0</v>
      </c>
    </row>
    <row r="53" spans="1:3" ht="15.75" customHeight="1" x14ac:dyDescent="0.2">
      <c r="A53" s="18" t="s">
        <v>47</v>
      </c>
      <c r="B53" s="6">
        <f>'SOFP-Sub-CuNonCu'!B288</f>
        <v>0</v>
      </c>
      <c r="C53" s="6">
        <f>'SOFP-Sub-CuNonCu'!C288</f>
        <v>0</v>
      </c>
    </row>
    <row r="54" spans="1:3" ht="15.75" customHeight="1" x14ac:dyDescent="0.2">
      <c r="A54" s="18" t="s">
        <v>48</v>
      </c>
      <c r="B54" s="6">
        <f>'SOFP-Sub-CuNonCu'!B320</f>
        <v>0</v>
      </c>
      <c r="C54" s="6">
        <f>'SOFP-Sub-CuNonCu'!C320</f>
        <v>0</v>
      </c>
    </row>
    <row r="55" spans="1:3" ht="15.75" customHeight="1" x14ac:dyDescent="0.2">
      <c r="A55" s="17" t="s">
        <v>49</v>
      </c>
      <c r="B55" s="8"/>
      <c r="C55" s="8"/>
    </row>
    <row r="56" spans="1:3" ht="15.75" customHeight="1" x14ac:dyDescent="0.2">
      <c r="A56" s="17" t="s">
        <v>50</v>
      </c>
      <c r="B56" s="8"/>
      <c r="C56" s="8"/>
    </row>
    <row r="57" spans="1:3" ht="15.75" customHeight="1" x14ac:dyDescent="0.2">
      <c r="A57" s="18" t="s">
        <v>51</v>
      </c>
      <c r="B57" s="6">
        <f>'SOFP-Sub-CuNonCu'!B335</f>
        <v>0</v>
      </c>
      <c r="C57" s="6">
        <f>'SOFP-Sub-CuNonCu'!C335</f>
        <v>0</v>
      </c>
    </row>
    <row r="58" spans="1:3" ht="15.75" customHeight="1" x14ac:dyDescent="0.2">
      <c r="A58" s="17" t="s">
        <v>52</v>
      </c>
      <c r="B58" s="8"/>
      <c r="C58" s="8"/>
    </row>
    <row r="59" spans="1:3" ht="16.5" customHeight="1" x14ac:dyDescent="0.2">
      <c r="A59" s="19" t="s">
        <v>53</v>
      </c>
      <c r="B59" s="10">
        <f>1*B49+1*B50+1*B51+1*B52+1*B53+1*B54+1*B55+1*B56+1*B57+1*B58</f>
        <v>0</v>
      </c>
      <c r="C59" s="10">
        <f>1*C49+1*C50+1*C51+1*C52+1*C53+1*C54+1*C55+1*C56+1*C57+1*C58</f>
        <v>0</v>
      </c>
    </row>
    <row r="60" spans="1:3" ht="16.5" customHeight="1" x14ac:dyDescent="0.2">
      <c r="A60" s="16" t="s">
        <v>54</v>
      </c>
      <c r="B60" s="11"/>
      <c r="C60" s="11"/>
    </row>
    <row r="61" spans="1:3" ht="15.75" customHeight="1" x14ac:dyDescent="0.2">
      <c r="A61" s="18" t="s">
        <v>44</v>
      </c>
      <c r="B61" s="6">
        <f>'SOFP-Sub-CuNonCu'!B382</f>
        <v>0</v>
      </c>
      <c r="C61" s="6">
        <f>'SOFP-Sub-CuNonCu'!C382</f>
        <v>0</v>
      </c>
    </row>
    <row r="62" spans="1:3" ht="15.75" customHeight="1" x14ac:dyDescent="0.2">
      <c r="A62" s="17" t="s">
        <v>45</v>
      </c>
      <c r="B62" s="8"/>
      <c r="C62" s="8"/>
    </row>
    <row r="63" spans="1:3" ht="15.75" customHeight="1" x14ac:dyDescent="0.2">
      <c r="A63" s="18" t="s">
        <v>46</v>
      </c>
      <c r="B63" s="6">
        <f>'SOFP-Sub-CuNonCu'!B391</f>
        <v>0</v>
      </c>
      <c r="C63" s="6">
        <f>'SOFP-Sub-CuNonCu'!C391</f>
        <v>0</v>
      </c>
    </row>
    <row r="64" spans="1:3" ht="15.75" customHeight="1" x14ac:dyDescent="0.2">
      <c r="A64" s="18" t="s">
        <v>47</v>
      </c>
      <c r="B64" s="6">
        <f>'SOFP-Sub-CuNonCu'!B400</f>
        <v>0</v>
      </c>
      <c r="C64" s="6">
        <f>'SOFP-Sub-CuNonCu'!C400</f>
        <v>0</v>
      </c>
    </row>
    <row r="65" spans="1:3" ht="15.75" customHeight="1" x14ac:dyDescent="0.2">
      <c r="A65" s="17" t="s">
        <v>55</v>
      </c>
      <c r="B65" s="8"/>
      <c r="C65" s="8"/>
    </row>
    <row r="66" spans="1:3" ht="15.75" customHeight="1" x14ac:dyDescent="0.2">
      <c r="A66" s="18" t="s">
        <v>56</v>
      </c>
      <c r="B66" s="6">
        <f>'SOFP-Sub-CuNonCu'!B436</f>
        <v>0</v>
      </c>
      <c r="C66" s="6">
        <f>'SOFP-Sub-CuNonCu'!C436</f>
        <v>0</v>
      </c>
    </row>
    <row r="67" spans="1:3" ht="15.75" customHeight="1" x14ac:dyDescent="0.2">
      <c r="A67" s="17" t="s">
        <v>49</v>
      </c>
      <c r="B67" s="8"/>
      <c r="C67" s="8"/>
    </row>
    <row r="68" spans="1:3" ht="15.75" customHeight="1" x14ac:dyDescent="0.2">
      <c r="A68" s="18" t="s">
        <v>51</v>
      </c>
      <c r="B68" s="6">
        <f>'SOFP-Sub-CuNonCu'!B451</f>
        <v>0</v>
      </c>
      <c r="C68" s="6">
        <f>'SOFP-Sub-CuNonCu'!C451</f>
        <v>0</v>
      </c>
    </row>
    <row r="69" spans="1:3" ht="15.75" customHeight="1" x14ac:dyDescent="0.2">
      <c r="A69" s="17" t="s">
        <v>57</v>
      </c>
      <c r="B69" s="8"/>
      <c r="C69" s="8"/>
    </row>
    <row r="70" spans="1:3" ht="16.5" customHeight="1" x14ac:dyDescent="0.2">
      <c r="A70" s="19" t="s">
        <v>58</v>
      </c>
      <c r="B70" s="10">
        <f>1*B61+1*B62+1*B63+1*B64+1*B65+1*B66+1*B67+1*B68+1*B69</f>
        <v>0</v>
      </c>
      <c r="C70" s="10">
        <f>1*C61+1*C62+1*C63+1*C64+1*C65+1*C66+1*C67+1*C68+1*C69</f>
        <v>0</v>
      </c>
    </row>
    <row r="71" spans="1:3" ht="16.5" customHeight="1" x14ac:dyDescent="0.2">
      <c r="A71" s="18" t="s">
        <v>59</v>
      </c>
      <c r="B71" s="13"/>
      <c r="C71" s="13"/>
    </row>
    <row r="72" spans="1:3" ht="15.75" customHeight="1" x14ac:dyDescent="0.2">
      <c r="A72" s="20" t="s">
        <v>60</v>
      </c>
      <c r="B72" s="14">
        <f>1*B61+1*B62+1*B63+1*B64+1*B65+1*B66+1*B67+1*B68+1*B69+1*B71</f>
        <v>0</v>
      </c>
      <c r="C72" s="14">
        <f>1*C61+1*C62+1*C63+1*C64+1*C65+1*C66+1*C67+1*C68+1*C69+1*C71</f>
        <v>0</v>
      </c>
    </row>
    <row r="73" spans="1:3" ht="15.75" customHeight="1" x14ac:dyDescent="0.2">
      <c r="A73" s="9" t="s">
        <v>61</v>
      </c>
      <c r="B73" s="6">
        <f>1*B49+1*B50+1*B51+1*B52+1*B53+1*B54+1*B55+1*B56+1*B57+1*B58+1*B61+1*B62+1*B63+1*B64+1*B65+1*B66+1*B67+1*B68+1*B69+1*B71</f>
        <v>0</v>
      </c>
      <c r="C73" s="6">
        <f>1*C49+1*C50+1*C51+1*C52+1*C53+1*C54+1*C55+1*C56+1*C57+1*C58+1*C61+1*C62+1*C63+1*C64+1*C65+1*C66+1*C67+1*C68+1*C69+1*C71</f>
        <v>0</v>
      </c>
    </row>
    <row r="74" spans="1:3" ht="16.5" customHeight="1" x14ac:dyDescent="0.2">
      <c r="A74" s="15" t="s">
        <v>62</v>
      </c>
      <c r="B74" s="10">
        <f>1*B46+1*B73</f>
        <v>0</v>
      </c>
      <c r="C74" s="10">
        <f>1*C46+1*C73</f>
        <v>0</v>
      </c>
    </row>
    <row r="75" spans="1:3" ht="16.5" customHeight="1" x14ac:dyDescent="0.2"/>
  </sheetData>
  <dataValidations count="1">
    <dataValidation type="decimal" allowBlank="1" showInputMessage="1" showErrorMessage="1" error="Please enter a numeric value upto 2 decimal places only" sqref="B9:C11 B16:C16 B18:C19 B25:C27 B29:C29 B32:C32 B34:C34 B40:C41 B45:C45 B49:C49 B51:C51 B55:C56 B58:C58 B62:C62 B65:C65 B67:C67 B69:C69 B71:C71" xr:uid="{00000000-0002-0000-0000-000000000000}">
      <formula1>-999999999999999</formula1>
      <formula2>999999999999999</formula2>
    </dataValidation>
  </dataValidations>
  <pageMargins left="0.7" right="0.7" top="0.75" bottom="0.75" header="0.511811023622047" footer="0.511811023622047"/>
  <pageSetup paperSize="9" orientation="portrait" horizontalDpi="3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52"/>
  <sheetViews>
    <sheetView tabSelected="1" zoomScaleNormal="100" workbookViewId="0">
      <selection activeCell="D8" sqref="D8"/>
    </sheetView>
  </sheetViews>
  <sheetFormatPr baseColWidth="10" defaultColWidth="10.5" defaultRowHeight="16" x14ac:dyDescent="0.2"/>
  <cols>
    <col min="1" max="1" width="46.1640625" customWidth="1"/>
    <col min="2" max="2" width="35.1640625" customWidth="1"/>
    <col min="3" max="3" width="31.83203125" customWidth="1"/>
  </cols>
  <sheetData>
    <row r="1" spans="1:3" ht="15.75" customHeight="1" x14ac:dyDescent="0.2">
      <c r="A1" s="21"/>
      <c r="B1" s="22" t="s">
        <v>0</v>
      </c>
      <c r="C1" s="22" t="s">
        <v>0</v>
      </c>
    </row>
    <row r="2" spans="1:3" ht="15.75" customHeight="1" x14ac:dyDescent="0.2">
      <c r="A2" s="23"/>
      <c r="B2" s="24"/>
      <c r="C2" s="24"/>
    </row>
    <row r="3" spans="1:3" ht="27.75" customHeight="1" x14ac:dyDescent="0.2">
      <c r="A3" s="1" t="s">
        <v>63</v>
      </c>
      <c r="B3" s="1"/>
      <c r="C3" s="1"/>
    </row>
    <row r="4" spans="1:3" ht="27.75" customHeight="1" x14ac:dyDescent="0.2">
      <c r="A4" s="2" t="s">
        <v>63</v>
      </c>
      <c r="B4" s="1"/>
      <c r="C4" s="1"/>
    </row>
    <row r="5" spans="1:3" ht="27.75" customHeight="1" x14ac:dyDescent="0.2">
      <c r="A5" s="3" t="s">
        <v>64</v>
      </c>
      <c r="B5" s="1"/>
      <c r="C5" s="1"/>
    </row>
    <row r="6" spans="1:3" ht="15.75" customHeight="1" x14ac:dyDescent="0.2">
      <c r="A6" s="4" t="s">
        <v>65</v>
      </c>
      <c r="B6" s="1"/>
      <c r="C6" s="1"/>
    </row>
    <row r="7" spans="1:3" ht="15.75" customHeight="1" x14ac:dyDescent="0.2">
      <c r="A7" s="16" t="s">
        <v>66</v>
      </c>
      <c r="B7" s="1"/>
      <c r="C7" s="1"/>
    </row>
    <row r="8" spans="1:3" ht="15.75" customHeight="1" x14ac:dyDescent="0.2">
      <c r="A8" s="25" t="s">
        <v>67</v>
      </c>
      <c r="B8" s="1"/>
      <c r="C8" s="1"/>
    </row>
    <row r="9" spans="1:3" ht="15.75" customHeight="1" x14ac:dyDescent="0.2">
      <c r="A9" s="26" t="s">
        <v>68</v>
      </c>
      <c r="B9" s="8"/>
      <c r="C9" s="8"/>
    </row>
    <row r="10" spans="1:3" ht="15.75" customHeight="1" x14ac:dyDescent="0.2">
      <c r="A10" s="26" t="s">
        <v>69</v>
      </c>
      <c r="B10" s="8"/>
      <c r="C10" s="8"/>
    </row>
    <row r="11" spans="1:3" ht="15.75" customHeight="1" x14ac:dyDescent="0.2">
      <c r="A11" s="26" t="s">
        <v>70</v>
      </c>
      <c r="B11" s="8"/>
      <c r="C11" s="8"/>
    </row>
    <row r="12" spans="1:3" ht="15.75" customHeight="1" x14ac:dyDescent="0.2">
      <c r="A12" s="27" t="s">
        <v>71</v>
      </c>
      <c r="B12" s="6">
        <f>1*B9+1*B10+1*B11</f>
        <v>0</v>
      </c>
      <c r="C12" s="6">
        <f>1*C9+1*C10+1*C11</f>
        <v>0</v>
      </c>
    </row>
    <row r="13" spans="1:3" ht="15.75" customHeight="1" x14ac:dyDescent="0.2">
      <c r="A13" s="25" t="s">
        <v>72</v>
      </c>
      <c r="B13" s="1"/>
      <c r="C13" s="1"/>
    </row>
    <row r="14" spans="1:3" ht="15.75" customHeight="1" x14ac:dyDescent="0.2">
      <c r="A14" s="26" t="s">
        <v>73</v>
      </c>
      <c r="B14" s="8"/>
      <c r="C14" s="8"/>
    </row>
    <row r="15" spans="1:3" ht="15.75" customHeight="1" x14ac:dyDescent="0.2">
      <c r="A15" s="26" t="s">
        <v>74</v>
      </c>
      <c r="B15" s="8"/>
      <c r="C15" s="8"/>
    </row>
    <row r="16" spans="1:3" ht="15.75" customHeight="1" x14ac:dyDescent="0.2">
      <c r="A16" s="26" t="s">
        <v>75</v>
      </c>
      <c r="B16" s="8"/>
      <c r="C16" s="8"/>
    </row>
    <row r="17" spans="1:3" ht="15.75" customHeight="1" x14ac:dyDescent="0.2">
      <c r="A17" s="26" t="s">
        <v>76</v>
      </c>
      <c r="B17" s="8"/>
      <c r="C17" s="8"/>
    </row>
    <row r="18" spans="1:3" ht="15.75" customHeight="1" x14ac:dyDescent="0.2">
      <c r="A18" s="27" t="s">
        <v>77</v>
      </c>
      <c r="B18" s="6">
        <f>1*B14+1*B15+1*B16+1*B17</f>
        <v>0</v>
      </c>
      <c r="C18" s="6">
        <f>1*C14+1*C15+1*C16+1*C17</f>
        <v>0</v>
      </c>
    </row>
    <row r="19" spans="1:3" ht="15.75" customHeight="1" x14ac:dyDescent="0.2">
      <c r="A19" s="19" t="s">
        <v>78</v>
      </c>
      <c r="B19" s="6">
        <f>1*B12+1*B18</f>
        <v>0</v>
      </c>
      <c r="C19" s="6">
        <f>1*C12+1*C18</f>
        <v>0</v>
      </c>
    </row>
    <row r="20" spans="1:3" ht="15.75" customHeight="1" x14ac:dyDescent="0.2">
      <c r="A20" s="16" t="s">
        <v>79</v>
      </c>
      <c r="B20" s="1"/>
      <c r="C20" s="1"/>
    </row>
    <row r="21" spans="1:3" ht="15.75" customHeight="1" x14ac:dyDescent="0.2">
      <c r="A21" s="17" t="s">
        <v>80</v>
      </c>
      <c r="B21" s="8"/>
      <c r="C21" s="8"/>
    </row>
    <row r="22" spans="1:3" ht="15.75" customHeight="1" x14ac:dyDescent="0.2">
      <c r="A22" s="17" t="s">
        <v>81</v>
      </c>
      <c r="B22" s="8"/>
      <c r="C22" s="8"/>
    </row>
    <row r="23" spans="1:3" ht="15.75" customHeight="1" x14ac:dyDescent="0.2">
      <c r="A23" s="17" t="s">
        <v>82</v>
      </c>
      <c r="B23" s="8"/>
      <c r="C23" s="8"/>
    </row>
    <row r="24" spans="1:3" ht="15.75" customHeight="1" x14ac:dyDescent="0.2">
      <c r="A24" s="17" t="s">
        <v>83</v>
      </c>
      <c r="B24" s="8"/>
      <c r="C24" s="8"/>
    </row>
    <row r="25" spans="1:3" ht="15.75" customHeight="1" x14ac:dyDescent="0.2">
      <c r="A25" s="19" t="s">
        <v>84</v>
      </c>
      <c r="B25" s="6">
        <f>1*B21+1*B22+1*B23+1*B24</f>
        <v>0</v>
      </c>
      <c r="C25" s="6">
        <f>1*C21+1*C22+1*C23+1*C24</f>
        <v>0</v>
      </c>
    </row>
    <row r="26" spans="1:3" ht="15.75" customHeight="1" x14ac:dyDescent="0.2">
      <c r="A26" s="7" t="s">
        <v>85</v>
      </c>
      <c r="B26" s="8"/>
      <c r="C26" s="8"/>
    </row>
    <row r="27" spans="1:3" ht="15.75" customHeight="1" x14ac:dyDescent="0.2">
      <c r="A27" s="7" t="s">
        <v>86</v>
      </c>
      <c r="B27" s="8"/>
      <c r="C27" s="8"/>
    </row>
    <row r="28" spans="1:3" ht="15.75" customHeight="1" x14ac:dyDescent="0.2">
      <c r="A28" s="7" t="s">
        <v>87</v>
      </c>
      <c r="B28" s="8"/>
      <c r="C28" s="8"/>
    </row>
    <row r="29" spans="1:3" ht="15.75" customHeight="1" x14ac:dyDescent="0.2">
      <c r="A29" s="7" t="s">
        <v>88</v>
      </c>
      <c r="B29" s="8"/>
      <c r="C29" s="8"/>
    </row>
    <row r="30" spans="1:3" ht="15.75" customHeight="1" x14ac:dyDescent="0.2">
      <c r="A30" s="7" t="s">
        <v>89</v>
      </c>
      <c r="B30" s="8"/>
      <c r="C30" s="8"/>
    </row>
    <row r="31" spans="1:3" ht="15.75" customHeight="1" x14ac:dyDescent="0.2">
      <c r="A31" s="7" t="s">
        <v>90</v>
      </c>
      <c r="B31" s="8"/>
      <c r="C31" s="8"/>
    </row>
    <row r="32" spans="1:3" ht="15.75" customHeight="1" x14ac:dyDescent="0.2">
      <c r="A32" s="7" t="s">
        <v>91</v>
      </c>
      <c r="B32" s="8"/>
      <c r="C32" s="8"/>
    </row>
    <row r="33" spans="1:3" ht="15.75" customHeight="1" x14ac:dyDescent="0.2">
      <c r="A33" s="7" t="s">
        <v>92</v>
      </c>
      <c r="B33" s="8"/>
      <c r="C33" s="8"/>
    </row>
    <row r="34" spans="1:3" ht="15.75" customHeight="1" x14ac:dyDescent="0.2">
      <c r="A34" s="7" t="s">
        <v>93</v>
      </c>
      <c r="B34" s="8"/>
      <c r="C34" s="8"/>
    </row>
    <row r="35" spans="1:3" ht="15.75" customHeight="1" x14ac:dyDescent="0.2">
      <c r="A35" s="7" t="s">
        <v>94</v>
      </c>
      <c r="B35" s="8"/>
      <c r="C35" s="8"/>
    </row>
    <row r="36" spans="1:3" ht="27.75" customHeight="1" x14ac:dyDescent="0.2">
      <c r="A36" s="7" t="s">
        <v>95</v>
      </c>
      <c r="B36" s="8"/>
      <c r="C36" s="8"/>
    </row>
    <row r="37" spans="1:3" ht="15.75" customHeight="1" x14ac:dyDescent="0.2">
      <c r="A37" s="7" t="s">
        <v>96</v>
      </c>
      <c r="B37" s="8"/>
      <c r="C37" s="8"/>
    </row>
    <row r="38" spans="1:3" ht="16.5" customHeight="1" x14ac:dyDescent="0.2">
      <c r="A38" s="9" t="s">
        <v>97</v>
      </c>
      <c r="B38" s="10">
        <f>1*B19+1*B25+1*B26+1*B27+1*B28+1*B29+1*B30+1*B31+1*B32+1*B33+1*B34+1*B35+1*B36+1*B37</f>
        <v>0</v>
      </c>
      <c r="C38" s="10">
        <f>1*C19+1*C25+1*C26+1*C27+1*C28+1*C29+1*C30+1*C31+1*C32+1*C33+1*C34+1*C35+1*C36+1*C37</f>
        <v>0</v>
      </c>
    </row>
    <row r="39" spans="1:3" ht="16.5" customHeight="1" x14ac:dyDescent="0.2">
      <c r="A39" s="4" t="s">
        <v>98</v>
      </c>
      <c r="B39" s="11"/>
      <c r="C39" s="11"/>
    </row>
    <row r="40" spans="1:3" ht="27.75" customHeight="1" x14ac:dyDescent="0.2">
      <c r="A40" s="16" t="s">
        <v>99</v>
      </c>
      <c r="B40" s="1"/>
      <c r="C40" s="1"/>
    </row>
    <row r="41" spans="1:3" ht="15.75" customHeight="1" x14ac:dyDescent="0.2">
      <c r="A41" s="17" t="s">
        <v>100</v>
      </c>
      <c r="B41" s="8"/>
      <c r="C41" s="8"/>
    </row>
    <row r="42" spans="1:3" ht="15.75" customHeight="1" x14ac:dyDescent="0.2">
      <c r="A42" s="17" t="s">
        <v>101</v>
      </c>
      <c r="B42" s="8"/>
      <c r="C42" s="8"/>
    </row>
    <row r="43" spans="1:3" ht="27.75" customHeight="1" x14ac:dyDescent="0.2">
      <c r="A43" s="19" t="s">
        <v>102</v>
      </c>
      <c r="B43" s="6">
        <f>1*B41+1*B42</f>
        <v>0</v>
      </c>
      <c r="C43" s="6">
        <f>1*C41+1*C42</f>
        <v>0</v>
      </c>
    </row>
    <row r="44" spans="1:3" ht="27.75" customHeight="1" x14ac:dyDescent="0.2">
      <c r="A44" s="16" t="s">
        <v>103</v>
      </c>
      <c r="B44" s="1"/>
      <c r="C44" s="1"/>
    </row>
    <row r="45" spans="1:3" ht="15.75" customHeight="1" x14ac:dyDescent="0.2">
      <c r="A45" s="17" t="s">
        <v>104</v>
      </c>
      <c r="B45" s="8"/>
      <c r="C45" s="8"/>
    </row>
    <row r="46" spans="1:3" ht="42" customHeight="1" x14ac:dyDescent="0.2">
      <c r="A46" s="19" t="s">
        <v>105</v>
      </c>
      <c r="B46" s="6">
        <f>1*B45</f>
        <v>0</v>
      </c>
      <c r="C46" s="6">
        <f>1*C45</f>
        <v>0</v>
      </c>
    </row>
    <row r="47" spans="1:3" ht="15.75" customHeight="1" x14ac:dyDescent="0.2">
      <c r="A47" s="7" t="s">
        <v>106</v>
      </c>
      <c r="B47" s="8"/>
      <c r="C47" s="8"/>
    </row>
    <row r="48" spans="1:3" ht="16.5" customHeight="1" x14ac:dyDescent="0.2">
      <c r="A48" s="9" t="s">
        <v>107</v>
      </c>
      <c r="B48" s="10">
        <f>1*B43+1*B46+1*B47</f>
        <v>0</v>
      </c>
      <c r="C48" s="10">
        <f>1*C43+1*C46+1*C47</f>
        <v>0</v>
      </c>
    </row>
    <row r="49" spans="1:3" ht="16.5" customHeight="1" x14ac:dyDescent="0.2">
      <c r="A49" s="4" t="s">
        <v>6</v>
      </c>
      <c r="B49" s="11"/>
      <c r="C49" s="11"/>
    </row>
    <row r="50" spans="1:3" ht="15.75" customHeight="1" x14ac:dyDescent="0.2">
      <c r="A50" s="7" t="s">
        <v>108</v>
      </c>
      <c r="B50" s="8"/>
      <c r="C50" s="8"/>
    </row>
    <row r="51" spans="1:3" ht="15.75" customHeight="1" x14ac:dyDescent="0.2">
      <c r="A51" s="7" t="s">
        <v>109</v>
      </c>
      <c r="B51" s="8"/>
      <c r="C51" s="8"/>
    </row>
    <row r="52" spans="1:3" ht="16.5" customHeight="1" x14ac:dyDescent="0.2">
      <c r="A52" s="12" t="s">
        <v>110</v>
      </c>
      <c r="B52" s="10">
        <f>1*B50+1*B51</f>
        <v>0</v>
      </c>
      <c r="C52" s="10">
        <f>1*C50+1*C51</f>
        <v>0</v>
      </c>
    </row>
    <row r="53" spans="1:3" ht="16.5" customHeight="1" x14ac:dyDescent="0.2">
      <c r="A53" s="4" t="s">
        <v>111</v>
      </c>
      <c r="B53" s="11"/>
      <c r="C53" s="11"/>
    </row>
    <row r="54" spans="1:3" ht="15.75" customHeight="1" x14ac:dyDescent="0.2">
      <c r="A54" s="16" t="s">
        <v>112</v>
      </c>
      <c r="B54" s="1"/>
      <c r="C54" s="1"/>
    </row>
    <row r="55" spans="1:3" ht="15.75" customHeight="1" x14ac:dyDescent="0.2">
      <c r="A55" s="17" t="s">
        <v>113</v>
      </c>
      <c r="B55" s="8"/>
      <c r="C55" s="8"/>
    </row>
    <row r="56" spans="1:3" ht="15.75" customHeight="1" x14ac:dyDescent="0.2">
      <c r="A56" s="17" t="s">
        <v>114</v>
      </c>
      <c r="B56" s="8"/>
      <c r="C56" s="8"/>
    </row>
    <row r="57" spans="1:3" ht="15.75" customHeight="1" x14ac:dyDescent="0.2">
      <c r="A57" s="17" t="s">
        <v>115</v>
      </c>
      <c r="B57" s="8"/>
      <c r="C57" s="8"/>
    </row>
    <row r="58" spans="1:3" ht="42" customHeight="1" x14ac:dyDescent="0.2">
      <c r="A58" s="17" t="s">
        <v>116</v>
      </c>
      <c r="B58" s="8"/>
      <c r="C58" s="8"/>
    </row>
    <row r="59" spans="1:3" ht="15.75" customHeight="1" x14ac:dyDescent="0.2">
      <c r="A59" s="17" t="s">
        <v>117</v>
      </c>
      <c r="B59" s="8"/>
      <c r="C59" s="8"/>
    </row>
    <row r="60" spans="1:3" ht="27.75" customHeight="1" x14ac:dyDescent="0.2">
      <c r="A60" s="17" t="s">
        <v>118</v>
      </c>
      <c r="B60" s="8"/>
      <c r="C60" s="8"/>
    </row>
    <row r="61" spans="1:3" ht="15.75" customHeight="1" x14ac:dyDescent="0.2">
      <c r="A61" s="17" t="s">
        <v>119</v>
      </c>
      <c r="B61" s="8"/>
      <c r="C61" s="8"/>
    </row>
    <row r="62" spans="1:3" ht="27.75" customHeight="1" x14ac:dyDescent="0.2">
      <c r="A62" s="17" t="s">
        <v>120</v>
      </c>
      <c r="B62" s="8"/>
      <c r="C62" s="8"/>
    </row>
    <row r="63" spans="1:3" ht="15.75" customHeight="1" x14ac:dyDescent="0.2">
      <c r="A63" s="17" t="s">
        <v>121</v>
      </c>
      <c r="B63" s="8"/>
      <c r="C63" s="8"/>
    </row>
    <row r="64" spans="1:3" ht="15.75" customHeight="1" x14ac:dyDescent="0.2">
      <c r="A64" s="17" t="s">
        <v>122</v>
      </c>
      <c r="B64" s="8"/>
      <c r="C64" s="8"/>
    </row>
    <row r="65" spans="1:3" ht="15.75" customHeight="1" x14ac:dyDescent="0.2">
      <c r="A65" s="17" t="s">
        <v>123</v>
      </c>
      <c r="B65" s="8"/>
      <c r="C65" s="8"/>
    </row>
    <row r="66" spans="1:3" ht="27.75" customHeight="1" x14ac:dyDescent="0.2">
      <c r="A66" s="19" t="s">
        <v>124</v>
      </c>
      <c r="B66" s="6">
        <f>1*B55+1*B56+1*B57+1*B58+1*B59+1*B60+1*B61+1*B62+1*B63+1*B64+1*B65</f>
        <v>0</v>
      </c>
      <c r="C66" s="6">
        <f>1*C55+1*C56+1*C57+1*C58+1*C59+1*C60+1*C61+1*C62+1*C63+1*C64+1*C65</f>
        <v>0</v>
      </c>
    </row>
    <row r="67" spans="1:3" ht="15.75" customHeight="1" x14ac:dyDescent="0.2">
      <c r="A67" s="7" t="s">
        <v>125</v>
      </c>
      <c r="B67" s="8"/>
      <c r="C67" s="8"/>
    </row>
    <row r="68" spans="1:3" ht="16.5" customHeight="1" x14ac:dyDescent="0.2">
      <c r="A68" s="9" t="s">
        <v>126</v>
      </c>
      <c r="B68" s="10">
        <f>1*B66+1*B67</f>
        <v>0</v>
      </c>
      <c r="C68" s="10">
        <f>1*C66+1*C67</f>
        <v>0</v>
      </c>
    </row>
    <row r="69" spans="1:3" ht="16.5" customHeight="1" x14ac:dyDescent="0.2">
      <c r="A69" s="4" t="s">
        <v>127</v>
      </c>
      <c r="B69" s="11"/>
      <c r="C69" s="11"/>
    </row>
    <row r="70" spans="1:3" ht="15.75" customHeight="1" x14ac:dyDescent="0.2">
      <c r="A70" s="7" t="s">
        <v>128</v>
      </c>
      <c r="B70" s="8"/>
      <c r="C70" s="8"/>
    </row>
    <row r="71" spans="1:3" ht="15.75" customHeight="1" x14ac:dyDescent="0.2">
      <c r="A71" s="7" t="s">
        <v>129</v>
      </c>
      <c r="B71" s="8"/>
      <c r="C71" s="8"/>
    </row>
    <row r="72" spans="1:3" ht="15.75" customHeight="1" x14ac:dyDescent="0.2">
      <c r="A72" s="7" t="s">
        <v>130</v>
      </c>
      <c r="B72" s="8"/>
      <c r="C72" s="8"/>
    </row>
    <row r="73" spans="1:3" ht="27.75" customHeight="1" x14ac:dyDescent="0.2">
      <c r="A73" s="7" t="s">
        <v>131</v>
      </c>
      <c r="B73" s="8"/>
      <c r="C73" s="8"/>
    </row>
    <row r="74" spans="1:3" ht="27.75" customHeight="1" x14ac:dyDescent="0.2">
      <c r="A74" s="7" t="s">
        <v>132</v>
      </c>
      <c r="B74" s="8"/>
      <c r="C74" s="8"/>
    </row>
    <row r="75" spans="1:3" ht="15.75" customHeight="1" x14ac:dyDescent="0.2">
      <c r="A75" s="7" t="s">
        <v>133</v>
      </c>
      <c r="B75" s="8"/>
      <c r="C75" s="8"/>
    </row>
    <row r="76" spans="1:3" ht="16.5" customHeight="1" x14ac:dyDescent="0.2">
      <c r="A76" s="9" t="s">
        <v>134</v>
      </c>
      <c r="B76" s="10">
        <f>1*B70+1*B71+1*B72+1*B73+1*B74+1*B75</f>
        <v>0</v>
      </c>
      <c r="C76" s="10">
        <f>1*C70+1*C71+1*C72+1*C73+1*C74+1*C75</f>
        <v>0</v>
      </c>
    </row>
    <row r="77" spans="1:3" ht="16.5" customHeight="1" x14ac:dyDescent="0.2">
      <c r="A77" s="4" t="s">
        <v>135</v>
      </c>
      <c r="B77" s="11"/>
      <c r="C77" s="11"/>
    </row>
    <row r="78" spans="1:3" ht="15.75" customHeight="1" x14ac:dyDescent="0.2">
      <c r="A78" s="7" t="s">
        <v>128</v>
      </c>
      <c r="B78" s="8"/>
      <c r="C78" s="8"/>
    </row>
    <row r="79" spans="1:3" ht="15.75" customHeight="1" x14ac:dyDescent="0.2">
      <c r="A79" s="7" t="s">
        <v>129</v>
      </c>
      <c r="B79" s="8"/>
      <c r="C79" s="8"/>
    </row>
    <row r="80" spans="1:3" ht="15.75" customHeight="1" x14ac:dyDescent="0.2">
      <c r="A80" s="7" t="s">
        <v>130</v>
      </c>
      <c r="B80" s="8"/>
      <c r="C80" s="8"/>
    </row>
    <row r="81" spans="1:3" ht="27.75" customHeight="1" x14ac:dyDescent="0.2">
      <c r="A81" s="7" t="s">
        <v>131</v>
      </c>
      <c r="B81" s="8"/>
      <c r="C81" s="8"/>
    </row>
    <row r="82" spans="1:3" ht="27.75" customHeight="1" x14ac:dyDescent="0.2">
      <c r="A82" s="7" t="s">
        <v>136</v>
      </c>
      <c r="B82" s="8"/>
      <c r="C82" s="8"/>
    </row>
    <row r="83" spans="1:3" ht="27.75" customHeight="1" x14ac:dyDescent="0.2">
      <c r="A83" s="7" t="s">
        <v>137</v>
      </c>
      <c r="B83" s="8"/>
      <c r="C83" s="8"/>
    </row>
    <row r="84" spans="1:3" ht="15.75" customHeight="1" x14ac:dyDescent="0.2">
      <c r="A84" s="7" t="s">
        <v>138</v>
      </c>
      <c r="B84" s="8"/>
      <c r="C84" s="8"/>
    </row>
    <row r="85" spans="1:3" ht="16.5" customHeight="1" x14ac:dyDescent="0.2">
      <c r="A85" s="9" t="s">
        <v>139</v>
      </c>
      <c r="B85" s="10">
        <f>1*B78+1*B79+1*B80+1*B81+1*B82+1*B83+1*B84</f>
        <v>0</v>
      </c>
      <c r="C85" s="10">
        <f>1*C78+1*C79+1*C80+1*C81+1*C82+1*C83+1*C84</f>
        <v>0</v>
      </c>
    </row>
    <row r="86" spans="1:3" ht="16.5" customHeight="1" x14ac:dyDescent="0.2">
      <c r="A86" s="4" t="s">
        <v>140</v>
      </c>
      <c r="B86" s="11"/>
      <c r="C86" s="11"/>
    </row>
    <row r="87" spans="1:3" ht="15.75" customHeight="1" x14ac:dyDescent="0.2">
      <c r="A87" s="7" t="s">
        <v>128</v>
      </c>
      <c r="B87" s="8"/>
      <c r="C87" s="8"/>
    </row>
    <row r="88" spans="1:3" ht="15.75" customHeight="1" x14ac:dyDescent="0.2">
      <c r="A88" s="7" t="s">
        <v>129</v>
      </c>
      <c r="B88" s="8"/>
      <c r="C88" s="8"/>
    </row>
    <row r="89" spans="1:3" ht="15.75" customHeight="1" x14ac:dyDescent="0.2">
      <c r="A89" s="7" t="s">
        <v>130</v>
      </c>
      <c r="B89" s="8"/>
      <c r="C89" s="8"/>
    </row>
    <row r="90" spans="1:3" ht="27.75" customHeight="1" x14ac:dyDescent="0.2">
      <c r="A90" s="7" t="s">
        <v>131</v>
      </c>
      <c r="B90" s="8"/>
      <c r="C90" s="8"/>
    </row>
    <row r="91" spans="1:3" ht="27.75" customHeight="1" x14ac:dyDescent="0.2">
      <c r="A91" s="7" t="s">
        <v>136</v>
      </c>
      <c r="B91" s="8"/>
      <c r="C91" s="8"/>
    </row>
    <row r="92" spans="1:3" ht="27.75" customHeight="1" x14ac:dyDescent="0.2">
      <c r="A92" s="7" t="s">
        <v>141</v>
      </c>
      <c r="B92" s="8"/>
      <c r="C92" s="8"/>
    </row>
    <row r="93" spans="1:3" ht="15.75" customHeight="1" x14ac:dyDescent="0.2">
      <c r="A93" s="7" t="s">
        <v>142</v>
      </c>
      <c r="B93" s="8"/>
      <c r="C93" s="8"/>
    </row>
    <row r="94" spans="1:3" ht="16.5" customHeight="1" x14ac:dyDescent="0.2">
      <c r="A94" s="9" t="s">
        <v>143</v>
      </c>
      <c r="B94" s="10">
        <f>1*B87+1*B88+1*B89+1*B90+1*B91+1*B92+1*B93</f>
        <v>0</v>
      </c>
      <c r="C94" s="10">
        <f>1*C87+1*C88+1*C89+1*C90+1*C91+1*C92+1*C93</f>
        <v>0</v>
      </c>
    </row>
    <row r="95" spans="1:3" ht="16.5" customHeight="1" x14ac:dyDescent="0.2">
      <c r="A95" s="4" t="s">
        <v>144</v>
      </c>
      <c r="B95" s="11"/>
      <c r="C95" s="11"/>
    </row>
    <row r="96" spans="1:3" ht="15.75" customHeight="1" x14ac:dyDescent="0.2">
      <c r="A96" s="16" t="s">
        <v>145</v>
      </c>
      <c r="B96" s="1"/>
      <c r="C96" s="1"/>
    </row>
    <row r="97" spans="1:3" ht="15.75" customHeight="1" x14ac:dyDescent="0.2">
      <c r="A97" s="17" t="s">
        <v>146</v>
      </c>
      <c r="B97" s="8"/>
      <c r="C97" s="8"/>
    </row>
    <row r="98" spans="1:3" ht="27.75" customHeight="1" x14ac:dyDescent="0.2">
      <c r="A98" s="17" t="s">
        <v>147</v>
      </c>
      <c r="B98" s="8"/>
      <c r="C98" s="8"/>
    </row>
    <row r="99" spans="1:3" ht="15.75" customHeight="1" x14ac:dyDescent="0.2">
      <c r="A99" s="17" t="s">
        <v>148</v>
      </c>
      <c r="B99" s="8"/>
      <c r="C99" s="8"/>
    </row>
    <row r="100" spans="1:3" ht="15.75" customHeight="1" x14ac:dyDescent="0.2">
      <c r="A100" s="17" t="s">
        <v>149</v>
      </c>
      <c r="B100" s="8"/>
      <c r="C100" s="8"/>
    </row>
    <row r="101" spans="1:3" ht="27.75" customHeight="1" x14ac:dyDescent="0.2">
      <c r="A101" s="17" t="s">
        <v>150</v>
      </c>
      <c r="B101" s="8"/>
      <c r="C101" s="8"/>
    </row>
    <row r="102" spans="1:3" ht="27.75" customHeight="1" x14ac:dyDescent="0.2">
      <c r="A102" s="17" t="s">
        <v>151</v>
      </c>
      <c r="B102" s="8"/>
      <c r="C102" s="8"/>
    </row>
    <row r="103" spans="1:3" ht="15.75" customHeight="1" x14ac:dyDescent="0.2">
      <c r="A103" s="17" t="s">
        <v>152</v>
      </c>
      <c r="B103" s="8"/>
      <c r="C103" s="8"/>
    </row>
    <row r="104" spans="1:3" ht="15.75" customHeight="1" x14ac:dyDescent="0.2">
      <c r="A104" s="19" t="s">
        <v>153</v>
      </c>
      <c r="B104" s="6">
        <f>1*B97+1*B98+1*B99+1*B100+1*B101+1*B102+1*B103</f>
        <v>0</v>
      </c>
      <c r="C104" s="6">
        <f>1*C97+1*C98+1*C99+1*C100+1*C101+1*C102+1*C103</f>
        <v>0</v>
      </c>
    </row>
    <row r="105" spans="1:3" ht="15.75" customHeight="1" x14ac:dyDescent="0.2">
      <c r="A105" s="16" t="s">
        <v>154</v>
      </c>
      <c r="B105" s="1"/>
      <c r="C105" s="1"/>
    </row>
    <row r="106" spans="1:3" ht="27.75" customHeight="1" x14ac:dyDescent="0.2">
      <c r="A106" s="25" t="s">
        <v>155</v>
      </c>
      <c r="B106" s="1"/>
      <c r="C106" s="1"/>
    </row>
    <row r="107" spans="1:3" ht="27.75" customHeight="1" x14ac:dyDescent="0.2">
      <c r="A107" s="26" t="s">
        <v>156</v>
      </c>
      <c r="B107" s="8"/>
      <c r="C107" s="8"/>
    </row>
    <row r="108" spans="1:3" ht="27.75" customHeight="1" x14ac:dyDescent="0.2">
      <c r="A108" s="26" t="s">
        <v>157</v>
      </c>
      <c r="B108" s="8"/>
      <c r="C108" s="8"/>
    </row>
    <row r="109" spans="1:3" ht="15.75" customHeight="1" x14ac:dyDescent="0.2">
      <c r="A109" s="26" t="s">
        <v>158</v>
      </c>
      <c r="B109" s="8"/>
      <c r="C109" s="8"/>
    </row>
    <row r="110" spans="1:3" ht="27.75" customHeight="1" x14ac:dyDescent="0.2">
      <c r="A110" s="26" t="s">
        <v>159</v>
      </c>
      <c r="B110" s="8"/>
      <c r="C110" s="8"/>
    </row>
    <row r="111" spans="1:3" ht="27.75" customHeight="1" x14ac:dyDescent="0.2">
      <c r="A111" s="26" t="s">
        <v>160</v>
      </c>
      <c r="B111" s="8"/>
      <c r="C111" s="8"/>
    </row>
    <row r="112" spans="1:3" ht="42" customHeight="1" x14ac:dyDescent="0.2">
      <c r="A112" s="27" t="s">
        <v>161</v>
      </c>
      <c r="B112" s="6">
        <f>1*B107+1*B108+1*B109+1*B110+1*B111</f>
        <v>0</v>
      </c>
      <c r="C112" s="6">
        <f>1*C107+1*C108+1*C109+1*C110+1*C111</f>
        <v>0</v>
      </c>
    </row>
    <row r="113" spans="1:3" ht="15.75" customHeight="1" x14ac:dyDescent="0.2">
      <c r="A113" s="25" t="s">
        <v>162</v>
      </c>
      <c r="B113" s="1"/>
      <c r="C113" s="1"/>
    </row>
    <row r="114" spans="1:3" ht="15.75" customHeight="1" x14ac:dyDescent="0.2">
      <c r="A114" s="26" t="s">
        <v>163</v>
      </c>
      <c r="B114" s="8"/>
      <c r="C114" s="8"/>
    </row>
    <row r="115" spans="1:3" ht="15.75" customHeight="1" x14ac:dyDescent="0.2">
      <c r="A115" s="26" t="s">
        <v>164</v>
      </c>
      <c r="B115" s="8"/>
      <c r="C115" s="8"/>
    </row>
    <row r="116" spans="1:3" ht="27.75" customHeight="1" x14ac:dyDescent="0.2">
      <c r="A116" s="26" t="s">
        <v>165</v>
      </c>
      <c r="B116" s="8"/>
      <c r="C116" s="8"/>
    </row>
    <row r="117" spans="1:3" ht="27.75" customHeight="1" x14ac:dyDescent="0.2">
      <c r="A117" s="27" t="s">
        <v>166</v>
      </c>
      <c r="B117" s="6">
        <f>1*B114+1*B115+1*B116</f>
        <v>0</v>
      </c>
      <c r="C117" s="6">
        <f>1*C114+1*C115+1*C116</f>
        <v>0</v>
      </c>
    </row>
    <row r="118" spans="1:3" ht="15.75" customHeight="1" x14ac:dyDescent="0.2">
      <c r="A118" s="19" t="s">
        <v>167</v>
      </c>
      <c r="B118" s="6">
        <f>1*B112+1*B117</f>
        <v>0</v>
      </c>
      <c r="C118" s="6">
        <f>1*C112+1*C117</f>
        <v>0</v>
      </c>
    </row>
    <row r="119" spans="1:3" ht="28.5" customHeight="1" x14ac:dyDescent="0.2">
      <c r="A119" s="9" t="s">
        <v>168</v>
      </c>
      <c r="B119" s="10">
        <f>1*B104+1*B118</f>
        <v>0</v>
      </c>
      <c r="C119" s="10">
        <f>1*C104+1*C118</f>
        <v>0</v>
      </c>
    </row>
    <row r="120" spans="1:3" ht="16.5" customHeight="1" x14ac:dyDescent="0.2">
      <c r="A120" s="4" t="s">
        <v>169</v>
      </c>
      <c r="B120" s="11"/>
      <c r="C120" s="11"/>
    </row>
    <row r="121" spans="1:3" ht="27.75" customHeight="1" x14ac:dyDescent="0.2">
      <c r="A121" s="16" t="s">
        <v>170</v>
      </c>
      <c r="B121" s="1"/>
      <c r="C121" s="1"/>
    </row>
    <row r="122" spans="1:3" ht="15.75" customHeight="1" x14ac:dyDescent="0.2">
      <c r="A122" s="17" t="s">
        <v>171</v>
      </c>
      <c r="B122" s="8"/>
      <c r="C122" s="8"/>
    </row>
    <row r="123" spans="1:3" ht="15.75" customHeight="1" x14ac:dyDescent="0.2">
      <c r="A123" s="17" t="s">
        <v>172</v>
      </c>
      <c r="B123" s="8"/>
      <c r="C123" s="8"/>
    </row>
    <row r="124" spans="1:3" ht="15.75" customHeight="1" x14ac:dyDescent="0.2">
      <c r="A124" s="17" t="s">
        <v>173</v>
      </c>
      <c r="B124" s="8"/>
      <c r="C124" s="8"/>
    </row>
    <row r="125" spans="1:3" ht="15.75" customHeight="1" x14ac:dyDescent="0.2">
      <c r="A125" s="17" t="s">
        <v>174</v>
      </c>
      <c r="B125" s="8"/>
      <c r="C125" s="8"/>
    </row>
    <row r="126" spans="1:3" ht="27.75" customHeight="1" x14ac:dyDescent="0.2">
      <c r="A126" s="19" t="s">
        <v>175</v>
      </c>
      <c r="B126" s="6">
        <f>1*B122+1*B123+1*B124+1*B125</f>
        <v>0</v>
      </c>
      <c r="C126" s="6">
        <f>1*C122+1*C123+1*C124+1*C125</f>
        <v>0</v>
      </c>
    </row>
    <row r="127" spans="1:3" ht="27.75" customHeight="1" x14ac:dyDescent="0.2">
      <c r="A127" s="7" t="s">
        <v>176</v>
      </c>
      <c r="B127" s="8"/>
      <c r="C127" s="8"/>
    </row>
    <row r="128" spans="1:3" ht="28.5" customHeight="1" x14ac:dyDescent="0.2">
      <c r="A128" s="9" t="s">
        <v>177</v>
      </c>
      <c r="B128" s="10">
        <f>1*B126+1*B127</f>
        <v>0</v>
      </c>
      <c r="C128" s="10">
        <f>1*C126+1*C127</f>
        <v>0</v>
      </c>
    </row>
    <row r="129" spans="1:3" ht="16.5" customHeight="1" x14ac:dyDescent="0.2">
      <c r="A129" s="4" t="s">
        <v>178</v>
      </c>
      <c r="B129" s="11"/>
      <c r="C129" s="11"/>
    </row>
    <row r="130" spans="1:3" ht="15.75" customHeight="1" x14ac:dyDescent="0.2">
      <c r="A130" s="7" t="s">
        <v>179</v>
      </c>
      <c r="B130" s="8"/>
      <c r="C130" s="8"/>
    </row>
    <row r="131" spans="1:3" ht="15.75" customHeight="1" x14ac:dyDescent="0.2">
      <c r="A131" s="7" t="s">
        <v>180</v>
      </c>
      <c r="B131" s="8"/>
      <c r="C131" s="8"/>
    </row>
    <row r="132" spans="1:3" ht="15.75" customHeight="1" x14ac:dyDescent="0.2">
      <c r="A132" s="7" t="s">
        <v>181</v>
      </c>
      <c r="B132" s="8"/>
      <c r="C132" s="8"/>
    </row>
    <row r="133" spans="1:3" ht="15.75" customHeight="1" x14ac:dyDescent="0.2">
      <c r="A133" s="7" t="s">
        <v>182</v>
      </c>
      <c r="B133" s="8"/>
      <c r="C133" s="8"/>
    </row>
    <row r="134" spans="1:3" ht="15.75" customHeight="1" x14ac:dyDescent="0.2">
      <c r="A134" s="7" t="s">
        <v>183</v>
      </c>
      <c r="B134" s="8"/>
      <c r="C134" s="8"/>
    </row>
    <row r="135" spans="1:3" ht="16.5" customHeight="1" x14ac:dyDescent="0.2">
      <c r="A135" s="9" t="s">
        <v>184</v>
      </c>
      <c r="B135" s="10">
        <f>1*B130+1*B131+1*B132+1*B133+1*B134</f>
        <v>0</v>
      </c>
      <c r="C135" s="10">
        <f>1*C130+1*C131+1*C132+1*C133+1*C134</f>
        <v>0</v>
      </c>
    </row>
    <row r="136" spans="1:3" ht="16.5" customHeight="1" x14ac:dyDescent="0.2">
      <c r="A136" s="4" t="s">
        <v>185</v>
      </c>
      <c r="B136" s="11"/>
      <c r="C136" s="11"/>
    </row>
    <row r="137" spans="1:3" ht="15.75" customHeight="1" x14ac:dyDescent="0.2">
      <c r="A137" s="16" t="s">
        <v>186</v>
      </c>
      <c r="B137" s="1"/>
      <c r="C137" s="1"/>
    </row>
    <row r="138" spans="1:3" ht="15.75" customHeight="1" x14ac:dyDescent="0.2">
      <c r="A138" s="17" t="s">
        <v>146</v>
      </c>
      <c r="B138" s="8"/>
      <c r="C138" s="8"/>
    </row>
    <row r="139" spans="1:3" ht="27.75" customHeight="1" x14ac:dyDescent="0.2">
      <c r="A139" s="17" t="s">
        <v>187</v>
      </c>
      <c r="B139" s="8"/>
      <c r="C139" s="8"/>
    </row>
    <row r="140" spans="1:3" ht="27.75" customHeight="1" x14ac:dyDescent="0.2">
      <c r="A140" s="17" t="s">
        <v>147</v>
      </c>
      <c r="B140" s="8"/>
      <c r="C140" s="8"/>
    </row>
    <row r="141" spans="1:3" ht="15.75" customHeight="1" x14ac:dyDescent="0.2">
      <c r="A141" s="17" t="s">
        <v>148</v>
      </c>
      <c r="B141" s="8"/>
      <c r="C141" s="8"/>
    </row>
    <row r="142" spans="1:3" ht="15.75" customHeight="1" x14ac:dyDescent="0.2">
      <c r="A142" s="17" t="s">
        <v>188</v>
      </c>
      <c r="B142" s="8"/>
      <c r="C142" s="8"/>
    </row>
    <row r="143" spans="1:3" ht="27.75" customHeight="1" x14ac:dyDescent="0.2">
      <c r="A143" s="17" t="s">
        <v>150</v>
      </c>
      <c r="B143" s="8"/>
      <c r="C143" s="8"/>
    </row>
    <row r="144" spans="1:3" ht="27.75" customHeight="1" x14ac:dyDescent="0.2">
      <c r="A144" s="17" t="s">
        <v>151</v>
      </c>
      <c r="B144" s="8"/>
      <c r="C144" s="8"/>
    </row>
    <row r="145" spans="1:3" ht="15.75" customHeight="1" x14ac:dyDescent="0.2">
      <c r="A145" s="17" t="s">
        <v>189</v>
      </c>
      <c r="B145" s="8"/>
      <c r="C145" s="8"/>
    </row>
    <row r="146" spans="1:3" ht="15.75" customHeight="1" x14ac:dyDescent="0.2">
      <c r="A146" s="17" t="s">
        <v>190</v>
      </c>
      <c r="B146" s="8"/>
      <c r="C146" s="8"/>
    </row>
    <row r="147" spans="1:3" ht="15.75" customHeight="1" x14ac:dyDescent="0.2">
      <c r="A147" s="19" t="s">
        <v>191</v>
      </c>
      <c r="B147" s="6">
        <f>1*B138+1*B139+1*B140+1*B141+1*B142+1*B143+1*B144+1*B145+1*B146</f>
        <v>0</v>
      </c>
      <c r="C147" s="6">
        <f>1*C138+1*C139+1*C140+1*C141+1*C142+1*C143+1*C144+1*C145+1*C146</f>
        <v>0</v>
      </c>
    </row>
    <row r="148" spans="1:3" ht="15.75" customHeight="1" x14ac:dyDescent="0.2">
      <c r="A148" s="16" t="s">
        <v>192</v>
      </c>
      <c r="B148" s="1"/>
      <c r="C148" s="1"/>
    </row>
    <row r="149" spans="1:3" ht="27.75" customHeight="1" x14ac:dyDescent="0.2">
      <c r="A149" s="25" t="s">
        <v>193</v>
      </c>
      <c r="B149" s="1"/>
      <c r="C149" s="1"/>
    </row>
    <row r="150" spans="1:3" ht="27.75" customHeight="1" x14ac:dyDescent="0.2">
      <c r="A150" s="26" t="s">
        <v>156</v>
      </c>
      <c r="B150" s="8"/>
      <c r="C150" s="8"/>
    </row>
    <row r="151" spans="1:3" ht="27.75" customHeight="1" x14ac:dyDescent="0.2">
      <c r="A151" s="26" t="s">
        <v>157</v>
      </c>
      <c r="B151" s="8"/>
      <c r="C151" s="8"/>
    </row>
    <row r="152" spans="1:3" ht="15.75" customHeight="1" x14ac:dyDescent="0.2">
      <c r="A152" s="26" t="s">
        <v>158</v>
      </c>
      <c r="B152" s="8"/>
      <c r="C152" s="8"/>
    </row>
    <row r="153" spans="1:3" ht="27.75" customHeight="1" x14ac:dyDescent="0.2">
      <c r="A153" s="26" t="s">
        <v>159</v>
      </c>
      <c r="B153" s="8"/>
      <c r="C153" s="8"/>
    </row>
    <row r="154" spans="1:3" ht="27.75" customHeight="1" x14ac:dyDescent="0.2">
      <c r="A154" s="26" t="s">
        <v>194</v>
      </c>
      <c r="B154" s="8"/>
      <c r="C154" s="8"/>
    </row>
    <row r="155" spans="1:3" ht="27.75" customHeight="1" x14ac:dyDescent="0.2">
      <c r="A155" s="27" t="s">
        <v>195</v>
      </c>
      <c r="B155" s="6">
        <f>1*B150+1*B151+1*B152+1*B153+1*B154</f>
        <v>0</v>
      </c>
      <c r="C155" s="6">
        <f>1*C150+1*C151+1*C152+1*C153+1*C154</f>
        <v>0</v>
      </c>
    </row>
    <row r="156" spans="1:3" ht="27.75" customHeight="1" x14ac:dyDescent="0.2">
      <c r="A156" s="25" t="s">
        <v>196</v>
      </c>
      <c r="B156" s="1"/>
      <c r="C156" s="1"/>
    </row>
    <row r="157" spans="1:3" ht="15.75" customHeight="1" x14ac:dyDescent="0.2">
      <c r="A157" s="26" t="s">
        <v>197</v>
      </c>
      <c r="B157" s="8"/>
      <c r="C157" s="8"/>
    </row>
    <row r="158" spans="1:3" ht="15.75" customHeight="1" x14ac:dyDescent="0.2">
      <c r="A158" s="26" t="s">
        <v>163</v>
      </c>
      <c r="B158" s="8"/>
      <c r="C158" s="8"/>
    </row>
    <row r="159" spans="1:3" ht="27.75" customHeight="1" x14ac:dyDescent="0.2">
      <c r="A159" s="27" t="s">
        <v>198</v>
      </c>
      <c r="B159" s="6">
        <f>1*B157+1*B158</f>
        <v>0</v>
      </c>
      <c r="C159" s="6">
        <f>1*C157+1*C158</f>
        <v>0</v>
      </c>
    </row>
    <row r="160" spans="1:3" ht="15.75" customHeight="1" x14ac:dyDescent="0.2">
      <c r="A160" s="25" t="s">
        <v>199</v>
      </c>
      <c r="B160" s="1"/>
      <c r="C160" s="1"/>
    </row>
    <row r="161" spans="1:3" ht="15.75" customHeight="1" x14ac:dyDescent="0.2">
      <c r="A161" s="26" t="s">
        <v>200</v>
      </c>
      <c r="B161" s="8"/>
      <c r="C161" s="8"/>
    </row>
    <row r="162" spans="1:3" ht="15.75" customHeight="1" x14ac:dyDescent="0.2">
      <c r="A162" s="26" t="s">
        <v>201</v>
      </c>
      <c r="B162" s="8"/>
      <c r="C162" s="8"/>
    </row>
    <row r="163" spans="1:3" ht="15.75" customHeight="1" x14ac:dyDescent="0.2">
      <c r="A163" s="26" t="s">
        <v>202</v>
      </c>
      <c r="B163" s="8"/>
      <c r="C163" s="8"/>
    </row>
    <row r="164" spans="1:3" ht="15.75" customHeight="1" x14ac:dyDescent="0.2">
      <c r="A164" s="26" t="s">
        <v>164</v>
      </c>
      <c r="B164" s="8"/>
      <c r="C164" s="8"/>
    </row>
    <row r="165" spans="1:3" ht="15.75" customHeight="1" x14ac:dyDescent="0.2">
      <c r="A165" s="26" t="s">
        <v>203</v>
      </c>
      <c r="B165" s="8"/>
      <c r="C165" s="8"/>
    </row>
    <row r="166" spans="1:3" ht="27.75" customHeight="1" x14ac:dyDescent="0.2">
      <c r="A166" s="27" t="s">
        <v>204</v>
      </c>
      <c r="B166" s="6">
        <f>1*B161+1*B162+1*B163+1*B164+1*B165</f>
        <v>0</v>
      </c>
      <c r="C166" s="6">
        <f>1*C161+1*C162+1*C163+1*C164+1*C165</f>
        <v>0</v>
      </c>
    </row>
    <row r="167" spans="1:3" ht="15.75" customHeight="1" x14ac:dyDescent="0.2">
      <c r="A167" s="19" t="s">
        <v>205</v>
      </c>
      <c r="B167" s="6">
        <f>1*B155+1*B159+1*B166</f>
        <v>0</v>
      </c>
      <c r="C167" s="6">
        <f>1*C155+1*C159+1*C166</f>
        <v>0</v>
      </c>
    </row>
    <row r="168" spans="1:3" ht="28.5" customHeight="1" x14ac:dyDescent="0.2">
      <c r="A168" s="9" t="s">
        <v>206</v>
      </c>
      <c r="B168" s="10">
        <f>1*B147+1*B167</f>
        <v>0</v>
      </c>
      <c r="C168" s="10">
        <f>1*C147+1*C167</f>
        <v>0</v>
      </c>
    </row>
    <row r="169" spans="1:3" ht="16.5" customHeight="1" x14ac:dyDescent="0.2">
      <c r="A169" s="4" t="s">
        <v>207</v>
      </c>
      <c r="B169" s="11"/>
      <c r="C169" s="11"/>
    </row>
    <row r="170" spans="1:3" ht="27.75" customHeight="1" x14ac:dyDescent="0.2">
      <c r="A170" s="16" t="s">
        <v>208</v>
      </c>
      <c r="B170" s="1"/>
      <c r="C170" s="1"/>
    </row>
    <row r="171" spans="1:3" ht="15.75" customHeight="1" x14ac:dyDescent="0.2">
      <c r="A171" s="17" t="s">
        <v>171</v>
      </c>
      <c r="B171" s="8"/>
      <c r="C171" s="8"/>
    </row>
    <row r="172" spans="1:3" ht="15.75" customHeight="1" x14ac:dyDescent="0.2">
      <c r="A172" s="17" t="s">
        <v>172</v>
      </c>
      <c r="B172" s="8"/>
      <c r="C172" s="8"/>
    </row>
    <row r="173" spans="1:3" ht="15.75" customHeight="1" x14ac:dyDescent="0.2">
      <c r="A173" s="17" t="s">
        <v>173</v>
      </c>
      <c r="B173" s="8"/>
      <c r="C173" s="8"/>
    </row>
    <row r="174" spans="1:3" ht="15.75" customHeight="1" x14ac:dyDescent="0.2">
      <c r="A174" s="17" t="s">
        <v>174</v>
      </c>
      <c r="B174" s="8"/>
      <c r="C174" s="8"/>
    </row>
    <row r="175" spans="1:3" ht="27.75" customHeight="1" x14ac:dyDescent="0.2">
      <c r="A175" s="19" t="s">
        <v>209</v>
      </c>
      <c r="B175" s="6">
        <f>1*B171+1*B172+1*B173+1*B174</f>
        <v>0</v>
      </c>
      <c r="C175" s="6">
        <f>1*C171+1*C172+1*C173+1*C174</f>
        <v>0</v>
      </c>
    </row>
    <row r="176" spans="1:3" ht="15.75" customHeight="1" x14ac:dyDescent="0.2">
      <c r="A176" s="7" t="s">
        <v>210</v>
      </c>
      <c r="B176" s="8"/>
      <c r="C176" s="8"/>
    </row>
    <row r="177" spans="1:3" ht="28.5" customHeight="1" x14ac:dyDescent="0.2">
      <c r="A177" s="9" t="s">
        <v>211</v>
      </c>
      <c r="B177" s="10">
        <f>1*B175+1*B176</f>
        <v>0</v>
      </c>
      <c r="C177" s="10">
        <f>1*C175+1*C176</f>
        <v>0</v>
      </c>
    </row>
    <row r="178" spans="1:3" ht="16.5" customHeight="1" x14ac:dyDescent="0.2">
      <c r="A178" s="4" t="s">
        <v>212</v>
      </c>
      <c r="B178" s="11"/>
      <c r="C178" s="11"/>
    </row>
    <row r="179" spans="1:3" ht="15.75" customHeight="1" x14ac:dyDescent="0.2">
      <c r="A179" s="16" t="s">
        <v>213</v>
      </c>
      <c r="B179" s="1"/>
      <c r="C179" s="1"/>
    </row>
    <row r="180" spans="1:3" ht="15.75" customHeight="1" x14ac:dyDescent="0.2">
      <c r="A180" s="17" t="s">
        <v>214</v>
      </c>
      <c r="B180" s="8"/>
      <c r="C180" s="8"/>
    </row>
    <row r="181" spans="1:3" ht="15.75" customHeight="1" x14ac:dyDescent="0.2">
      <c r="A181" s="17" t="s">
        <v>215</v>
      </c>
      <c r="B181" s="8"/>
      <c r="C181" s="8"/>
    </row>
    <row r="182" spans="1:3" ht="15.75" customHeight="1" x14ac:dyDescent="0.2">
      <c r="A182" s="19" t="s">
        <v>216</v>
      </c>
      <c r="B182" s="6">
        <f>1*B180+1*B181</f>
        <v>0</v>
      </c>
      <c r="C182" s="6">
        <f>1*C180+1*C181</f>
        <v>0</v>
      </c>
    </row>
    <row r="183" spans="1:3" ht="15.75" customHeight="1" x14ac:dyDescent="0.2">
      <c r="A183" s="16" t="s">
        <v>217</v>
      </c>
      <c r="B183" s="1"/>
      <c r="C183" s="1"/>
    </row>
    <row r="184" spans="1:3" ht="15.75" customHeight="1" x14ac:dyDescent="0.2">
      <c r="A184" s="17" t="s">
        <v>218</v>
      </c>
      <c r="B184" s="8"/>
      <c r="C184" s="8"/>
    </row>
    <row r="185" spans="1:3" ht="15.75" customHeight="1" x14ac:dyDescent="0.2">
      <c r="A185" s="17" t="s">
        <v>219</v>
      </c>
      <c r="B185" s="8"/>
      <c r="C185" s="8"/>
    </row>
    <row r="186" spans="1:3" ht="27.75" customHeight="1" x14ac:dyDescent="0.2">
      <c r="A186" s="17" t="s">
        <v>220</v>
      </c>
      <c r="B186" s="8"/>
      <c r="C186" s="8"/>
    </row>
    <row r="187" spans="1:3" ht="15.75" customHeight="1" x14ac:dyDescent="0.2">
      <c r="A187" s="17" t="s">
        <v>221</v>
      </c>
      <c r="B187" s="8"/>
      <c r="C187" s="8"/>
    </row>
    <row r="188" spans="1:3" ht="15.75" customHeight="1" x14ac:dyDescent="0.2">
      <c r="A188" s="17" t="s">
        <v>222</v>
      </c>
      <c r="B188" s="8"/>
      <c r="C188" s="8"/>
    </row>
    <row r="189" spans="1:3" ht="15.75" customHeight="1" x14ac:dyDescent="0.2">
      <c r="A189" s="17" t="s">
        <v>223</v>
      </c>
      <c r="B189" s="8"/>
      <c r="C189" s="8"/>
    </row>
    <row r="190" spans="1:3" ht="15.75" customHeight="1" x14ac:dyDescent="0.2">
      <c r="A190" s="19" t="s">
        <v>224</v>
      </c>
      <c r="B190" s="6">
        <f>1*B184+1*B185+1*B186+1*B187+1*B188+1*B189</f>
        <v>0</v>
      </c>
      <c r="C190" s="6">
        <f>1*C184+1*C185+1*C186+1*C187+1*C188+1*C189</f>
        <v>0</v>
      </c>
    </row>
    <row r="191" spans="1:3" ht="15.75" customHeight="1" x14ac:dyDescent="0.2">
      <c r="A191" s="7" t="s">
        <v>225</v>
      </c>
      <c r="B191" s="8"/>
      <c r="C191" s="8"/>
    </row>
    <row r="192" spans="1:3" ht="16.5" customHeight="1" x14ac:dyDescent="0.2">
      <c r="A192" s="9" t="s">
        <v>226</v>
      </c>
      <c r="B192" s="10">
        <f>1*B182+1*B190+1*B191</f>
        <v>0</v>
      </c>
      <c r="C192" s="10">
        <f>1*C182+1*C190+1*C191</f>
        <v>0</v>
      </c>
    </row>
    <row r="193" spans="1:3" ht="16.5" customHeight="1" x14ac:dyDescent="0.2">
      <c r="A193" s="4" t="s">
        <v>227</v>
      </c>
      <c r="B193" s="11"/>
      <c r="C193" s="11"/>
    </row>
    <row r="194" spans="1:3" ht="15.75" customHeight="1" x14ac:dyDescent="0.2">
      <c r="A194" s="7" t="s">
        <v>228</v>
      </c>
      <c r="B194" s="8"/>
      <c r="C194" s="8"/>
    </row>
    <row r="195" spans="1:3" ht="15.75" customHeight="1" x14ac:dyDescent="0.2">
      <c r="A195" s="7" t="s">
        <v>229</v>
      </c>
      <c r="B195" s="8"/>
      <c r="C195" s="8"/>
    </row>
    <row r="196" spans="1:3" ht="15.75" customHeight="1" x14ac:dyDescent="0.2">
      <c r="A196" s="7" t="s">
        <v>227</v>
      </c>
      <c r="B196" s="8"/>
      <c r="C196" s="8"/>
    </row>
    <row r="197" spans="1:3" ht="16.5" customHeight="1" x14ac:dyDescent="0.2">
      <c r="A197" s="9" t="s">
        <v>230</v>
      </c>
      <c r="B197" s="10">
        <f>1*B194+1*B195+1*B196</f>
        <v>0</v>
      </c>
      <c r="C197" s="10">
        <f>1*C194+1*C195+1*C196</f>
        <v>0</v>
      </c>
    </row>
    <row r="198" spans="1:3" ht="16.5" customHeight="1" x14ac:dyDescent="0.2">
      <c r="A198" s="4" t="s">
        <v>231</v>
      </c>
      <c r="B198" s="11"/>
      <c r="C198" s="11"/>
    </row>
    <row r="199" spans="1:3" ht="15.75" customHeight="1" x14ac:dyDescent="0.2">
      <c r="A199" s="7" t="s">
        <v>232</v>
      </c>
      <c r="B199" s="8"/>
      <c r="C199" s="8"/>
    </row>
    <row r="200" spans="1:3" ht="27.75" customHeight="1" x14ac:dyDescent="0.2">
      <c r="A200" s="7" t="s">
        <v>233</v>
      </c>
      <c r="B200" s="8"/>
      <c r="C200" s="8"/>
    </row>
    <row r="201" spans="1:3" ht="27.75" customHeight="1" x14ac:dyDescent="0.2">
      <c r="A201" s="7" t="s">
        <v>234</v>
      </c>
      <c r="B201" s="8"/>
      <c r="C201" s="8"/>
    </row>
    <row r="202" spans="1:3" ht="16.5" customHeight="1" x14ac:dyDescent="0.2">
      <c r="A202" s="9" t="s">
        <v>235</v>
      </c>
      <c r="B202" s="10">
        <f>1*B199+1*B200+1*B201</f>
        <v>0</v>
      </c>
      <c r="C202" s="10">
        <f>1*C199+1*C200+1*C201</f>
        <v>0</v>
      </c>
    </row>
    <row r="203" spans="1:3" ht="16.5" customHeight="1" x14ac:dyDescent="0.2">
      <c r="A203" s="4" t="s">
        <v>236</v>
      </c>
      <c r="B203" s="11"/>
      <c r="C203" s="11"/>
    </row>
    <row r="204" spans="1:3" ht="15.75" customHeight="1" x14ac:dyDescent="0.2">
      <c r="A204" s="16" t="s">
        <v>237</v>
      </c>
      <c r="B204" s="1"/>
      <c r="C204" s="1"/>
    </row>
    <row r="205" spans="1:3" ht="15.75" customHeight="1" x14ac:dyDescent="0.2">
      <c r="A205" s="17" t="s">
        <v>238</v>
      </c>
      <c r="B205" s="8"/>
      <c r="C205" s="8"/>
    </row>
    <row r="206" spans="1:3" ht="15.75" customHeight="1" x14ac:dyDescent="0.2">
      <c r="A206" s="17" t="s">
        <v>239</v>
      </c>
      <c r="B206" s="8"/>
      <c r="C206" s="8"/>
    </row>
    <row r="207" spans="1:3" ht="15.75" customHeight="1" x14ac:dyDescent="0.2">
      <c r="A207" s="17" t="s">
        <v>240</v>
      </c>
      <c r="B207" s="8"/>
      <c r="C207" s="8"/>
    </row>
    <row r="208" spans="1:3" ht="15.75" customHeight="1" x14ac:dyDescent="0.2">
      <c r="A208" s="17" t="s">
        <v>241</v>
      </c>
      <c r="B208" s="8"/>
      <c r="C208" s="8"/>
    </row>
    <row r="209" spans="1:3" ht="15.75" customHeight="1" x14ac:dyDescent="0.2">
      <c r="A209" s="17" t="s">
        <v>242</v>
      </c>
      <c r="B209" s="8"/>
      <c r="C209" s="8"/>
    </row>
    <row r="210" spans="1:3" ht="15.75" customHeight="1" x14ac:dyDescent="0.2">
      <c r="A210" s="17" t="s">
        <v>243</v>
      </c>
      <c r="B210" s="8"/>
      <c r="C210" s="8"/>
    </row>
    <row r="211" spans="1:3" ht="15.75" customHeight="1" x14ac:dyDescent="0.2">
      <c r="A211" s="17" t="s">
        <v>244</v>
      </c>
      <c r="B211" s="8"/>
      <c r="C211" s="8"/>
    </row>
    <row r="212" spans="1:3" ht="15.75" customHeight="1" x14ac:dyDescent="0.2">
      <c r="A212" s="17" t="s">
        <v>245</v>
      </c>
      <c r="B212" s="8"/>
      <c r="C212" s="8"/>
    </row>
    <row r="213" spans="1:3" ht="15.75" customHeight="1" x14ac:dyDescent="0.2">
      <c r="A213" s="19" t="s">
        <v>246</v>
      </c>
      <c r="B213" s="6">
        <f>1*B205+1*B206+1*B207+1*B208+1*B209+1*B210+1*B212+1*B211</f>
        <v>0</v>
      </c>
      <c r="C213" s="6">
        <f>1*C205+1*C206+1*C207+1*C208+1*C209+1*C210+1*C212+1*C211</f>
        <v>0</v>
      </c>
    </row>
    <row r="214" spans="1:3" ht="15.75" customHeight="1" x14ac:dyDescent="0.2">
      <c r="A214" s="16" t="s">
        <v>247</v>
      </c>
      <c r="B214" s="1"/>
      <c r="C214" s="1"/>
    </row>
    <row r="215" spans="1:3" ht="15.75" customHeight="1" x14ac:dyDescent="0.2">
      <c r="A215" s="17" t="s">
        <v>248</v>
      </c>
      <c r="B215" s="8"/>
      <c r="C215" s="8"/>
    </row>
    <row r="216" spans="1:3" ht="27.75" customHeight="1" x14ac:dyDescent="0.2">
      <c r="A216" s="17" t="s">
        <v>249</v>
      </c>
      <c r="B216" s="8"/>
      <c r="C216" s="8"/>
    </row>
    <row r="217" spans="1:3" ht="15.75" customHeight="1" x14ac:dyDescent="0.2">
      <c r="A217" s="17" t="s">
        <v>250</v>
      </c>
      <c r="B217" s="8"/>
      <c r="C217" s="8"/>
    </row>
    <row r="218" spans="1:3" ht="15.75" customHeight="1" x14ac:dyDescent="0.2">
      <c r="A218" s="17" t="s">
        <v>251</v>
      </c>
      <c r="B218" s="8"/>
      <c r="C218" s="8"/>
    </row>
    <row r="219" spans="1:3" ht="15.75" customHeight="1" x14ac:dyDescent="0.2">
      <c r="A219" s="17" t="s">
        <v>252</v>
      </c>
      <c r="B219" s="8"/>
      <c r="C219" s="8"/>
    </row>
    <row r="220" spans="1:3" ht="15.75" customHeight="1" x14ac:dyDescent="0.2">
      <c r="A220" s="19" t="s">
        <v>253</v>
      </c>
      <c r="B220" s="6">
        <f>1*B215+1*B216+1*B217+1*B218+1*B219</f>
        <v>0</v>
      </c>
      <c r="C220" s="6">
        <f>1*C215+1*C216+1*C217+1*C218+1*C219</f>
        <v>0</v>
      </c>
    </row>
    <row r="221" spans="1:3" ht="16.5" customHeight="1" x14ac:dyDescent="0.2">
      <c r="A221" s="9" t="s">
        <v>254</v>
      </c>
      <c r="B221" s="10">
        <f>1*B213+1*B220</f>
        <v>0</v>
      </c>
      <c r="C221" s="10">
        <f>1*C213+1*C220</f>
        <v>0</v>
      </c>
    </row>
    <row r="222" spans="1:3" ht="16.5" customHeight="1" x14ac:dyDescent="0.2">
      <c r="A222" s="4" t="s">
        <v>255</v>
      </c>
      <c r="B222" s="11"/>
      <c r="C222" s="11"/>
    </row>
    <row r="223" spans="1:3" ht="15.75" customHeight="1" x14ac:dyDescent="0.2">
      <c r="A223" s="7" t="s">
        <v>256</v>
      </c>
      <c r="B223" s="8"/>
      <c r="C223" s="8"/>
    </row>
    <row r="224" spans="1:3" ht="42" customHeight="1" x14ac:dyDescent="0.2">
      <c r="A224" s="7" t="s">
        <v>257</v>
      </c>
      <c r="B224" s="8"/>
      <c r="C224" s="8"/>
    </row>
    <row r="225" spans="1:3" ht="15.75" customHeight="1" x14ac:dyDescent="0.2">
      <c r="A225" s="7" t="s">
        <v>258</v>
      </c>
      <c r="B225" s="8"/>
      <c r="C225" s="8"/>
    </row>
    <row r="226" spans="1:3" ht="15.75" customHeight="1" x14ac:dyDescent="0.2">
      <c r="A226" s="7" t="s">
        <v>259</v>
      </c>
      <c r="B226" s="8"/>
      <c r="C226" s="8"/>
    </row>
    <row r="227" spans="1:3" ht="27.75" customHeight="1" x14ac:dyDescent="0.2">
      <c r="A227" s="7" t="s">
        <v>260</v>
      </c>
      <c r="B227" s="8"/>
      <c r="C227" s="8"/>
    </row>
    <row r="228" spans="1:3" ht="16.5" customHeight="1" x14ac:dyDescent="0.2">
      <c r="A228" s="9" t="s">
        <v>261</v>
      </c>
      <c r="B228" s="10">
        <f>1*B223+1*B224+1*B225+1*B226+1*B227</f>
        <v>0</v>
      </c>
      <c r="C228" s="10">
        <f>1*C223+1*C224+1*C225+1*C226+1*C227</f>
        <v>0</v>
      </c>
    </row>
    <row r="229" spans="1:3" ht="16.5" customHeight="1" x14ac:dyDescent="0.2">
      <c r="A229" s="4" t="s">
        <v>262</v>
      </c>
      <c r="B229" s="11"/>
      <c r="C229" s="11"/>
    </row>
    <row r="230" spans="1:3" ht="27.75" customHeight="1" x14ac:dyDescent="0.2">
      <c r="A230" s="16" t="s">
        <v>263</v>
      </c>
      <c r="B230" s="1"/>
      <c r="C230" s="1"/>
    </row>
    <row r="231" spans="1:3" ht="15.75" customHeight="1" x14ac:dyDescent="0.2">
      <c r="A231" s="17" t="s">
        <v>264</v>
      </c>
      <c r="B231" s="8"/>
      <c r="C231" s="8"/>
    </row>
    <row r="232" spans="1:3" ht="15.75" customHeight="1" x14ac:dyDescent="0.2">
      <c r="A232" s="17" t="s">
        <v>265</v>
      </c>
      <c r="B232" s="8"/>
      <c r="C232" s="8"/>
    </row>
    <row r="233" spans="1:3" ht="27.75" customHeight="1" x14ac:dyDescent="0.2">
      <c r="A233" s="17" t="s">
        <v>266</v>
      </c>
      <c r="B233" s="8"/>
      <c r="C233" s="8"/>
    </row>
    <row r="234" spans="1:3" ht="15.75" customHeight="1" x14ac:dyDescent="0.2">
      <c r="A234" s="17" t="s">
        <v>267</v>
      </c>
      <c r="B234" s="8"/>
      <c r="C234" s="8"/>
    </row>
    <row r="235" spans="1:3" ht="15.75" customHeight="1" x14ac:dyDescent="0.2">
      <c r="A235" s="17" t="s">
        <v>268</v>
      </c>
      <c r="B235" s="8"/>
      <c r="C235" s="8"/>
    </row>
    <row r="236" spans="1:3" ht="15.75" customHeight="1" x14ac:dyDescent="0.2">
      <c r="A236" s="17" t="s">
        <v>269</v>
      </c>
      <c r="B236" s="8"/>
      <c r="C236" s="8"/>
    </row>
    <row r="237" spans="1:3" ht="15.75" customHeight="1" x14ac:dyDescent="0.2">
      <c r="A237" s="17" t="s">
        <v>270</v>
      </c>
      <c r="B237" s="8"/>
      <c r="C237" s="8"/>
    </row>
    <row r="238" spans="1:3" ht="27.75" customHeight="1" x14ac:dyDescent="0.2">
      <c r="A238" s="19" t="s">
        <v>271</v>
      </c>
      <c r="B238" s="6">
        <f>1*B231+1*B232+1*B233+1*B234+1*B235+1*B236+1*B237</f>
        <v>0</v>
      </c>
      <c r="C238" s="6">
        <f>1*C231+1*C232+1*C233+1*C234+1*C235+1*C236+1*C237</f>
        <v>0</v>
      </c>
    </row>
    <row r="239" spans="1:3" ht="27.75" customHeight="1" x14ac:dyDescent="0.2">
      <c r="A239" s="16" t="s">
        <v>272</v>
      </c>
      <c r="B239" s="1"/>
      <c r="C239" s="1"/>
    </row>
    <row r="240" spans="1:3" ht="15.75" customHeight="1" x14ac:dyDescent="0.2">
      <c r="A240" s="17" t="s">
        <v>264</v>
      </c>
      <c r="B240" s="8"/>
      <c r="C240" s="8"/>
    </row>
    <row r="241" spans="1:3" ht="27.75" customHeight="1" x14ac:dyDescent="0.2">
      <c r="A241" s="17" t="s">
        <v>273</v>
      </c>
      <c r="B241" s="8"/>
      <c r="C241" s="8"/>
    </row>
    <row r="242" spans="1:3" ht="15.75" customHeight="1" x14ac:dyDescent="0.2">
      <c r="A242" s="17" t="s">
        <v>265</v>
      </c>
      <c r="B242" s="8"/>
      <c r="C242" s="8"/>
    </row>
    <row r="243" spans="1:3" ht="27.75" customHeight="1" x14ac:dyDescent="0.2">
      <c r="A243" s="17" t="s">
        <v>266</v>
      </c>
      <c r="B243" s="8"/>
      <c r="C243" s="8"/>
    </row>
    <row r="244" spans="1:3" ht="15.75" customHeight="1" x14ac:dyDescent="0.2">
      <c r="A244" s="17" t="s">
        <v>267</v>
      </c>
      <c r="B244" s="8"/>
      <c r="C244" s="8"/>
    </row>
    <row r="245" spans="1:3" ht="15.75" customHeight="1" x14ac:dyDescent="0.2">
      <c r="A245" s="17" t="s">
        <v>268</v>
      </c>
      <c r="B245" s="8"/>
      <c r="C245" s="8"/>
    </row>
    <row r="246" spans="1:3" ht="15.75" customHeight="1" x14ac:dyDescent="0.2">
      <c r="A246" s="17" t="s">
        <v>269</v>
      </c>
      <c r="B246" s="8"/>
      <c r="C246" s="8"/>
    </row>
    <row r="247" spans="1:3" ht="15.75" customHeight="1" x14ac:dyDescent="0.2">
      <c r="A247" s="17" t="s">
        <v>274</v>
      </c>
      <c r="B247" s="8"/>
      <c r="C247" s="8"/>
    </row>
    <row r="248" spans="1:3" ht="42" customHeight="1" x14ac:dyDescent="0.2">
      <c r="A248" s="19" t="s">
        <v>275</v>
      </c>
      <c r="B248" s="6">
        <f>1*B240+1*B241+1*B242+1*B243+1*B244+1*B245+1*B246+1*B247</f>
        <v>0</v>
      </c>
      <c r="C248" s="6">
        <f>1*C240+1*C241+1*C242+1*C243+1*C244+1*C245+1*C246+1*C247</f>
        <v>0</v>
      </c>
    </row>
    <row r="249" spans="1:3" ht="27.75" customHeight="1" x14ac:dyDescent="0.2">
      <c r="A249" s="16" t="s">
        <v>276</v>
      </c>
      <c r="B249" s="1"/>
      <c r="C249" s="1"/>
    </row>
    <row r="250" spans="1:3" ht="15.75" customHeight="1" x14ac:dyDescent="0.2">
      <c r="A250" s="17" t="s">
        <v>277</v>
      </c>
      <c r="B250" s="8"/>
      <c r="C250" s="8"/>
    </row>
    <row r="251" spans="1:3" ht="15.75" customHeight="1" x14ac:dyDescent="0.2">
      <c r="A251" s="17" t="s">
        <v>268</v>
      </c>
      <c r="B251" s="8"/>
      <c r="C251" s="8"/>
    </row>
    <row r="252" spans="1:3" ht="15.75" customHeight="1" x14ac:dyDescent="0.2">
      <c r="A252" s="17" t="s">
        <v>278</v>
      </c>
      <c r="B252" s="8"/>
      <c r="C252" s="8"/>
    </row>
    <row r="253" spans="1:3" ht="15.75" customHeight="1" x14ac:dyDescent="0.2">
      <c r="A253" s="17" t="s">
        <v>279</v>
      </c>
      <c r="B253" s="8"/>
      <c r="C253" s="8"/>
    </row>
    <row r="254" spans="1:3" ht="15.75" customHeight="1" x14ac:dyDescent="0.2">
      <c r="A254" s="17" t="s">
        <v>280</v>
      </c>
      <c r="B254" s="8"/>
      <c r="C254" s="8"/>
    </row>
    <row r="255" spans="1:3" ht="27.75" customHeight="1" x14ac:dyDescent="0.2">
      <c r="A255" s="19" t="s">
        <v>281</v>
      </c>
      <c r="B255" s="6">
        <f>1*B250+1*B251+1*B252+1*B253+1*B254</f>
        <v>0</v>
      </c>
      <c r="C255" s="6">
        <f>1*C250+1*C251+1*C252+1*C253+1*C254</f>
        <v>0</v>
      </c>
    </row>
    <row r="256" spans="1:3" ht="27.75" customHeight="1" x14ac:dyDescent="0.2">
      <c r="A256" s="16" t="s">
        <v>282</v>
      </c>
      <c r="B256" s="1"/>
      <c r="C256" s="1"/>
    </row>
    <row r="257" spans="1:3" ht="15.75" customHeight="1" x14ac:dyDescent="0.2">
      <c r="A257" s="17" t="s">
        <v>277</v>
      </c>
      <c r="B257" s="8"/>
      <c r="C257" s="8"/>
    </row>
    <row r="258" spans="1:3" ht="15.75" customHeight="1" x14ac:dyDescent="0.2">
      <c r="A258" s="17" t="s">
        <v>268</v>
      </c>
      <c r="B258" s="8"/>
      <c r="C258" s="8"/>
    </row>
    <row r="259" spans="1:3" ht="15.75" customHeight="1" x14ac:dyDescent="0.2">
      <c r="A259" s="17" t="s">
        <v>278</v>
      </c>
      <c r="B259" s="8"/>
      <c r="C259" s="8"/>
    </row>
    <row r="260" spans="1:3" ht="15.75" customHeight="1" x14ac:dyDescent="0.2">
      <c r="A260" s="17" t="s">
        <v>279</v>
      </c>
      <c r="B260" s="8"/>
      <c r="C260" s="8"/>
    </row>
    <row r="261" spans="1:3" ht="15.75" customHeight="1" x14ac:dyDescent="0.2">
      <c r="A261" s="17" t="s">
        <v>280</v>
      </c>
      <c r="B261" s="8"/>
      <c r="C261" s="8"/>
    </row>
    <row r="262" spans="1:3" ht="42" customHeight="1" x14ac:dyDescent="0.2">
      <c r="A262" s="19" t="s">
        <v>283</v>
      </c>
      <c r="B262" s="6">
        <f>1*B257+1*B258+1*B259+1*B260+1*B261</f>
        <v>0</v>
      </c>
      <c r="C262" s="6">
        <f>1*C257+1*C258+1*C259+1*C260+1*C261</f>
        <v>0</v>
      </c>
    </row>
    <row r="263" spans="1:3" ht="15.75" customHeight="1" x14ac:dyDescent="0.2">
      <c r="A263" s="16" t="s">
        <v>284</v>
      </c>
      <c r="B263" s="1"/>
      <c r="C263" s="1"/>
    </row>
    <row r="264" spans="1:3" ht="15.75" customHeight="1" x14ac:dyDescent="0.2">
      <c r="A264" s="17" t="s">
        <v>285</v>
      </c>
      <c r="B264" s="8"/>
      <c r="C264" s="8"/>
    </row>
    <row r="265" spans="1:3" ht="15.75" customHeight="1" x14ac:dyDescent="0.2">
      <c r="A265" s="17" t="s">
        <v>286</v>
      </c>
      <c r="B265" s="8"/>
      <c r="C265" s="8"/>
    </row>
    <row r="266" spans="1:3" ht="15.75" customHeight="1" x14ac:dyDescent="0.2">
      <c r="A266" s="17" t="s">
        <v>287</v>
      </c>
      <c r="B266" s="8"/>
      <c r="C266" s="8"/>
    </row>
    <row r="267" spans="1:3" ht="15.75" customHeight="1" x14ac:dyDescent="0.2">
      <c r="A267" s="17" t="s">
        <v>288</v>
      </c>
      <c r="B267" s="8"/>
      <c r="C267" s="8"/>
    </row>
    <row r="268" spans="1:3" ht="15.75" customHeight="1" x14ac:dyDescent="0.2">
      <c r="A268" s="17" t="s">
        <v>284</v>
      </c>
      <c r="B268" s="8"/>
      <c r="C268" s="8"/>
    </row>
    <row r="269" spans="1:3" ht="15.75" customHeight="1" x14ac:dyDescent="0.2">
      <c r="A269" s="19" t="s">
        <v>289</v>
      </c>
      <c r="B269" s="6">
        <f>1*B264+1*B265+1*B266+1*B267+1*B268</f>
        <v>0</v>
      </c>
      <c r="C269" s="6">
        <f>1*C264+1*C265+1*C266+1*C267+1*C268</f>
        <v>0</v>
      </c>
    </row>
    <row r="270" spans="1:3" ht="16.5" customHeight="1" x14ac:dyDescent="0.2">
      <c r="A270" s="9" t="s">
        <v>290</v>
      </c>
      <c r="B270" s="10">
        <f>1*B238+1*B248+1*B255+1*B262+1*B269</f>
        <v>0</v>
      </c>
      <c r="C270" s="10">
        <f>1*C238+1*C248+1*C255+1*C262+1*C269</f>
        <v>0</v>
      </c>
    </row>
    <row r="271" spans="1:3" ht="16.5" customHeight="1" x14ac:dyDescent="0.2">
      <c r="A271" s="4" t="s">
        <v>291</v>
      </c>
      <c r="B271" s="11"/>
      <c r="C271" s="11"/>
    </row>
    <row r="272" spans="1:3" ht="15.75" customHeight="1" x14ac:dyDescent="0.2">
      <c r="A272" s="7" t="s">
        <v>292</v>
      </c>
      <c r="B272" s="8"/>
      <c r="C272" s="8"/>
    </row>
    <row r="273" spans="1:3" ht="15.75" customHeight="1" x14ac:dyDescent="0.2">
      <c r="A273" s="7" t="s">
        <v>293</v>
      </c>
      <c r="B273" s="8"/>
      <c r="C273" s="8"/>
    </row>
    <row r="274" spans="1:3" ht="15.75" customHeight="1" x14ac:dyDescent="0.2">
      <c r="A274" s="7" t="s">
        <v>294</v>
      </c>
      <c r="B274" s="8"/>
      <c r="C274" s="8"/>
    </row>
    <row r="275" spans="1:3" ht="15.75" customHeight="1" x14ac:dyDescent="0.2">
      <c r="A275" s="7" t="s">
        <v>295</v>
      </c>
      <c r="B275" s="8"/>
      <c r="C275" s="8"/>
    </row>
    <row r="276" spans="1:3" ht="15.75" customHeight="1" x14ac:dyDescent="0.2">
      <c r="A276" s="7" t="s">
        <v>296</v>
      </c>
      <c r="B276" s="8"/>
      <c r="C276" s="8"/>
    </row>
    <row r="277" spans="1:3" ht="15.75" customHeight="1" x14ac:dyDescent="0.2">
      <c r="A277" s="7" t="s">
        <v>297</v>
      </c>
      <c r="B277" s="8"/>
      <c r="C277" s="8"/>
    </row>
    <row r="278" spans="1:3" ht="27.75" customHeight="1" x14ac:dyDescent="0.2">
      <c r="A278" s="7" t="s">
        <v>298</v>
      </c>
      <c r="B278" s="8"/>
      <c r="C278" s="8"/>
    </row>
    <row r="279" spans="1:3" ht="28.5" customHeight="1" x14ac:dyDescent="0.2">
      <c r="A279" s="9" t="s">
        <v>299</v>
      </c>
      <c r="B279" s="10">
        <f>1*B272+1*B273+1*B274+1*B275+1*B276+1*B277+1*B278</f>
        <v>0</v>
      </c>
      <c r="C279" s="10">
        <f>1*C272+1*C273+1*C274+1*C275+1*C276+1*C277+1*C278</f>
        <v>0</v>
      </c>
    </row>
    <row r="280" spans="1:3" ht="16.5" customHeight="1" x14ac:dyDescent="0.2">
      <c r="A280" s="4" t="s">
        <v>300</v>
      </c>
      <c r="B280" s="11"/>
      <c r="C280" s="11"/>
    </row>
    <row r="281" spans="1:3" ht="15.75" customHeight="1" x14ac:dyDescent="0.2">
      <c r="A281" s="7" t="s">
        <v>301</v>
      </c>
      <c r="B281" s="8"/>
      <c r="C281" s="8"/>
    </row>
    <row r="282" spans="1:3" ht="15.75" customHeight="1" x14ac:dyDescent="0.2">
      <c r="A282" s="7" t="s">
        <v>302</v>
      </c>
      <c r="B282" s="8"/>
      <c r="C282" s="8"/>
    </row>
    <row r="283" spans="1:3" ht="15.75" customHeight="1" x14ac:dyDescent="0.2">
      <c r="A283" s="7" t="s">
        <v>303</v>
      </c>
      <c r="B283" s="8"/>
      <c r="C283" s="8"/>
    </row>
    <row r="284" spans="1:3" ht="15.75" customHeight="1" x14ac:dyDescent="0.2">
      <c r="A284" s="7" t="s">
        <v>304</v>
      </c>
      <c r="B284" s="8"/>
      <c r="C284" s="8"/>
    </row>
    <row r="285" spans="1:3" ht="15.75" customHeight="1" x14ac:dyDescent="0.2">
      <c r="A285" s="7" t="s">
        <v>305</v>
      </c>
      <c r="B285" s="8"/>
      <c r="C285" s="8"/>
    </row>
    <row r="286" spans="1:3" ht="27.75" customHeight="1" x14ac:dyDescent="0.2">
      <c r="A286" s="7" t="s">
        <v>306</v>
      </c>
      <c r="B286" s="8"/>
      <c r="C286" s="8"/>
    </row>
    <row r="287" spans="1:3" ht="15.75" customHeight="1" x14ac:dyDescent="0.2">
      <c r="A287" s="7" t="s">
        <v>307</v>
      </c>
      <c r="B287" s="8"/>
      <c r="C287" s="8"/>
    </row>
    <row r="288" spans="1:3" ht="16.5" customHeight="1" x14ac:dyDescent="0.2">
      <c r="A288" s="9" t="s">
        <v>308</v>
      </c>
      <c r="B288" s="10">
        <f>1*B281+1*B282+1*B283+1*B284+1*B285+1*B286+1*B287</f>
        <v>0</v>
      </c>
      <c r="C288" s="10">
        <f>1*C281+1*C282+1*C283+1*C284+1*C285+1*C286+1*C287</f>
        <v>0</v>
      </c>
    </row>
    <row r="289" spans="1:3" ht="16.5" customHeight="1" x14ac:dyDescent="0.2">
      <c r="A289" s="4" t="s">
        <v>309</v>
      </c>
      <c r="B289" s="11"/>
      <c r="C289" s="11"/>
    </row>
    <row r="290" spans="1:3" ht="15.75" customHeight="1" x14ac:dyDescent="0.2">
      <c r="A290" s="16" t="s">
        <v>310</v>
      </c>
      <c r="B290" s="1"/>
      <c r="C290" s="1"/>
    </row>
    <row r="291" spans="1:3" ht="15.75" customHeight="1" x14ac:dyDescent="0.2">
      <c r="A291" s="17" t="s">
        <v>311</v>
      </c>
      <c r="B291" s="8"/>
      <c r="C291" s="8"/>
    </row>
    <row r="292" spans="1:3" ht="15.75" customHeight="1" x14ac:dyDescent="0.2">
      <c r="A292" s="17" t="s">
        <v>312</v>
      </c>
      <c r="B292" s="8"/>
      <c r="C292" s="8"/>
    </row>
    <row r="293" spans="1:3" ht="15.75" customHeight="1" x14ac:dyDescent="0.2">
      <c r="A293" s="17" t="s">
        <v>313</v>
      </c>
      <c r="B293" s="8"/>
      <c r="C293" s="8"/>
    </row>
    <row r="294" spans="1:3" ht="15.75" customHeight="1" x14ac:dyDescent="0.2">
      <c r="A294" s="17" t="s">
        <v>314</v>
      </c>
      <c r="B294" s="8"/>
      <c r="C294" s="8"/>
    </row>
    <row r="295" spans="1:3" ht="15.75" customHeight="1" x14ac:dyDescent="0.2">
      <c r="A295" s="17" t="s">
        <v>315</v>
      </c>
      <c r="B295" s="8"/>
      <c r="C295" s="8"/>
    </row>
    <row r="296" spans="1:3" ht="27.75" customHeight="1" x14ac:dyDescent="0.2">
      <c r="A296" s="17" t="s">
        <v>316</v>
      </c>
      <c r="B296" s="8"/>
      <c r="C296" s="8"/>
    </row>
    <row r="297" spans="1:3" ht="15.75" customHeight="1" x14ac:dyDescent="0.2">
      <c r="A297" s="17" t="s">
        <v>317</v>
      </c>
      <c r="B297" s="8"/>
      <c r="C297" s="8"/>
    </row>
    <row r="298" spans="1:3" ht="15.75" customHeight="1" x14ac:dyDescent="0.2">
      <c r="A298" s="19" t="s">
        <v>318</v>
      </c>
      <c r="B298" s="6">
        <f>1*B291+1*B292+1*B293+1*B294+1*B295+1*B296+1*B297</f>
        <v>0</v>
      </c>
      <c r="C298" s="6">
        <f>1*C291+1*C292+1*C293+1*C294+1*C295+1*C296+1*C297</f>
        <v>0</v>
      </c>
    </row>
    <row r="299" spans="1:3" ht="15.75" customHeight="1" x14ac:dyDescent="0.2">
      <c r="A299" s="16" t="s">
        <v>319</v>
      </c>
      <c r="B299" s="1"/>
      <c r="C299" s="1"/>
    </row>
    <row r="300" spans="1:3" ht="27.75" customHeight="1" x14ac:dyDescent="0.2">
      <c r="A300" s="25" t="s">
        <v>320</v>
      </c>
      <c r="B300" s="1"/>
      <c r="C300" s="1"/>
    </row>
    <row r="301" spans="1:3" ht="27.75" customHeight="1" x14ac:dyDescent="0.2">
      <c r="A301" s="26" t="s">
        <v>321</v>
      </c>
      <c r="B301" s="8"/>
      <c r="C301" s="8"/>
    </row>
    <row r="302" spans="1:3" ht="15.75" customHeight="1" x14ac:dyDescent="0.2">
      <c r="A302" s="26" t="s">
        <v>322</v>
      </c>
      <c r="B302" s="8"/>
      <c r="C302" s="8"/>
    </row>
    <row r="303" spans="1:3" ht="15.75" customHeight="1" x14ac:dyDescent="0.2">
      <c r="A303" s="26" t="s">
        <v>323</v>
      </c>
      <c r="B303" s="8"/>
      <c r="C303" s="8"/>
    </row>
    <row r="304" spans="1:3" ht="15.75" customHeight="1" x14ac:dyDescent="0.2">
      <c r="A304" s="26" t="s">
        <v>324</v>
      </c>
      <c r="B304" s="8"/>
      <c r="C304" s="8"/>
    </row>
    <row r="305" spans="1:3" ht="27.75" customHeight="1" x14ac:dyDescent="0.2">
      <c r="A305" s="26" t="s">
        <v>325</v>
      </c>
      <c r="B305" s="8"/>
      <c r="C305" s="8"/>
    </row>
    <row r="306" spans="1:3" ht="27.75" customHeight="1" x14ac:dyDescent="0.2">
      <c r="A306" s="27" t="s">
        <v>326</v>
      </c>
      <c r="B306" s="6">
        <f>1*B301+1*B302+1*B303+1*B304+1*B305</f>
        <v>0</v>
      </c>
      <c r="C306" s="6">
        <f>1*C301+1*C302+1*C303+1*C304+1*C305</f>
        <v>0</v>
      </c>
    </row>
    <row r="307" spans="1:3" ht="27.75" customHeight="1" x14ac:dyDescent="0.2">
      <c r="A307" s="25" t="s">
        <v>327</v>
      </c>
      <c r="B307" s="1"/>
      <c r="C307" s="1"/>
    </row>
    <row r="308" spans="1:3" ht="27.75" customHeight="1" x14ac:dyDescent="0.2">
      <c r="A308" s="26" t="s">
        <v>328</v>
      </c>
      <c r="B308" s="8"/>
      <c r="C308" s="8"/>
    </row>
    <row r="309" spans="1:3" ht="15.75" customHeight="1" x14ac:dyDescent="0.2">
      <c r="A309" s="26" t="s">
        <v>329</v>
      </c>
      <c r="B309" s="8"/>
      <c r="C309" s="8"/>
    </row>
    <row r="310" spans="1:3" ht="27.75" customHeight="1" x14ac:dyDescent="0.2">
      <c r="A310" s="26" t="s">
        <v>330</v>
      </c>
      <c r="B310" s="8"/>
      <c r="C310" s="8"/>
    </row>
    <row r="311" spans="1:3" ht="27.75" customHeight="1" x14ac:dyDescent="0.2">
      <c r="A311" s="27" t="s">
        <v>331</v>
      </c>
      <c r="B311" s="6">
        <f>1*B308+1*B309+1*B310</f>
        <v>0</v>
      </c>
      <c r="C311" s="6">
        <f>1*C308+1*C309+1*C310</f>
        <v>0</v>
      </c>
    </row>
    <row r="312" spans="1:3" ht="15.75" customHeight="1" x14ac:dyDescent="0.2">
      <c r="A312" s="25" t="s">
        <v>332</v>
      </c>
      <c r="B312" s="1"/>
      <c r="C312" s="1"/>
    </row>
    <row r="313" spans="1:3" ht="15.75" customHeight="1" x14ac:dyDescent="0.2">
      <c r="A313" s="26" t="s">
        <v>333</v>
      </c>
      <c r="B313" s="8"/>
      <c r="C313" s="8"/>
    </row>
    <row r="314" spans="1:3" ht="15.75" customHeight="1" x14ac:dyDescent="0.2">
      <c r="A314" s="26" t="s">
        <v>334</v>
      </c>
      <c r="B314" s="8"/>
      <c r="C314" s="8"/>
    </row>
    <row r="315" spans="1:3" ht="15.75" customHeight="1" x14ac:dyDescent="0.2">
      <c r="A315" s="26" t="s">
        <v>335</v>
      </c>
      <c r="B315" s="8"/>
      <c r="C315" s="8"/>
    </row>
    <row r="316" spans="1:3" ht="15.75" customHeight="1" x14ac:dyDescent="0.2">
      <c r="A316" s="26" t="s">
        <v>201</v>
      </c>
      <c r="B316" s="8"/>
      <c r="C316" s="8"/>
    </row>
    <row r="317" spans="1:3" ht="15.75" customHeight="1" x14ac:dyDescent="0.2">
      <c r="A317" s="26" t="s">
        <v>336</v>
      </c>
      <c r="B317" s="8"/>
      <c r="C317" s="8"/>
    </row>
    <row r="318" spans="1:3" ht="27.75" customHeight="1" x14ac:dyDescent="0.2">
      <c r="A318" s="27" t="s">
        <v>337</v>
      </c>
      <c r="B318" s="6">
        <f>1*B313+1*B314+1*B315+1*B316+1*B317</f>
        <v>0</v>
      </c>
      <c r="C318" s="6">
        <f>1*C313+1*C314+1*C315+1*C316+1*C317</f>
        <v>0</v>
      </c>
    </row>
    <row r="319" spans="1:3" ht="15.75" customHeight="1" x14ac:dyDescent="0.2">
      <c r="A319" s="19" t="s">
        <v>319</v>
      </c>
      <c r="B319" s="6">
        <f>1*B306+1*B311+1*B318</f>
        <v>0</v>
      </c>
      <c r="C319" s="6">
        <f>1*C306+1*C311+1*C318</f>
        <v>0</v>
      </c>
    </row>
    <row r="320" spans="1:3" ht="28.5" customHeight="1" x14ac:dyDescent="0.2">
      <c r="A320" s="9" t="s">
        <v>338</v>
      </c>
      <c r="B320" s="10">
        <f>1*B298+1*B319</f>
        <v>0</v>
      </c>
      <c r="C320" s="10">
        <f>1*C298+1*C319</f>
        <v>0</v>
      </c>
    </row>
    <row r="321" spans="1:3" ht="28.5" customHeight="1" x14ac:dyDescent="0.2">
      <c r="A321" s="4" t="s">
        <v>339</v>
      </c>
      <c r="B321" s="11"/>
      <c r="C321" s="11"/>
    </row>
    <row r="322" spans="1:3" ht="27.75" customHeight="1" x14ac:dyDescent="0.2">
      <c r="A322" s="16" t="s">
        <v>170</v>
      </c>
      <c r="B322" s="1"/>
      <c r="C322" s="1"/>
    </row>
    <row r="323" spans="1:3" ht="15.75" customHeight="1" x14ac:dyDescent="0.2">
      <c r="A323" s="17" t="s">
        <v>171</v>
      </c>
      <c r="B323" s="8"/>
      <c r="C323" s="8"/>
    </row>
    <row r="324" spans="1:3" ht="15.75" customHeight="1" x14ac:dyDescent="0.2">
      <c r="A324" s="17" t="s">
        <v>172</v>
      </c>
      <c r="B324" s="8"/>
      <c r="C324" s="8"/>
    </row>
    <row r="325" spans="1:3" ht="15.75" customHeight="1" x14ac:dyDescent="0.2">
      <c r="A325" s="17" t="s">
        <v>173</v>
      </c>
      <c r="B325" s="8"/>
      <c r="C325" s="8"/>
    </row>
    <row r="326" spans="1:3" ht="15.75" customHeight="1" x14ac:dyDescent="0.2">
      <c r="A326" s="17" t="s">
        <v>174</v>
      </c>
      <c r="B326" s="8"/>
      <c r="C326" s="8"/>
    </row>
    <row r="327" spans="1:3" ht="27.75" customHeight="1" x14ac:dyDescent="0.2">
      <c r="A327" s="19" t="s">
        <v>175</v>
      </c>
      <c r="B327" s="6">
        <f>1*B323+1*B324+1*B325+1*B326</f>
        <v>0</v>
      </c>
      <c r="C327" s="6">
        <f>1*C323+1*C324+1*C325+1*C326</f>
        <v>0</v>
      </c>
    </row>
    <row r="328" spans="1:3" ht="27.75" customHeight="1" x14ac:dyDescent="0.2">
      <c r="A328" s="16" t="s">
        <v>340</v>
      </c>
      <c r="B328" s="1"/>
      <c r="C328" s="1"/>
    </row>
    <row r="329" spans="1:3" ht="15.75" customHeight="1" x14ac:dyDescent="0.2">
      <c r="A329" s="17" t="s">
        <v>171</v>
      </c>
      <c r="B329" s="8"/>
      <c r="C329" s="8"/>
    </row>
    <row r="330" spans="1:3" ht="15.75" customHeight="1" x14ac:dyDescent="0.2">
      <c r="A330" s="17" t="s">
        <v>172</v>
      </c>
      <c r="B330" s="8"/>
      <c r="C330" s="8"/>
    </row>
    <row r="331" spans="1:3" ht="15.75" customHeight="1" x14ac:dyDescent="0.2">
      <c r="A331" s="17" t="s">
        <v>173</v>
      </c>
      <c r="B331" s="8"/>
      <c r="C331" s="8"/>
    </row>
    <row r="332" spans="1:3" ht="15.75" customHeight="1" x14ac:dyDescent="0.2">
      <c r="A332" s="17" t="s">
        <v>174</v>
      </c>
      <c r="B332" s="8"/>
      <c r="C332" s="8"/>
    </row>
    <row r="333" spans="1:3" ht="27.75" customHeight="1" x14ac:dyDescent="0.2">
      <c r="A333" s="19" t="s">
        <v>341</v>
      </c>
      <c r="B333" s="6">
        <f>1*B329+1*B330+1*B331+1*B332</f>
        <v>0</v>
      </c>
      <c r="C333" s="6">
        <f>1*C329+1*C330+1*C331+1*C332</f>
        <v>0</v>
      </c>
    </row>
    <row r="334" spans="1:3" ht="27.75" customHeight="1" x14ac:dyDescent="0.2">
      <c r="A334" s="7" t="s">
        <v>342</v>
      </c>
      <c r="B334" s="8"/>
      <c r="C334" s="8"/>
    </row>
    <row r="335" spans="1:3" ht="28.5" customHeight="1" x14ac:dyDescent="0.2">
      <c r="A335" s="9" t="s">
        <v>343</v>
      </c>
      <c r="B335" s="10">
        <f>1*B327+1*B333+1*B334</f>
        <v>0</v>
      </c>
      <c r="C335" s="10">
        <f>1*C327+1*C333+1*C334</f>
        <v>0</v>
      </c>
    </row>
    <row r="336" spans="1:3" ht="16.5" customHeight="1" x14ac:dyDescent="0.2">
      <c r="A336" s="4" t="s">
        <v>344</v>
      </c>
      <c r="B336" s="11"/>
      <c r="C336" s="11"/>
    </row>
    <row r="337" spans="1:3" ht="42" customHeight="1" x14ac:dyDescent="0.2">
      <c r="A337" s="16" t="s">
        <v>345</v>
      </c>
      <c r="B337" s="1"/>
      <c r="C337" s="1"/>
    </row>
    <row r="338" spans="1:3" ht="15.75" customHeight="1" x14ac:dyDescent="0.2">
      <c r="A338" s="17" t="s">
        <v>346</v>
      </c>
      <c r="B338" s="8"/>
      <c r="C338" s="8"/>
    </row>
    <row r="339" spans="1:3" ht="15.75" customHeight="1" x14ac:dyDescent="0.2">
      <c r="A339" s="17" t="s">
        <v>347</v>
      </c>
      <c r="B339" s="8"/>
      <c r="C339" s="8"/>
    </row>
    <row r="340" spans="1:3" ht="15.75" customHeight="1" x14ac:dyDescent="0.2">
      <c r="A340" s="17" t="s">
        <v>348</v>
      </c>
      <c r="B340" s="8"/>
      <c r="C340" s="8"/>
    </row>
    <row r="341" spans="1:3" ht="15.75" customHeight="1" x14ac:dyDescent="0.2">
      <c r="A341" s="17" t="s">
        <v>264</v>
      </c>
      <c r="B341" s="8"/>
      <c r="C341" s="8"/>
    </row>
    <row r="342" spans="1:3" ht="15.75" customHeight="1" x14ac:dyDescent="0.2">
      <c r="A342" s="17" t="s">
        <v>265</v>
      </c>
      <c r="B342" s="8"/>
      <c r="C342" s="8"/>
    </row>
    <row r="343" spans="1:3" ht="27.75" customHeight="1" x14ac:dyDescent="0.2">
      <c r="A343" s="17" t="s">
        <v>266</v>
      </c>
      <c r="B343" s="8"/>
      <c r="C343" s="8"/>
    </row>
    <row r="344" spans="1:3" ht="15.75" customHeight="1" x14ac:dyDescent="0.2">
      <c r="A344" s="17" t="s">
        <v>267</v>
      </c>
      <c r="B344" s="8"/>
      <c r="C344" s="8"/>
    </row>
    <row r="345" spans="1:3" ht="15.75" customHeight="1" x14ac:dyDescent="0.2">
      <c r="A345" s="17" t="s">
        <v>268</v>
      </c>
      <c r="B345" s="8"/>
      <c r="C345" s="8"/>
    </row>
    <row r="346" spans="1:3" ht="15.75" customHeight="1" x14ac:dyDescent="0.2">
      <c r="A346" s="17" t="s">
        <v>269</v>
      </c>
      <c r="B346" s="8"/>
      <c r="C346" s="8"/>
    </row>
    <row r="347" spans="1:3" ht="15.75" customHeight="1" x14ac:dyDescent="0.2">
      <c r="A347" s="17" t="s">
        <v>349</v>
      </c>
      <c r="B347" s="8"/>
      <c r="C347" s="8"/>
    </row>
    <row r="348" spans="1:3" ht="42" customHeight="1" x14ac:dyDescent="0.2">
      <c r="A348" s="19" t="s">
        <v>350</v>
      </c>
      <c r="B348" s="6">
        <f>1*B338+1*B339+1*B340+1*B341+1*B342+1*B343+1*B344+1*B345+1*B346+1*B347</f>
        <v>0</v>
      </c>
      <c r="C348" s="6">
        <f>1*C338+1*C339+1*C340+1*C341+1*C342+1*C343+1*C344+1*C345+1*C346+1*C347</f>
        <v>0</v>
      </c>
    </row>
    <row r="349" spans="1:3" ht="55.5" customHeight="1" x14ac:dyDescent="0.2">
      <c r="A349" s="16" t="s">
        <v>351</v>
      </c>
      <c r="B349" s="1"/>
      <c r="C349" s="1"/>
    </row>
    <row r="350" spans="1:3" ht="15.75" customHeight="1" x14ac:dyDescent="0.2">
      <c r="A350" s="17" t="s">
        <v>352</v>
      </c>
      <c r="B350" s="8"/>
      <c r="C350" s="8"/>
    </row>
    <row r="351" spans="1:3" ht="15.75" customHeight="1" x14ac:dyDescent="0.2">
      <c r="A351" s="17" t="s">
        <v>264</v>
      </c>
      <c r="B351" s="8"/>
      <c r="C351" s="8"/>
    </row>
    <row r="352" spans="1:3" ht="27.75" customHeight="1" x14ac:dyDescent="0.2">
      <c r="A352" s="17" t="s">
        <v>353</v>
      </c>
      <c r="B352" s="8"/>
      <c r="C352" s="8"/>
    </row>
    <row r="353" spans="1:3" ht="15.75" customHeight="1" x14ac:dyDescent="0.2">
      <c r="A353" s="17" t="s">
        <v>265</v>
      </c>
      <c r="B353" s="8"/>
      <c r="C353" s="8"/>
    </row>
    <row r="354" spans="1:3" ht="27.75" customHeight="1" x14ac:dyDescent="0.2">
      <c r="A354" s="17" t="s">
        <v>266</v>
      </c>
      <c r="B354" s="8"/>
      <c r="C354" s="8"/>
    </row>
    <row r="355" spans="1:3" ht="15.75" customHeight="1" x14ac:dyDescent="0.2">
      <c r="A355" s="17" t="s">
        <v>267</v>
      </c>
      <c r="B355" s="8"/>
      <c r="C355" s="8"/>
    </row>
    <row r="356" spans="1:3" ht="15.75" customHeight="1" x14ac:dyDescent="0.2">
      <c r="A356" s="17" t="s">
        <v>268</v>
      </c>
      <c r="B356" s="8"/>
      <c r="C356" s="8"/>
    </row>
    <row r="357" spans="1:3" ht="15.75" customHeight="1" x14ac:dyDescent="0.2">
      <c r="A357" s="17" t="s">
        <v>269</v>
      </c>
      <c r="B357" s="8"/>
      <c r="C357" s="8"/>
    </row>
    <row r="358" spans="1:3" ht="15.75" customHeight="1" x14ac:dyDescent="0.2">
      <c r="A358" s="17" t="s">
        <v>274</v>
      </c>
      <c r="B358" s="8"/>
      <c r="C358" s="8"/>
    </row>
    <row r="359" spans="1:3" ht="55.5" customHeight="1" x14ac:dyDescent="0.2">
      <c r="A359" s="19" t="s">
        <v>354</v>
      </c>
      <c r="B359" s="6">
        <f>1*B350+1*B351+1*B352+1*B353+1*B354+1*B355+1*B356+1*B357+1*B358</f>
        <v>0</v>
      </c>
      <c r="C359" s="6">
        <f>1*C350+1*C351+1*C352+1*C353+1*C354+1*C355+1*C356+1*C357+1*C358</f>
        <v>0</v>
      </c>
    </row>
    <row r="360" spans="1:3" ht="27.75" customHeight="1" x14ac:dyDescent="0.2">
      <c r="A360" s="16" t="s">
        <v>355</v>
      </c>
      <c r="B360" s="1"/>
      <c r="C360" s="1"/>
    </row>
    <row r="361" spans="1:3" ht="15.75" customHeight="1" x14ac:dyDescent="0.2">
      <c r="A361" s="17" t="s">
        <v>277</v>
      </c>
      <c r="B361" s="8"/>
      <c r="C361" s="8"/>
    </row>
    <row r="362" spans="1:3" ht="15.75" customHeight="1" x14ac:dyDescent="0.2">
      <c r="A362" s="17" t="s">
        <v>268</v>
      </c>
      <c r="B362" s="8"/>
      <c r="C362" s="8"/>
    </row>
    <row r="363" spans="1:3" ht="15.75" customHeight="1" x14ac:dyDescent="0.2">
      <c r="A363" s="17" t="s">
        <v>278</v>
      </c>
      <c r="B363" s="8"/>
      <c r="C363" s="8"/>
    </row>
    <row r="364" spans="1:3" ht="15.75" customHeight="1" x14ac:dyDescent="0.2">
      <c r="A364" s="17" t="s">
        <v>279</v>
      </c>
      <c r="B364" s="8"/>
      <c r="C364" s="8"/>
    </row>
    <row r="365" spans="1:3" ht="15.75" customHeight="1" x14ac:dyDescent="0.2">
      <c r="A365" s="17" t="s">
        <v>280</v>
      </c>
      <c r="B365" s="8"/>
      <c r="C365" s="8"/>
    </row>
    <row r="366" spans="1:3" ht="27.75" customHeight="1" x14ac:dyDescent="0.2">
      <c r="A366" s="19" t="s">
        <v>356</v>
      </c>
      <c r="B366" s="6">
        <f>1*B361+1*B362+1*B363+1*B364+1*B365</f>
        <v>0</v>
      </c>
      <c r="C366" s="6">
        <f>1*C361+1*C362+1*C363+1*C364+1*C365</f>
        <v>0</v>
      </c>
    </row>
    <row r="367" spans="1:3" ht="27.75" customHeight="1" x14ac:dyDescent="0.2">
      <c r="A367" s="16" t="s">
        <v>357</v>
      </c>
      <c r="B367" s="1"/>
      <c r="C367" s="1"/>
    </row>
    <row r="368" spans="1:3" ht="15.75" customHeight="1" x14ac:dyDescent="0.2">
      <c r="A368" s="17" t="s">
        <v>277</v>
      </c>
      <c r="B368" s="8"/>
      <c r="C368" s="8"/>
    </row>
    <row r="369" spans="1:3" ht="15.75" customHeight="1" x14ac:dyDescent="0.2">
      <c r="A369" s="17" t="s">
        <v>268</v>
      </c>
      <c r="B369" s="8"/>
      <c r="C369" s="8"/>
    </row>
    <row r="370" spans="1:3" ht="15.75" customHeight="1" x14ac:dyDescent="0.2">
      <c r="A370" s="17" t="s">
        <v>278</v>
      </c>
      <c r="B370" s="8"/>
      <c r="C370" s="8"/>
    </row>
    <row r="371" spans="1:3" ht="15.75" customHeight="1" x14ac:dyDescent="0.2">
      <c r="A371" s="17" t="s">
        <v>279</v>
      </c>
      <c r="B371" s="8"/>
      <c r="C371" s="8"/>
    </row>
    <row r="372" spans="1:3" ht="15.75" customHeight="1" x14ac:dyDescent="0.2">
      <c r="A372" s="17" t="s">
        <v>280</v>
      </c>
      <c r="B372" s="8"/>
      <c r="C372" s="8"/>
    </row>
    <row r="373" spans="1:3" ht="27.75" customHeight="1" x14ac:dyDescent="0.2">
      <c r="A373" s="19" t="s">
        <v>358</v>
      </c>
      <c r="B373" s="6">
        <f>1*B368+1*B369+1*B370+1*B371+1*B372</f>
        <v>0</v>
      </c>
      <c r="C373" s="6">
        <f>1*C368+1*C369+1*C370+1*C371+1*C372</f>
        <v>0</v>
      </c>
    </row>
    <row r="374" spans="1:3" ht="15.75" customHeight="1" x14ac:dyDescent="0.2">
      <c r="A374" s="16" t="s">
        <v>359</v>
      </c>
      <c r="B374" s="1"/>
      <c r="C374" s="1"/>
    </row>
    <row r="375" spans="1:3" ht="15.75" customHeight="1" x14ac:dyDescent="0.2">
      <c r="A375" s="17" t="s">
        <v>360</v>
      </c>
      <c r="B375" s="8"/>
      <c r="C375" s="8"/>
    </row>
    <row r="376" spans="1:3" ht="15.75" customHeight="1" x14ac:dyDescent="0.2">
      <c r="A376" s="17" t="s">
        <v>285</v>
      </c>
      <c r="B376" s="8"/>
      <c r="C376" s="8"/>
    </row>
    <row r="377" spans="1:3" ht="15.75" customHeight="1" x14ac:dyDescent="0.2">
      <c r="A377" s="17" t="s">
        <v>286</v>
      </c>
      <c r="B377" s="8"/>
      <c r="C377" s="8"/>
    </row>
    <row r="378" spans="1:3" ht="15.75" customHeight="1" x14ac:dyDescent="0.2">
      <c r="A378" s="17" t="s">
        <v>287</v>
      </c>
      <c r="B378" s="8"/>
      <c r="C378" s="8"/>
    </row>
    <row r="379" spans="1:3" ht="15.75" customHeight="1" x14ac:dyDescent="0.2">
      <c r="A379" s="17" t="s">
        <v>288</v>
      </c>
      <c r="B379" s="8"/>
      <c r="C379" s="8"/>
    </row>
    <row r="380" spans="1:3" ht="15.75" customHeight="1" x14ac:dyDescent="0.2">
      <c r="A380" s="17" t="s">
        <v>359</v>
      </c>
      <c r="B380" s="8"/>
      <c r="C380" s="8"/>
    </row>
    <row r="381" spans="1:3" ht="15.75" customHeight="1" x14ac:dyDescent="0.2">
      <c r="A381" s="19" t="s">
        <v>361</v>
      </c>
      <c r="B381" s="6">
        <f>1*B375+1*B376+1*B377+1*B378+1*B379+1*B380</f>
        <v>0</v>
      </c>
      <c r="C381" s="6">
        <f>1*C375+1*C376+1*C377+1*C378+1*C379+1*C380</f>
        <v>0</v>
      </c>
    </row>
    <row r="382" spans="1:3" ht="16.5" customHeight="1" x14ac:dyDescent="0.2">
      <c r="A382" s="12" t="s">
        <v>362</v>
      </c>
      <c r="B382" s="10">
        <f>1*B348+1*B359+1*B366+1*B373+1*B381</f>
        <v>0</v>
      </c>
      <c r="C382" s="10">
        <f>1*C348+1*C359+1*C366+1*C373+1*C381</f>
        <v>0</v>
      </c>
    </row>
    <row r="383" spans="1:3" ht="16.5" customHeight="1" x14ac:dyDescent="0.2">
      <c r="A383" s="4" t="s">
        <v>363</v>
      </c>
      <c r="B383" s="11"/>
      <c r="C383" s="11"/>
    </row>
    <row r="384" spans="1:3" ht="15.75" customHeight="1" x14ac:dyDescent="0.2">
      <c r="A384" s="7" t="s">
        <v>292</v>
      </c>
      <c r="B384" s="8"/>
      <c r="C384" s="8"/>
    </row>
    <row r="385" spans="1:3" ht="15.75" customHeight="1" x14ac:dyDescent="0.2">
      <c r="A385" s="7" t="s">
        <v>293</v>
      </c>
      <c r="B385" s="8"/>
      <c r="C385" s="8"/>
    </row>
    <row r="386" spans="1:3" ht="15.75" customHeight="1" x14ac:dyDescent="0.2">
      <c r="A386" s="7" t="s">
        <v>294</v>
      </c>
      <c r="B386" s="8"/>
      <c r="C386" s="8"/>
    </row>
    <row r="387" spans="1:3" ht="15.75" customHeight="1" x14ac:dyDescent="0.2">
      <c r="A387" s="7" t="s">
        <v>295</v>
      </c>
      <c r="B387" s="8"/>
      <c r="C387" s="8"/>
    </row>
    <row r="388" spans="1:3" ht="15.75" customHeight="1" x14ac:dyDescent="0.2">
      <c r="A388" s="7" t="s">
        <v>296</v>
      </c>
      <c r="B388" s="8"/>
      <c r="C388" s="8"/>
    </row>
    <row r="389" spans="1:3" ht="15.75" customHeight="1" x14ac:dyDescent="0.2">
      <c r="A389" s="7" t="s">
        <v>297</v>
      </c>
      <c r="B389" s="8"/>
      <c r="C389" s="8"/>
    </row>
    <row r="390" spans="1:3" ht="15.75" customHeight="1" x14ac:dyDescent="0.2">
      <c r="A390" s="7" t="s">
        <v>364</v>
      </c>
      <c r="B390" s="8"/>
      <c r="C390" s="8"/>
    </row>
    <row r="391" spans="1:3" ht="28.5" customHeight="1" x14ac:dyDescent="0.2">
      <c r="A391" s="9" t="s">
        <v>365</v>
      </c>
      <c r="B391" s="10">
        <f>1*B384+1*B385+1*B386+1*B387+1*B388+1*B389+1*B390</f>
        <v>0</v>
      </c>
      <c r="C391" s="10">
        <f>1*C384+1*C385+1*C386+1*C387+1*C388+1*C389+1*C390</f>
        <v>0</v>
      </c>
    </row>
    <row r="392" spans="1:3" ht="16.5" customHeight="1" x14ac:dyDescent="0.2">
      <c r="A392" s="4" t="s">
        <v>366</v>
      </c>
      <c r="B392" s="11"/>
      <c r="C392" s="11"/>
    </row>
    <row r="393" spans="1:3" ht="15.75" customHeight="1" x14ac:dyDescent="0.2">
      <c r="A393" s="7" t="s">
        <v>301</v>
      </c>
      <c r="B393" s="8"/>
      <c r="C393" s="8"/>
    </row>
    <row r="394" spans="1:3" ht="15.75" customHeight="1" x14ac:dyDescent="0.2">
      <c r="A394" s="7" t="s">
        <v>302</v>
      </c>
      <c r="B394" s="8"/>
      <c r="C394" s="8"/>
    </row>
    <row r="395" spans="1:3" ht="15.75" customHeight="1" x14ac:dyDescent="0.2">
      <c r="A395" s="7" t="s">
        <v>303</v>
      </c>
      <c r="B395" s="8"/>
      <c r="C395" s="8"/>
    </row>
    <row r="396" spans="1:3" ht="15.75" customHeight="1" x14ac:dyDescent="0.2">
      <c r="A396" s="7" t="s">
        <v>367</v>
      </c>
      <c r="B396" s="8"/>
      <c r="C396" s="8"/>
    </row>
    <row r="397" spans="1:3" ht="15.75" customHeight="1" x14ac:dyDescent="0.2">
      <c r="A397" s="7" t="s">
        <v>305</v>
      </c>
      <c r="B397" s="8"/>
      <c r="C397" s="8"/>
    </row>
    <row r="398" spans="1:3" ht="27.75" customHeight="1" x14ac:dyDescent="0.2">
      <c r="A398" s="7" t="s">
        <v>306</v>
      </c>
      <c r="B398" s="8"/>
      <c r="C398" s="8"/>
    </row>
    <row r="399" spans="1:3" ht="15.75" customHeight="1" x14ac:dyDescent="0.2">
      <c r="A399" s="7" t="s">
        <v>368</v>
      </c>
      <c r="B399" s="8"/>
      <c r="C399" s="8"/>
    </row>
    <row r="400" spans="1:3" ht="16.5" customHeight="1" x14ac:dyDescent="0.2">
      <c r="A400" s="9" t="s">
        <v>369</v>
      </c>
      <c r="B400" s="10">
        <f>1*B393+1*B394+1*B395+1*B396+1*B397+1*B398+1*B399</f>
        <v>0</v>
      </c>
      <c r="C400" s="10">
        <f>1*C393+1*C394+1*C395+1*C396+1*C397+1*C398+1*C399</f>
        <v>0</v>
      </c>
    </row>
    <row r="401" spans="1:3" ht="16.5" customHeight="1" x14ac:dyDescent="0.2">
      <c r="A401" s="4" t="s">
        <v>370</v>
      </c>
      <c r="B401" s="11"/>
      <c r="C401" s="11"/>
    </row>
    <row r="402" spans="1:3" ht="15.75" customHeight="1" x14ac:dyDescent="0.2">
      <c r="A402" s="16" t="s">
        <v>371</v>
      </c>
      <c r="B402" s="1"/>
      <c r="C402" s="1"/>
    </row>
    <row r="403" spans="1:3" ht="15.75" customHeight="1" x14ac:dyDescent="0.2">
      <c r="A403" s="17" t="s">
        <v>311</v>
      </c>
      <c r="B403" s="8"/>
      <c r="C403" s="8"/>
    </row>
    <row r="404" spans="1:3" ht="15.75" customHeight="1" x14ac:dyDescent="0.2">
      <c r="A404" s="17" t="s">
        <v>372</v>
      </c>
      <c r="B404" s="8"/>
      <c r="C404" s="8"/>
    </row>
    <row r="405" spans="1:3" ht="15.75" customHeight="1" x14ac:dyDescent="0.2">
      <c r="A405" s="17" t="s">
        <v>312</v>
      </c>
      <c r="B405" s="8"/>
      <c r="C405" s="8"/>
    </row>
    <row r="406" spans="1:3" ht="15.75" customHeight="1" x14ac:dyDescent="0.2">
      <c r="A406" s="17" t="s">
        <v>313</v>
      </c>
      <c r="B406" s="8"/>
      <c r="C406" s="8"/>
    </row>
    <row r="407" spans="1:3" ht="15.75" customHeight="1" x14ac:dyDescent="0.2">
      <c r="A407" s="17" t="s">
        <v>314</v>
      </c>
      <c r="B407" s="8"/>
      <c r="C407" s="8"/>
    </row>
    <row r="408" spans="1:3" ht="15.75" customHeight="1" x14ac:dyDescent="0.2">
      <c r="A408" s="17" t="s">
        <v>315</v>
      </c>
      <c r="B408" s="8"/>
      <c r="C408" s="8"/>
    </row>
    <row r="409" spans="1:3" ht="27.75" customHeight="1" x14ac:dyDescent="0.2">
      <c r="A409" s="17" t="s">
        <v>316</v>
      </c>
      <c r="B409" s="8"/>
      <c r="C409" s="8"/>
    </row>
    <row r="410" spans="1:3" ht="15.75" customHeight="1" x14ac:dyDescent="0.2">
      <c r="A410" s="17" t="s">
        <v>373</v>
      </c>
      <c r="B410" s="8"/>
      <c r="C410" s="8"/>
    </row>
    <row r="411" spans="1:3" ht="15.75" customHeight="1" x14ac:dyDescent="0.2">
      <c r="A411" s="19" t="s">
        <v>374</v>
      </c>
      <c r="B411" s="6">
        <f>1*B403+1*B404+1*B405+1*B406+1*B407+1*B408+1*B409+1*B410</f>
        <v>0</v>
      </c>
      <c r="C411" s="6">
        <f>1*C403+1*C404+1*C405+1*C406+1*C407+1*C408+1*C409+1*C410</f>
        <v>0</v>
      </c>
    </row>
    <row r="412" spans="1:3" ht="15.75" customHeight="1" x14ac:dyDescent="0.2">
      <c r="A412" s="16" t="s">
        <v>375</v>
      </c>
      <c r="B412" s="1"/>
      <c r="C412" s="1"/>
    </row>
    <row r="413" spans="1:3" ht="27.75" customHeight="1" x14ac:dyDescent="0.2">
      <c r="A413" s="25" t="s">
        <v>376</v>
      </c>
      <c r="B413" s="1"/>
      <c r="C413" s="1"/>
    </row>
    <row r="414" spans="1:3" ht="27.75" customHeight="1" x14ac:dyDescent="0.2">
      <c r="A414" s="26" t="s">
        <v>321</v>
      </c>
      <c r="B414" s="8"/>
      <c r="C414" s="8"/>
    </row>
    <row r="415" spans="1:3" ht="15.75" customHeight="1" x14ac:dyDescent="0.2">
      <c r="A415" s="26" t="s">
        <v>322</v>
      </c>
      <c r="B415" s="8"/>
      <c r="C415" s="8"/>
    </row>
    <row r="416" spans="1:3" ht="15.75" customHeight="1" x14ac:dyDescent="0.2">
      <c r="A416" s="26" t="s">
        <v>323</v>
      </c>
      <c r="B416" s="8"/>
      <c r="C416" s="8"/>
    </row>
    <row r="417" spans="1:3" ht="15.75" customHeight="1" x14ac:dyDescent="0.2">
      <c r="A417" s="26" t="s">
        <v>324</v>
      </c>
      <c r="B417" s="8"/>
      <c r="C417" s="8"/>
    </row>
    <row r="418" spans="1:3" ht="27.75" customHeight="1" x14ac:dyDescent="0.2">
      <c r="A418" s="26" t="s">
        <v>325</v>
      </c>
      <c r="B418" s="8"/>
      <c r="C418" s="8"/>
    </row>
    <row r="419" spans="1:3" ht="27.75" customHeight="1" x14ac:dyDescent="0.2">
      <c r="A419" s="27" t="s">
        <v>377</v>
      </c>
      <c r="B419" s="6">
        <f>1*B414+1*B415+1*B416+1*B417+1*B418</f>
        <v>0</v>
      </c>
      <c r="C419" s="6">
        <f>1*C414+1*C415+1*C416+1*C417+1*C418</f>
        <v>0</v>
      </c>
    </row>
    <row r="420" spans="1:3" ht="27.75" customHeight="1" x14ac:dyDescent="0.2">
      <c r="A420" s="25" t="s">
        <v>327</v>
      </c>
      <c r="B420" s="1"/>
      <c r="C420" s="1"/>
    </row>
    <row r="421" spans="1:3" ht="27.75" customHeight="1" x14ac:dyDescent="0.2">
      <c r="A421" s="26" t="s">
        <v>328</v>
      </c>
      <c r="B421" s="8"/>
      <c r="C421" s="8"/>
    </row>
    <row r="422" spans="1:3" ht="15.75" customHeight="1" x14ac:dyDescent="0.2">
      <c r="A422" s="26" t="s">
        <v>329</v>
      </c>
      <c r="B422" s="8"/>
      <c r="C422" s="8"/>
    </row>
    <row r="423" spans="1:3" ht="27.75" customHeight="1" x14ac:dyDescent="0.2">
      <c r="A423" s="26" t="s">
        <v>378</v>
      </c>
      <c r="B423" s="8"/>
      <c r="C423" s="8"/>
    </row>
    <row r="424" spans="1:3" ht="27.75" customHeight="1" x14ac:dyDescent="0.2">
      <c r="A424" s="27" t="s">
        <v>331</v>
      </c>
      <c r="B424" s="6">
        <f>1*B421+1*B422+1*B423</f>
        <v>0</v>
      </c>
      <c r="C424" s="6">
        <f>1*C421+1*C422+1*C423</f>
        <v>0</v>
      </c>
    </row>
    <row r="425" spans="1:3" ht="15.75" customHeight="1" x14ac:dyDescent="0.2">
      <c r="A425" s="25" t="s">
        <v>379</v>
      </c>
      <c r="B425" s="1"/>
      <c r="C425" s="1"/>
    </row>
    <row r="426" spans="1:3" ht="15.75" customHeight="1" x14ac:dyDescent="0.2">
      <c r="A426" s="26" t="s">
        <v>334</v>
      </c>
      <c r="B426" s="8"/>
      <c r="C426" s="8"/>
    </row>
    <row r="427" spans="1:3" ht="15.75" customHeight="1" x14ac:dyDescent="0.2">
      <c r="A427" s="26" t="s">
        <v>335</v>
      </c>
      <c r="B427" s="8"/>
      <c r="C427" s="8"/>
    </row>
    <row r="428" spans="1:3" ht="15.75" customHeight="1" x14ac:dyDescent="0.2">
      <c r="A428" s="26" t="s">
        <v>333</v>
      </c>
      <c r="B428" s="8"/>
      <c r="C428" s="8"/>
    </row>
    <row r="429" spans="1:3" ht="15.75" customHeight="1" x14ac:dyDescent="0.2">
      <c r="A429" s="26" t="s">
        <v>380</v>
      </c>
      <c r="B429" s="8"/>
      <c r="C429" s="8"/>
    </row>
    <row r="430" spans="1:3" ht="15.75" customHeight="1" x14ac:dyDescent="0.2">
      <c r="A430" s="26" t="s">
        <v>381</v>
      </c>
      <c r="B430" s="8"/>
      <c r="C430" s="8"/>
    </row>
    <row r="431" spans="1:3" ht="15.75" customHeight="1" x14ac:dyDescent="0.2">
      <c r="A431" s="26" t="s">
        <v>382</v>
      </c>
      <c r="B431" s="8"/>
      <c r="C431" s="8"/>
    </row>
    <row r="432" spans="1:3" ht="15.75" customHeight="1" x14ac:dyDescent="0.2">
      <c r="A432" s="26" t="s">
        <v>383</v>
      </c>
      <c r="B432" s="8"/>
      <c r="C432" s="8"/>
    </row>
    <row r="433" spans="1:3" ht="15.75" customHeight="1" x14ac:dyDescent="0.2">
      <c r="A433" s="26" t="s">
        <v>384</v>
      </c>
      <c r="B433" s="8"/>
      <c r="C433" s="8"/>
    </row>
    <row r="434" spans="1:3" ht="15.75" customHeight="1" x14ac:dyDescent="0.2">
      <c r="A434" s="27" t="s">
        <v>385</v>
      </c>
      <c r="B434" s="6">
        <f>1*B426+1*B427+1*B428+1*B429+1*B430+1*B431+1*B432+1*B433</f>
        <v>0</v>
      </c>
      <c r="C434" s="6">
        <f>1*C426+1*C427+1*C428+1*C429+1*C430+1*C431+1*C432+1*C433</f>
        <v>0</v>
      </c>
    </row>
    <row r="435" spans="1:3" ht="15.75" customHeight="1" x14ac:dyDescent="0.2">
      <c r="A435" s="19" t="s">
        <v>386</v>
      </c>
      <c r="B435" s="6">
        <f>1*B419+1*B424+1*B434</f>
        <v>0</v>
      </c>
      <c r="C435" s="6">
        <f>1*C419+1*C424+1*C434</f>
        <v>0</v>
      </c>
    </row>
    <row r="436" spans="1:3" ht="28.5" customHeight="1" x14ac:dyDescent="0.2">
      <c r="A436" s="9" t="s">
        <v>387</v>
      </c>
      <c r="B436" s="10">
        <f>1*B411+1*B435</f>
        <v>0</v>
      </c>
      <c r="C436" s="10">
        <f>1*C411+1*C435</f>
        <v>0</v>
      </c>
    </row>
    <row r="437" spans="1:3" ht="16.5" customHeight="1" x14ac:dyDescent="0.2">
      <c r="A437" s="4" t="s">
        <v>388</v>
      </c>
      <c r="B437" s="11"/>
      <c r="C437" s="11"/>
    </row>
    <row r="438" spans="1:3" ht="27.75" customHeight="1" x14ac:dyDescent="0.2">
      <c r="A438" s="16" t="s">
        <v>208</v>
      </c>
      <c r="B438" s="1"/>
      <c r="C438" s="1"/>
    </row>
    <row r="439" spans="1:3" ht="15.75" customHeight="1" x14ac:dyDescent="0.2">
      <c r="A439" s="17" t="s">
        <v>171</v>
      </c>
      <c r="B439" s="8"/>
      <c r="C439" s="8"/>
    </row>
    <row r="440" spans="1:3" ht="15.75" customHeight="1" x14ac:dyDescent="0.2">
      <c r="A440" s="17" t="s">
        <v>172</v>
      </c>
      <c r="B440" s="8"/>
      <c r="C440" s="8"/>
    </row>
    <row r="441" spans="1:3" ht="15.75" customHeight="1" x14ac:dyDescent="0.2">
      <c r="A441" s="17" t="s">
        <v>173</v>
      </c>
      <c r="B441" s="8"/>
      <c r="C441" s="8"/>
    </row>
    <row r="442" spans="1:3" ht="15.75" customHeight="1" x14ac:dyDescent="0.2">
      <c r="A442" s="17" t="s">
        <v>174</v>
      </c>
      <c r="B442" s="8"/>
      <c r="C442" s="8"/>
    </row>
    <row r="443" spans="1:3" ht="27.75" customHeight="1" x14ac:dyDescent="0.2">
      <c r="A443" s="19" t="s">
        <v>209</v>
      </c>
      <c r="B443" s="6">
        <f>1*B439+1*B440+1*B441+1*B442</f>
        <v>0</v>
      </c>
      <c r="C443" s="6">
        <f>1*C439+1*C440+1*C441+1*C442</f>
        <v>0</v>
      </c>
    </row>
    <row r="444" spans="1:3" ht="15.75" customHeight="1" x14ac:dyDescent="0.2">
      <c r="A444" s="16" t="s">
        <v>389</v>
      </c>
      <c r="B444" s="1"/>
      <c r="C444" s="1"/>
    </row>
    <row r="445" spans="1:3" ht="15.75" customHeight="1" x14ac:dyDescent="0.2">
      <c r="A445" s="17" t="s">
        <v>171</v>
      </c>
      <c r="B445" s="8"/>
      <c r="C445" s="8"/>
    </row>
    <row r="446" spans="1:3" ht="15.75" customHeight="1" x14ac:dyDescent="0.2">
      <c r="A446" s="17" t="s">
        <v>172</v>
      </c>
      <c r="B446" s="8"/>
      <c r="C446" s="8"/>
    </row>
    <row r="447" spans="1:3" ht="15.75" customHeight="1" x14ac:dyDescent="0.2">
      <c r="A447" s="17" t="s">
        <v>173</v>
      </c>
      <c r="B447" s="8"/>
      <c r="C447" s="8"/>
    </row>
    <row r="448" spans="1:3" ht="15.75" customHeight="1" x14ac:dyDescent="0.2">
      <c r="A448" s="17" t="s">
        <v>174</v>
      </c>
      <c r="B448" s="8"/>
      <c r="C448" s="8"/>
    </row>
    <row r="449" spans="1:3" ht="27.75" customHeight="1" x14ac:dyDescent="0.2">
      <c r="A449" s="19" t="s">
        <v>390</v>
      </c>
      <c r="B449" s="6">
        <f>1*B445+1*B446+1*B447+1*B448</f>
        <v>0</v>
      </c>
      <c r="C449" s="6">
        <f>1*C445+1*C446+1*C447+1*C448</f>
        <v>0</v>
      </c>
    </row>
    <row r="450" spans="1:3" ht="15.75" customHeight="1" x14ac:dyDescent="0.2">
      <c r="A450" s="7" t="s">
        <v>391</v>
      </c>
      <c r="B450" s="8"/>
      <c r="C450" s="8"/>
    </row>
    <row r="451" spans="1:3" ht="28.5" customHeight="1" x14ac:dyDescent="0.2">
      <c r="A451" s="9" t="s">
        <v>392</v>
      </c>
      <c r="B451" s="10">
        <f>1*B443+1*B449+1*B450</f>
        <v>0</v>
      </c>
      <c r="C451" s="10">
        <f>1*C443+1*C449+1*C450</f>
        <v>0</v>
      </c>
    </row>
    <row r="452" spans="1:3" ht="16.5" customHeight="1" x14ac:dyDescent="0.2"/>
  </sheetData>
  <dataValidations count="1">
    <dataValidation type="decimal" allowBlank="1" showInputMessage="1" showErrorMessage="1" error="Please enter a numeric value upto 2 decimal places only" sqref="B9:C11 B14:C17 B21:C24 B26:C37 B41:C42 B45:C45 B47:C47 B50:C51 B55:C65 B67:C67 B70:C75 B78:C84 B87:C93 B97:C103 B107:C111 B114:C116 B122:C125 B127:C127 B130:C134 B138:C146 B150:C154 B157:C158 B161:C165 B171:C174 B176:C176 B180:C181 B184:C189 B191:C191 B194:C196 B199:C201 B205:C212 B215:C219 B223:C227 B231:C237 B240:C247 B250:C254 B257:C261 B264:C268 B272:C278 B281:C287 B291:C297 B301:C305 B308:C310 B313:C317 B323:C326 B329:C332 B334:C334 B338:C347 B350:C358 B361:C365 B368:C372 B375:C380 B384:C390 B393:C399 B403:C410 B414:C418 B421:C423 B426:C433 B439:C442 B445:C448 B450:C450" xr:uid="{00000000-0002-0000-0100-000000000000}">
      <formula1>-999999999999999</formula1>
      <formula2>999999999999999</formula2>
    </dataValidation>
  </dataValidations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SOFP-CuNonCu</vt:lpstr>
      <vt:lpstr>SOFP-Sub-CuNonCu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yeeliang.94@gmail.com</dc:creator>
  <dc:description/>
  <cp:lastModifiedBy>yeeliang.94@gmail.com</cp:lastModifiedBy>
  <cp:revision>0</cp:revision>
  <dcterms:created xsi:type="dcterms:W3CDTF">2026-04-03T05:07:37Z</dcterms:created>
  <dcterms:modified xsi:type="dcterms:W3CDTF">2026-04-03T13:46:53Z</dcterms:modified>
  <dc:language>en-US</dc:language>
</cp:coreProperties>
</file>