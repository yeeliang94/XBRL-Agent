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OFP-CuNonCu" sheetId="1" state="visible" r:id="rId3"/>
    <sheet name="SOFP-Sub-CuNonCu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Madieha Mazlan</author>
  </authors>
  <commentList>
    <comment ref="A43" authorId="0">
      <text>
        <r>
          <rPr>
            <sz val="10"/>
            <rFont val="Arial"/>
            <family val="2"/>
          </rPr>
          <t xml:space="preserve">This value is subtracted from Total
</t>
        </r>
      </text>
    </comment>
  </commentList>
</comments>
</file>

<file path=xl/sharedStrings.xml><?xml version="1.0" encoding="utf-8"?>
<sst xmlns="http://schemas.openxmlformats.org/spreadsheetml/2006/main" count="529" uniqueCount="395">
  <si>
    <t xml:space="preserve">01/01/2021 - 31/12/2021</t>
  </si>
  <si>
    <t xml:space="preserve">01/01/2020 - 31/12/2020</t>
  </si>
  <si>
    <t xml:space="preserve">RM</t>
  </si>
  <si>
    <t xml:space="preserve">Statement of financial position</t>
  </si>
  <si>
    <t xml:space="preserve">Assets</t>
  </si>
  <si>
    <t xml:space="preserve">Non-current assets</t>
  </si>
  <si>
    <t xml:space="preserve">*Property, plant and equipment</t>
  </si>
  <si>
    <t xml:space="preserve">*Investment property</t>
  </si>
  <si>
    <t xml:space="preserve">Biological assets</t>
  </si>
  <si>
    <t xml:space="preserve">Right-of-use assets</t>
  </si>
  <si>
    <t xml:space="preserve">Service concession assets</t>
  </si>
  <si>
    <t xml:space="preserve">*Intangible assets</t>
  </si>
  <si>
    <t xml:space="preserve">*Investments in subsidiaries</t>
  </si>
  <si>
    <t xml:space="preserve">*Investments in associates</t>
  </si>
  <si>
    <t xml:space="preserve">*Investments in joint ventures</t>
  </si>
  <si>
    <t xml:space="preserve">*Other investments</t>
  </si>
  <si>
    <t xml:space="preserve">*Trade and other non-current receivables</t>
  </si>
  <si>
    <t xml:space="preserve">Contract assets</t>
  </si>
  <si>
    <t xml:space="preserve">Deferred tax assets</t>
  </si>
  <si>
    <t xml:space="preserve">*Derivative financial assets</t>
  </si>
  <si>
    <t xml:space="preserve">*Other non-current assets</t>
  </si>
  <si>
    <t xml:space="preserve">*Total non-current assets</t>
  </si>
  <si>
    <t xml:space="preserve">Current assets</t>
  </si>
  <si>
    <t xml:space="preserve">*Inventories</t>
  </si>
  <si>
    <t xml:space="preserve">Other investments</t>
  </si>
  <si>
    <t xml:space="preserve">Current tax assets</t>
  </si>
  <si>
    <t xml:space="preserve">*Trade and other current receivables</t>
  </si>
  <si>
    <t xml:space="preserve">*Cash and cash equivalents</t>
  </si>
  <si>
    <t xml:space="preserve">*Other current assets</t>
  </si>
  <si>
    <t xml:space="preserve">Total current assets other than assets held for sale</t>
  </si>
  <si>
    <t xml:space="preserve">Non-current assets or disposal groups classified as held for sale or as held for distribution to owners</t>
  </si>
  <si>
    <t xml:space="preserve">*Total current assets</t>
  </si>
  <si>
    <t xml:space="preserve">*Total assets</t>
  </si>
  <si>
    <t xml:space="preserve">Equity and liabilities</t>
  </si>
  <si>
    <t xml:space="preserve">Equity</t>
  </si>
  <si>
    <t xml:space="preserve">*Issued capital</t>
  </si>
  <si>
    <t xml:space="preserve">*Retained earnings</t>
  </si>
  <si>
    <t xml:space="preserve">Treasury shares</t>
  </si>
  <si>
    <t xml:space="preserve">*Reserves</t>
  </si>
  <si>
    <t xml:space="preserve">*Total equity attributable to owners</t>
  </si>
  <si>
    <t xml:space="preserve">*Equity - other components</t>
  </si>
  <si>
    <t xml:space="preserve">*Non-controlling interests</t>
  </si>
  <si>
    <t xml:space="preserve">*Total equity</t>
  </si>
  <si>
    <t xml:space="preserve">Liabilities</t>
  </si>
  <si>
    <t xml:space="preserve">Non-current liabilities</t>
  </si>
  <si>
    <t xml:space="preserve">Service concession liabilities</t>
  </si>
  <si>
    <t xml:space="preserve">*Borrowings</t>
  </si>
  <si>
    <t xml:space="preserve">Lease liabilities</t>
  </si>
  <si>
    <t xml:space="preserve">*Employee benefit liabilities</t>
  </si>
  <si>
    <t xml:space="preserve">*Provisions</t>
  </si>
  <si>
    <t xml:space="preserve">*Trade and other non-current payables</t>
  </si>
  <si>
    <t xml:space="preserve">Contract liabilities</t>
  </si>
  <si>
    <t xml:space="preserve">Deferred tax liabilities</t>
  </si>
  <si>
    <t xml:space="preserve">*Derivative financial liabilities</t>
  </si>
  <si>
    <t xml:space="preserve">Other non-current liabilities</t>
  </si>
  <si>
    <t xml:space="preserve">Total non-current liabilities</t>
  </si>
  <si>
    <t xml:space="preserve">Current liabilities</t>
  </si>
  <si>
    <t xml:space="preserve">Current tax liabilities</t>
  </si>
  <si>
    <t xml:space="preserve">*Trade and other current payables</t>
  </si>
  <si>
    <t xml:space="preserve">Other current liabilities</t>
  </si>
  <si>
    <t xml:space="preserve">Total current liabilities other than liabilities held for sale</t>
  </si>
  <si>
    <t xml:space="preserve">*Liabilities included in disposal groups classified as held for sale</t>
  </si>
  <si>
    <t xml:space="preserve">*Total current liabilities</t>
  </si>
  <si>
    <t xml:space="preserve">*Total liabilities</t>
  </si>
  <si>
    <t xml:space="preserve">*Total equity and liabilities</t>
  </si>
  <si>
    <t xml:space="preserve">Statement on sub-classification of assets, liabilities and equity</t>
  </si>
  <si>
    <t xml:space="preserve">Sub-classification of assets, liabilities and equity</t>
  </si>
  <si>
    <t xml:space="preserve">Property, plant and equipment</t>
  </si>
  <si>
    <t xml:space="preserve">Land and buildings</t>
  </si>
  <si>
    <t xml:space="preserve">Land</t>
  </si>
  <si>
    <t xml:space="preserve">Freehold land</t>
  </si>
  <si>
    <t xml:space="preserve">Long term leasehold land</t>
  </si>
  <si>
    <t xml:space="preserve">Short term leasehold land</t>
  </si>
  <si>
    <t xml:space="preserve">Total land</t>
  </si>
  <si>
    <t xml:space="preserve">Buildings</t>
  </si>
  <si>
    <t xml:space="preserve">Building on freehold land</t>
  </si>
  <si>
    <t xml:space="preserve">Building on long term leasehold land</t>
  </si>
  <si>
    <t xml:space="preserve">Building on short term leasehold land</t>
  </si>
  <si>
    <t xml:space="preserve">Leased properties</t>
  </si>
  <si>
    <t xml:space="preserve">Total buildings</t>
  </si>
  <si>
    <t xml:space="preserve">Total land and buildings</t>
  </si>
  <si>
    <t xml:space="preserve">Vehicles</t>
  </si>
  <si>
    <t xml:space="preserve">Vessels</t>
  </si>
  <si>
    <t xml:space="preserve">Aircraft</t>
  </si>
  <si>
    <t xml:space="preserve">Motor vehicles</t>
  </si>
  <si>
    <t xml:space="preserve">Other vehicles</t>
  </si>
  <si>
    <t xml:space="preserve">Total vehicles</t>
  </si>
  <si>
    <t xml:space="preserve">Machinery</t>
  </si>
  <si>
    <t xml:space="preserve">Plant and equipment</t>
  </si>
  <si>
    <t xml:space="preserve">Office equipment, fixture and fittings</t>
  </si>
  <si>
    <t xml:space="preserve">Computer software and hardware</t>
  </si>
  <si>
    <t xml:space="preserve">Bearer plants</t>
  </si>
  <si>
    <t xml:space="preserve">Infrastructure and site facilities</t>
  </si>
  <si>
    <t xml:space="preserve">Mining assets</t>
  </si>
  <si>
    <t xml:space="preserve">Oil and gas assets</t>
  </si>
  <si>
    <t xml:space="preserve">Tangible exploration and evaluation assets</t>
  </si>
  <si>
    <t xml:space="preserve">Telecommunication equipments</t>
  </si>
  <si>
    <t xml:space="preserve">Construction in progress/Asset work-in progress</t>
  </si>
  <si>
    <t xml:space="preserve">Other property, plant and equipment</t>
  </si>
  <si>
    <t xml:space="preserve">*Total property, plant and equipment</t>
  </si>
  <si>
    <t xml:space="preserve">Investment property</t>
  </si>
  <si>
    <t xml:space="preserve">Investment properties completed, at carrying value</t>
  </si>
  <si>
    <t xml:space="preserve">Freehold land and building</t>
  </si>
  <si>
    <t xml:space="preserve">Leasehold land and building</t>
  </si>
  <si>
    <t xml:space="preserve">Total investment properties completed, at carrying value</t>
  </si>
  <si>
    <t xml:space="preserve">Investment properties under construction or development, at cost</t>
  </si>
  <si>
    <t xml:space="preserve">Building under construction</t>
  </si>
  <si>
    <t xml:space="preserve">Total investment properties under construction or development, at cost</t>
  </si>
  <si>
    <t xml:space="preserve">Other investment property</t>
  </si>
  <si>
    <t xml:space="preserve">*Total investment properties</t>
  </si>
  <si>
    <t xml:space="preserve">Consumable biological assets</t>
  </si>
  <si>
    <t xml:space="preserve">Bearer biological assets</t>
  </si>
  <si>
    <t xml:space="preserve">Total biological assets</t>
  </si>
  <si>
    <t xml:space="preserve">Intangible assets and goodwill</t>
  </si>
  <si>
    <t xml:space="preserve">Intangible assets other than goodwill</t>
  </si>
  <si>
    <t xml:space="preserve">Customer acquisition costs</t>
  </si>
  <si>
    <t xml:space="preserve">Brand names</t>
  </si>
  <si>
    <t xml:space="preserve">Customer relationships</t>
  </si>
  <si>
    <t xml:space="preserve">Copyrights, patents and other industrial property rights, service and operating rights</t>
  </si>
  <si>
    <t xml:space="preserve">Intangible assets under development</t>
  </si>
  <si>
    <t xml:space="preserve">Intangible exploration and evaluation assets</t>
  </si>
  <si>
    <t xml:space="preserve">Licences and franchises</t>
  </si>
  <si>
    <t xml:space="preserve">Recipes, formulae, models, designs and prototypes</t>
  </si>
  <si>
    <t xml:space="preserve">Computer software</t>
  </si>
  <si>
    <t xml:space="preserve">Small holder relationship</t>
  </si>
  <si>
    <t xml:space="preserve">Other intangible assets</t>
  </si>
  <si>
    <t xml:space="preserve">Total intangible assets other than goodwill</t>
  </si>
  <si>
    <t xml:space="preserve">Goodwill</t>
  </si>
  <si>
    <t xml:space="preserve">*Total intangible assets and goodwill</t>
  </si>
  <si>
    <t xml:space="preserve">Investments in subsidiaries</t>
  </si>
  <si>
    <t xml:space="preserve">Unquoted shares, net of impairment losses</t>
  </si>
  <si>
    <t xml:space="preserve">Quoted shares in Malaysia</t>
  </si>
  <si>
    <t xml:space="preserve">Quoted shares outside Malaysia</t>
  </si>
  <si>
    <t xml:space="preserve">Fair value adjustments on loans and advances and financial guarantee</t>
  </si>
  <si>
    <t xml:space="preserve">Contributions to subsidiaries, net of impairment losses</t>
  </si>
  <si>
    <t xml:space="preserve">Other investments in subsidiaries</t>
  </si>
  <si>
    <t xml:space="preserve">*Total investments in subsidiaries</t>
  </si>
  <si>
    <t xml:space="preserve">Investments in associates</t>
  </si>
  <si>
    <t xml:space="preserve">Share of post-acquisition profits and reserves</t>
  </si>
  <si>
    <t xml:space="preserve">Unrealised profit on transactions with associates</t>
  </si>
  <si>
    <t xml:space="preserve">Other investments in associates</t>
  </si>
  <si>
    <t xml:space="preserve">*Total investments in associates</t>
  </si>
  <si>
    <t xml:space="preserve">Investments in joint ventures</t>
  </si>
  <si>
    <t xml:space="preserve">Unrealised profit on transactions with joint ventures</t>
  </si>
  <si>
    <t xml:space="preserve">Other investments in joint ventures</t>
  </si>
  <si>
    <t xml:space="preserve">*Total investments in joint ventures</t>
  </si>
  <si>
    <t xml:space="preserve">Trade and other non-current receivables</t>
  </si>
  <si>
    <t xml:space="preserve">Non-current trade receivables</t>
  </si>
  <si>
    <t xml:space="preserve">Trade receivables</t>
  </si>
  <si>
    <t xml:space="preserve">Trade receivables due from holding company</t>
  </si>
  <si>
    <t xml:space="preserve">Trade receivables due from subsidiaries</t>
  </si>
  <si>
    <t xml:space="preserve">Trade receivables from associates</t>
  </si>
  <si>
    <t xml:space="preserve">Trade receivables due from joint ventures</t>
  </si>
  <si>
    <t xml:space="preserve">Trade receivables due from other related parties</t>
  </si>
  <si>
    <t xml:space="preserve">Other non-current trade receivables</t>
  </si>
  <si>
    <t xml:space="preserve">Total non-current trade receivables</t>
  </si>
  <si>
    <t xml:space="preserve">Other non-current receivables</t>
  </si>
  <si>
    <t xml:space="preserve">Other non-current receivables due from related parties</t>
  </si>
  <si>
    <t xml:space="preserve">Other receivables due from holding company</t>
  </si>
  <si>
    <t xml:space="preserve">Other receivables due from subsidiaries</t>
  </si>
  <si>
    <t xml:space="preserve">Other receivables due from associates</t>
  </si>
  <si>
    <t xml:space="preserve">Other receivables due from joint ventures</t>
  </si>
  <si>
    <t xml:space="preserve">Other receivables due from other related companies</t>
  </si>
  <si>
    <t xml:space="preserve">Total other non-current receivables due from related parties</t>
  </si>
  <si>
    <t xml:space="preserve">Non-current non-trade receivables</t>
  </si>
  <si>
    <t xml:space="preserve">Accrued income</t>
  </si>
  <si>
    <t xml:space="preserve">Lease and hire purchase receivables</t>
  </si>
  <si>
    <t xml:space="preserve">Other non-current non-trade receivables</t>
  </si>
  <si>
    <t xml:space="preserve">Total non-current non-trade receivables</t>
  </si>
  <si>
    <t xml:space="preserve">Total other non-current receivables</t>
  </si>
  <si>
    <t xml:space="preserve">*Total trade and other non-current receivables</t>
  </si>
  <si>
    <t xml:space="preserve">Non-current derivative financial assets</t>
  </si>
  <si>
    <t xml:space="preserve">Non-current derivatives at fair value through profit or loss</t>
  </si>
  <si>
    <t xml:space="preserve">Forward contract</t>
  </si>
  <si>
    <t xml:space="preserve">Options</t>
  </si>
  <si>
    <t xml:space="preserve">Swap</t>
  </si>
  <si>
    <t xml:space="preserve">Other derivatives</t>
  </si>
  <si>
    <t xml:space="preserve">Total non-current derivatives at fair value through profit or loss</t>
  </si>
  <si>
    <t xml:space="preserve">Other non-current derivative financial assets</t>
  </si>
  <si>
    <t xml:space="preserve">*Total non-current derivative financial assets</t>
  </si>
  <si>
    <t xml:space="preserve">Inventories</t>
  </si>
  <si>
    <t xml:space="preserve">Raw materials</t>
  </si>
  <si>
    <t xml:space="preserve">Work in progress</t>
  </si>
  <si>
    <t xml:space="preserve">Finished goods</t>
  </si>
  <si>
    <t xml:space="preserve">Spare parts</t>
  </si>
  <si>
    <t xml:space="preserve">Other inventories</t>
  </si>
  <si>
    <t xml:space="preserve">*Total inventories</t>
  </si>
  <si>
    <t xml:space="preserve">Trade and other current receivables</t>
  </si>
  <si>
    <t xml:space="preserve">Current trade receivables</t>
  </si>
  <si>
    <t xml:space="preserve">Trade receivables due from contract customers</t>
  </si>
  <si>
    <t xml:space="preserve">Trade receivables due from associates</t>
  </si>
  <si>
    <t xml:space="preserve">Unearned current carrying charges</t>
  </si>
  <si>
    <t xml:space="preserve">Other current trade receivables</t>
  </si>
  <si>
    <t xml:space="preserve">Total current trade receivables</t>
  </si>
  <si>
    <t xml:space="preserve">Other current receivables</t>
  </si>
  <si>
    <t xml:space="preserve">Other current receivables due from related parties</t>
  </si>
  <si>
    <t xml:space="preserve">Other receivables due from other related parties</t>
  </si>
  <si>
    <t xml:space="preserve">Total other current receivables due from related parties</t>
  </si>
  <si>
    <t xml:space="preserve">Current prepayments and current accrued income</t>
  </si>
  <si>
    <t xml:space="preserve">Prepayments</t>
  </si>
  <si>
    <t xml:space="preserve">Total current prepayments and current accrued income</t>
  </si>
  <si>
    <t xml:space="preserve">Current non-trade receivables</t>
  </si>
  <si>
    <t xml:space="preserve">Interest receivables</t>
  </si>
  <si>
    <t xml:space="preserve">Deposits</t>
  </si>
  <si>
    <t xml:space="preserve">Dividend receivables</t>
  </si>
  <si>
    <t xml:space="preserve">Other current non-trade receivables</t>
  </si>
  <si>
    <t xml:space="preserve">Total current non-trade receivables</t>
  </si>
  <si>
    <t xml:space="preserve">Total other current receivables</t>
  </si>
  <si>
    <t xml:space="preserve">*Total trade and other current receivables</t>
  </si>
  <si>
    <t xml:space="preserve">Current derivative financial assets</t>
  </si>
  <si>
    <t xml:space="preserve">Current derivatives at fair value through profit or loss</t>
  </si>
  <si>
    <t xml:space="preserve">Total current derivatives at fair value through profit or loss</t>
  </si>
  <si>
    <t xml:space="preserve">Other current derivative financial assets</t>
  </si>
  <si>
    <t xml:space="preserve">*Total current derivative financial assets</t>
  </si>
  <si>
    <t xml:space="preserve">Cash and cash equivalents</t>
  </si>
  <si>
    <t xml:space="preserve">Cash</t>
  </si>
  <si>
    <t xml:space="preserve">Cash in hand</t>
  </si>
  <si>
    <t xml:space="preserve">Balances with Licensed Banks</t>
  </si>
  <si>
    <t xml:space="preserve">Total cash</t>
  </si>
  <si>
    <t xml:space="preserve">Cash equivalents</t>
  </si>
  <si>
    <t xml:space="preserve">Deposits placed with licensed banks</t>
  </si>
  <si>
    <t xml:space="preserve">Deposit placed with other corporations</t>
  </si>
  <si>
    <t xml:space="preserve">Cash equivalents with other financial institutions</t>
  </si>
  <si>
    <t xml:space="preserve">Short-term deposits</t>
  </si>
  <si>
    <t xml:space="preserve">Short-term investments</t>
  </si>
  <si>
    <t xml:space="preserve">Other banking arrangements</t>
  </si>
  <si>
    <t xml:space="preserve">Total cash equivalents</t>
  </si>
  <si>
    <t xml:space="preserve">Other cash and cash equivalents</t>
  </si>
  <si>
    <t xml:space="preserve">*Total cash and cash equivalents</t>
  </si>
  <si>
    <t xml:space="preserve">Other non-current assets</t>
  </si>
  <si>
    <t xml:space="preserve">Prepaid rental of buildings and facilities</t>
  </si>
  <si>
    <t xml:space="preserve">Prepaid land lease</t>
  </si>
  <si>
    <t xml:space="preserve">*Total other non-current assets</t>
  </si>
  <si>
    <t xml:space="preserve">Issued capital</t>
  </si>
  <si>
    <t xml:space="preserve">Capital from ordinary shares</t>
  </si>
  <si>
    <t xml:space="preserve">Capital from redeemable preference shares</t>
  </si>
  <si>
    <t xml:space="preserve">Capital from non-redeemable preference shares</t>
  </si>
  <si>
    <t xml:space="preserve">*Total issued capital</t>
  </si>
  <si>
    <t xml:space="preserve">Reserves</t>
  </si>
  <si>
    <t xml:space="preserve">Non-distributable</t>
  </si>
  <si>
    <t xml:space="preserve">Capital reserve</t>
  </si>
  <si>
    <t xml:space="preserve">Hedging reserve</t>
  </si>
  <si>
    <t xml:space="preserve">Foreign currency translation reserve</t>
  </si>
  <si>
    <t xml:space="preserve">Reserve of share-based payments</t>
  </si>
  <si>
    <t xml:space="preserve">Revaluation surplus</t>
  </si>
  <si>
    <t xml:space="preserve">Statutory reserve</t>
  </si>
  <si>
    <t xml:space="preserve">Warrant reserve</t>
  </si>
  <si>
    <t xml:space="preserve">Other non-distributable reserves</t>
  </si>
  <si>
    <t xml:space="preserve">Total non-distributable reserves</t>
  </si>
  <si>
    <t xml:space="preserve">Distributable</t>
  </si>
  <si>
    <t xml:space="preserve">Fair value reserves</t>
  </si>
  <si>
    <t xml:space="preserve">Reserve of non-current assets classified as held for sale</t>
  </si>
  <si>
    <t xml:space="preserve">Consolidation reserve</t>
  </si>
  <si>
    <t xml:space="preserve">Warranty reserve</t>
  </si>
  <si>
    <t xml:space="preserve">Other distributable reserves</t>
  </si>
  <si>
    <t xml:space="preserve">Total distributable reserves</t>
  </si>
  <si>
    <t xml:space="preserve">*Total reserves</t>
  </si>
  <si>
    <t xml:space="preserve">Equity - others components</t>
  </si>
  <si>
    <t xml:space="preserve">Perpetual sukuk</t>
  </si>
  <si>
    <t xml:space="preserve">Equity component of Irredeemable Convertible Unsecured Loan Stocks (ICULS)</t>
  </si>
  <si>
    <t xml:space="preserve">Equity component of preference shares</t>
  </si>
  <si>
    <t xml:space="preserve">Head office accounts</t>
  </si>
  <si>
    <t xml:space="preserve">Equity components of other financial instruments</t>
  </si>
  <si>
    <t xml:space="preserve">*Total equity - other components</t>
  </si>
  <si>
    <t xml:space="preserve">Non-current borrowings</t>
  </si>
  <si>
    <t xml:space="preserve">Non-current portion of non-current secured bank loans received</t>
  </si>
  <si>
    <t xml:space="preserve">Term loans</t>
  </si>
  <si>
    <t xml:space="preserve">Islamic financing facilities</t>
  </si>
  <si>
    <t xml:space="preserve">Hire purchase and finance lease liabilities</t>
  </si>
  <si>
    <t xml:space="preserve">Islamic medium term notes</t>
  </si>
  <si>
    <t xml:space="preserve">Sukuk</t>
  </si>
  <si>
    <t xml:space="preserve">Revolving credit and others</t>
  </si>
  <si>
    <t xml:space="preserve">Other secured bank loans</t>
  </si>
  <si>
    <t xml:space="preserve">Total non-current portion of non-current secured bank loans received</t>
  </si>
  <si>
    <t xml:space="preserve">Non-current portion of non-current unsecured bank loans received</t>
  </si>
  <si>
    <t xml:space="preserve">Irredeemable Convertible Unsecured Loan Stocks (ICULS)</t>
  </si>
  <si>
    <t xml:space="preserve">Other unsecured bank loans received</t>
  </si>
  <si>
    <t xml:space="preserve">Total non-current portion of non-current unsecured bank loans received</t>
  </si>
  <si>
    <t xml:space="preserve">Non-current portion of secured bonds, sukuk and loan stock</t>
  </si>
  <si>
    <t xml:space="preserve">Bonds</t>
  </si>
  <si>
    <t xml:space="preserve">Medium term notes</t>
  </si>
  <si>
    <t xml:space="preserve">Loan stocks</t>
  </si>
  <si>
    <t xml:space="preserve">Preference shares</t>
  </si>
  <si>
    <t xml:space="preserve">Total non-current portion of secured bonds/sukuk/loan stocks</t>
  </si>
  <si>
    <t xml:space="preserve">Non-current portion of unsecured bonds, sukuk and loan stock</t>
  </si>
  <si>
    <t xml:space="preserve">Total non-current portion of unsecured bonds/sukuk/loan stocks</t>
  </si>
  <si>
    <t xml:space="preserve">Other non-current borrowings</t>
  </si>
  <si>
    <t xml:space="preserve">Loan from subsidiaries</t>
  </si>
  <si>
    <t xml:space="preserve">Loan from associates</t>
  </si>
  <si>
    <t xml:space="preserve">Loan from joint ventures</t>
  </si>
  <si>
    <t xml:space="preserve">Redeemable preference shares</t>
  </si>
  <si>
    <t xml:space="preserve">Total other non-current borrowings</t>
  </si>
  <si>
    <t xml:space="preserve">*Total non-current borrowings</t>
  </si>
  <si>
    <t xml:space="preserve">Non-current employee benefit liabilities</t>
  </si>
  <si>
    <t xml:space="preserve">Cash-settled share-based payment liability</t>
  </si>
  <si>
    <t xml:space="preserve">Retirement benefits</t>
  </si>
  <si>
    <t xml:space="preserve">Employment termination benefits</t>
  </si>
  <si>
    <t xml:space="preserve">Provision for unconsumed leave</t>
  </si>
  <si>
    <t xml:space="preserve">Defined contribution plan</t>
  </si>
  <si>
    <t xml:space="preserve">Defined benefit plan</t>
  </si>
  <si>
    <t xml:space="preserve">Other non-current employee benefit liabilities</t>
  </si>
  <si>
    <t xml:space="preserve">*Total non-current employee benefit liabilities</t>
  </si>
  <si>
    <t xml:space="preserve">Non-current provisions</t>
  </si>
  <si>
    <t xml:space="preserve">Warranty provision</t>
  </si>
  <si>
    <t xml:space="preserve">Restructuring provision</t>
  </si>
  <si>
    <t xml:space="preserve">Legal proceedings provision</t>
  </si>
  <si>
    <t xml:space="preserve">Refund provision</t>
  </si>
  <si>
    <t xml:space="preserve">Onerous contracts provision</t>
  </si>
  <si>
    <t xml:space="preserve">Provision for decommissioning, restoration and rehabilitation costs</t>
  </si>
  <si>
    <t xml:space="preserve">Other non-current provisions</t>
  </si>
  <si>
    <t xml:space="preserve">*Total non-current provisions</t>
  </si>
  <si>
    <t xml:space="preserve">Trade and other non-current payables</t>
  </si>
  <si>
    <t xml:space="preserve">Non-current trade payables</t>
  </si>
  <si>
    <t xml:space="preserve">Trade payables</t>
  </si>
  <si>
    <t xml:space="preserve">Trade payables due to holding company</t>
  </si>
  <si>
    <t xml:space="preserve">Trade payables due to subsidiaries</t>
  </si>
  <si>
    <t xml:space="preserve">Trade payables due to associates</t>
  </si>
  <si>
    <t xml:space="preserve">Trade payables due to joint ventures</t>
  </si>
  <si>
    <t xml:space="preserve">Trade payables due to other related parties</t>
  </si>
  <si>
    <t xml:space="preserve">Other non-current trade payables</t>
  </si>
  <si>
    <t xml:space="preserve">Total non-current trade payables</t>
  </si>
  <si>
    <t xml:space="preserve">Other non-current payables</t>
  </si>
  <si>
    <t xml:space="preserve">Other non-current payables due to related parties</t>
  </si>
  <si>
    <t xml:space="preserve">Other payables due to holding company</t>
  </si>
  <si>
    <t xml:space="preserve">Other payables due to subsidiaries</t>
  </si>
  <si>
    <t xml:space="preserve">Other payables due to associates</t>
  </si>
  <si>
    <t xml:space="preserve">Other payables due to joint ventures</t>
  </si>
  <si>
    <t xml:space="preserve">Other payables due to other related parties</t>
  </si>
  <si>
    <t xml:space="preserve">Total other non-current payables due to related parties</t>
  </si>
  <si>
    <t xml:space="preserve">Other payables due to non-controlling interests</t>
  </si>
  <si>
    <t xml:space="preserve">Dividend payable to non-controlling interest</t>
  </si>
  <si>
    <t xml:space="preserve">Loans from non-controlling interest</t>
  </si>
  <si>
    <t xml:space="preserve">Miscellaneous payables due to non-controlling interests</t>
  </si>
  <si>
    <t xml:space="preserve">Total other payables due to non-controlling interests</t>
  </si>
  <si>
    <t xml:space="preserve">Non-current non-trade payables</t>
  </si>
  <si>
    <t xml:space="preserve">Deferred income</t>
  </si>
  <si>
    <t xml:space="preserve">Accruals</t>
  </si>
  <si>
    <t xml:space="preserve">Retention payable</t>
  </si>
  <si>
    <t xml:space="preserve">Other non-current non-trade payables</t>
  </si>
  <si>
    <t xml:space="preserve">Total non-current non-trade payables</t>
  </si>
  <si>
    <t xml:space="preserve">*Total trade and other non-current payables</t>
  </si>
  <si>
    <t xml:space="preserve">Non-current derivative financial liabilities</t>
  </si>
  <si>
    <t xml:space="preserve">Non-current Derivates used for hedging</t>
  </si>
  <si>
    <t xml:space="preserve">Total non-current derivatives used for hedging</t>
  </si>
  <si>
    <t xml:space="preserve">Other non-current derivative financial liabilities</t>
  </si>
  <si>
    <t xml:space="preserve">*Total non-current derivative financial liabilities</t>
  </si>
  <si>
    <t xml:space="preserve">Current borrowings</t>
  </si>
  <si>
    <t xml:space="preserve">Current secured bank loans received and current portion of non-current secured bank loans received</t>
  </si>
  <si>
    <t xml:space="preserve">Bankers' acceptance</t>
  </si>
  <si>
    <t xml:space="preserve">Bank overdrafts</t>
  </si>
  <si>
    <t xml:space="preserve">Trade financing facilities</t>
  </si>
  <si>
    <t xml:space="preserve">Other secured bank loans received</t>
  </si>
  <si>
    <t xml:space="preserve">Total current secured bank loans received and current portion of non-current secured bank loans received</t>
  </si>
  <si>
    <t xml:space="preserve">Current unsecured bank loans received and current portion of non-current unsecured bank loans received</t>
  </si>
  <si>
    <t xml:space="preserve">Block discounting payables</t>
  </si>
  <si>
    <t xml:space="preserve">Irredeemable convertible unsecured loan stocks (ICULS)</t>
  </si>
  <si>
    <t xml:space="preserve">Total current unsecured bank loans received and current portion of non-current unsecured bank loans received</t>
  </si>
  <si>
    <t xml:space="preserve">Current portion of secured bonds/sukuk/loan stocks</t>
  </si>
  <si>
    <t xml:space="preserve">Total current portion of secured bonds/sukuk/loan stocks</t>
  </si>
  <si>
    <t xml:space="preserve">Current portion of unsecured bonds/sukuk/loan stocks</t>
  </si>
  <si>
    <t xml:space="preserve">Total current portion of unsecured bonds/sukuk/loan stocks</t>
  </si>
  <si>
    <t xml:space="preserve">Other current borrowings</t>
  </si>
  <si>
    <t xml:space="preserve">Trade loans</t>
  </si>
  <si>
    <t xml:space="preserve">Total other current borrowings</t>
  </si>
  <si>
    <t xml:space="preserve">Total current borrowings</t>
  </si>
  <si>
    <t xml:space="preserve">Current employee benefit liabilities</t>
  </si>
  <si>
    <t xml:space="preserve">Other current employee benefit liabilities</t>
  </si>
  <si>
    <t xml:space="preserve">*Total current employee benefit liabilities</t>
  </si>
  <si>
    <t xml:space="preserve">Current provisions</t>
  </si>
  <si>
    <t xml:space="preserve">Refunds provision</t>
  </si>
  <si>
    <t xml:space="preserve">Other current provisions</t>
  </si>
  <si>
    <t xml:space="preserve">*Total current provisions</t>
  </si>
  <si>
    <t xml:space="preserve">Trade and other current payables</t>
  </si>
  <si>
    <t xml:space="preserve">Current trade payables</t>
  </si>
  <si>
    <t xml:space="preserve">Trade payable due to contract suppliers</t>
  </si>
  <si>
    <t xml:space="preserve">Other current trade payables</t>
  </si>
  <si>
    <t xml:space="preserve">Total current trade payables</t>
  </si>
  <si>
    <t xml:space="preserve">Other current payables</t>
  </si>
  <si>
    <t xml:space="preserve"> Other current payables due to related parties</t>
  </si>
  <si>
    <t xml:space="preserve">Total other current payables due to related parties</t>
  </si>
  <si>
    <t xml:space="preserve">Miscellaneous payable due to non-controlling interests</t>
  </si>
  <si>
    <t xml:space="preserve">Current non-trade payables</t>
  </si>
  <si>
    <t xml:space="preserve">Deposits and advanced billings</t>
  </si>
  <si>
    <t xml:space="preserve">Financing costs</t>
  </si>
  <si>
    <t xml:space="preserve">Dividend payable</t>
  </si>
  <si>
    <t xml:space="preserve">Interest payables</t>
  </si>
  <si>
    <t xml:space="preserve">Other current non-trade payables</t>
  </si>
  <si>
    <t xml:space="preserve">Total current non-trade payables</t>
  </si>
  <si>
    <t xml:space="preserve">Total other current payables</t>
  </si>
  <si>
    <t xml:space="preserve">*Total trade and other current payables</t>
  </si>
  <si>
    <t xml:space="preserve">Current derivative financial liabilities</t>
  </si>
  <si>
    <t xml:space="preserve">Current derivatives used for hedging</t>
  </si>
  <si>
    <t xml:space="preserve">Total current derivatives used for hedging</t>
  </si>
  <si>
    <t xml:space="preserve">Other current derivative financial liabilities</t>
  </si>
  <si>
    <t xml:space="preserve">*Total current derivative financial liabilities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</si>
</sst>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_);[RED]\(#,##0.00\)"/>
  </numFmts>
  <fonts count="12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Verdana"/>
      <family val="2"/>
      <charset val="1"/>
    </font>
    <font>
      <sz val="10"/>
      <color rgb="FFFF0000"/>
      <name val="Verdana"/>
      <family val="2"/>
      <charset val="1"/>
    </font>
    <font>
      <sz val="10"/>
      <color rgb="FF000000"/>
      <name val="Verdana"/>
      <family val="2"/>
      <charset val="1"/>
    </font>
    <font>
      <b val="true"/>
      <sz val="10"/>
      <color rgb="FFFF0000"/>
      <name val="Verdana"/>
      <family val="2"/>
      <charset val="1"/>
    </font>
    <font>
      <sz val="10"/>
      <name val="Arial"/>
      <family val="2"/>
    </font>
    <font>
      <b val="true"/>
      <sz val="10"/>
      <color rgb="FF010000"/>
      <name val="Verdana"/>
      <family val="2"/>
      <charset val="1"/>
    </font>
    <font>
      <sz val="10"/>
      <color rgb="FFFFFFFF"/>
      <name val="Verdana"/>
      <family val="2"/>
      <charset val="1"/>
    </font>
    <font>
      <sz val="10"/>
      <color theme="1"/>
      <name val="Verdana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FF"/>
        <bgColor rgb="FFFFFFCC"/>
      </patternFill>
    </fill>
    <fill>
      <patternFill patternType="solid">
        <fgColor rgb="FF99CCFF"/>
        <bgColor rgb="FFCCCCFF"/>
      </patternFill>
    </fill>
    <fill>
      <patternFill patternType="solid">
        <fgColor rgb="FF203764"/>
        <bgColor rgb="FF333333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dotted"/>
      <right style="dotted"/>
      <top style="dotted"/>
      <bottom style="dotted"/>
      <diagonal/>
    </border>
    <border diagonalUp="false" diagonalDown="false">
      <left style="dotted"/>
      <right style="dotted"/>
      <top style="dotted"/>
      <bottom style="double"/>
      <diagonal/>
    </border>
    <border diagonalUp="false" diagonalDown="false">
      <left style="dotted"/>
      <right style="dotted"/>
      <top/>
      <bottom style="dotted"/>
      <diagonal/>
    </border>
    <border diagonalUp="false" diagonalDown="false">
      <left style="dotted"/>
      <right style="dotted"/>
      <top style="dotted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tru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2" shrinkToFit="tru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4" shrinkToFit="tru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6" shrinkToFit="tru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7" shrinkToFit="true"/>
      <protection locked="true" hidden="false"/>
    </xf>
    <xf numFmtId="165" fontId="6" fillId="4" borderId="1" xfId="0" applyFont="true" applyBorder="true" applyAlignment="true" applyProtection="false">
      <alignment horizontal="right" vertical="center" textRotation="0" wrapText="true" indent="0" shrinkToFit="tru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8" shrinkToFit="true"/>
      <protection locked="true" hidden="false"/>
    </xf>
    <xf numFmtId="165" fontId="6" fillId="3" borderId="1" xfId="0" applyFont="true" applyBorder="true" applyAlignment="true" applyProtection="true">
      <alignment horizontal="right" vertical="center" textRotation="0" wrapText="true" indent="0" shrinkToFit="true"/>
      <protection locked="false" hidden="false"/>
    </xf>
    <xf numFmtId="164" fontId="7" fillId="4" borderId="1" xfId="0" applyFont="true" applyBorder="true" applyAlignment="true" applyProtection="false">
      <alignment horizontal="left" vertical="center" textRotation="0" wrapText="true" indent="7" shrinkToFit="true"/>
      <protection locked="true" hidden="false"/>
    </xf>
    <xf numFmtId="165" fontId="6" fillId="4" borderId="2" xfId="0" applyFont="true" applyBorder="true" applyAlignment="true" applyProtection="false">
      <alignment horizontal="right" vertical="center" textRotation="0" wrapText="true" indent="0" shrinkToFit="true"/>
      <protection locked="true" hidden="false"/>
    </xf>
    <xf numFmtId="164" fontId="4" fillId="2" borderId="3" xfId="0" applyFont="true" applyBorder="true" applyAlignment="true" applyProtection="false">
      <alignment horizontal="general" vertical="center" textRotation="0" wrapText="true" indent="0" shrinkToFit="true"/>
      <protection locked="true" hidden="false"/>
    </xf>
    <xf numFmtId="164" fontId="4" fillId="4" borderId="1" xfId="0" applyFont="true" applyBorder="true" applyAlignment="true" applyProtection="false">
      <alignment horizontal="left" vertical="center" textRotation="0" wrapText="true" indent="8" shrinkToFit="true"/>
      <protection locked="true" hidden="false"/>
    </xf>
    <xf numFmtId="165" fontId="6" fillId="3" borderId="3" xfId="0" applyFont="true" applyBorder="true" applyAlignment="true" applyProtection="true">
      <alignment horizontal="right" vertical="center" textRotation="0" wrapText="true" indent="0" shrinkToFit="true"/>
      <protection locked="false" hidden="false"/>
    </xf>
    <xf numFmtId="165" fontId="6" fillId="4" borderId="4" xfId="0" applyFont="true" applyBorder="true" applyAlignment="true" applyProtection="false">
      <alignment horizontal="right" vertical="center" textRotation="0" wrapText="true" indent="0" shrinkToFit="tru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5" shrinkToFit="tru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8" shrinkToFit="tru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10" shrinkToFit="tru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9" shrinkToFit="true"/>
      <protection locked="true" hidden="false"/>
    </xf>
    <xf numFmtId="164" fontId="4" fillId="4" borderId="1" xfId="0" applyFont="true" applyBorder="true" applyAlignment="true" applyProtection="false">
      <alignment horizontal="left" vertical="center" textRotation="0" wrapText="true" indent="10" shrinkToFit="tru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9" shrinkToFit="tru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10" shrinkToFit="tru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12" shrinkToFit="true"/>
      <protection locked="true" hidden="false"/>
    </xf>
    <xf numFmtId="164" fontId="4" fillId="4" borderId="1" xfId="0" applyFont="true" applyBorder="true" applyAlignment="true" applyProtection="false">
      <alignment horizontal="left" vertical="center" textRotation="0" wrapText="true" indent="12" shrinkToFit="tru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203764"/>
      <rgbColor rgb="FF339966"/>
      <rgbColor rgb="FF0100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C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7" activeCellId="0" sqref="D7"/>
    </sheetView>
  </sheetViews>
  <sheetFormatPr defaultColWidth="10.4921875" defaultRowHeight="15.75" customHeight="false" zeroHeight="false" outlineLevelRow="0" outlineLevelCol="0"/>
  <cols>
    <col collapsed="false" customWidth="true" hidden="false" outlineLevel="0" max="1" min="1" style="1" width="79.83"/>
    <col collapsed="false" customWidth="true" hidden="false" outlineLevel="0" max="2" min="2" style="1" width="23.67"/>
    <col collapsed="false" customWidth="true" hidden="false" outlineLevel="0" max="3" min="3" style="1" width="27.33"/>
  </cols>
  <sheetData>
    <row r="2" customFormat="false" ht="15.75" hidden="false" customHeight="true" outlineLevel="0" collapsed="false">
      <c r="B2" s="1" t="s">
        <v>0</v>
      </c>
      <c r="C2" s="1" t="s">
        <v>1</v>
      </c>
    </row>
    <row r="3" customFormat="false" ht="15.75" hidden="false" customHeight="true" outlineLevel="0" collapsed="false">
      <c r="B3" s="1" t="s">
        <v>2</v>
      </c>
      <c r="C3" s="1" t="s">
        <v>2</v>
      </c>
    </row>
    <row r="5" customFormat="false" ht="15.75" hidden="false" customHeight="true" outlineLevel="0" collapsed="false">
      <c r="A5" s="2" t="s">
        <v>3</v>
      </c>
      <c r="B5" s="2"/>
      <c r="C5" s="2"/>
    </row>
    <row r="6" customFormat="false" ht="15.75" hidden="false" customHeight="true" outlineLevel="0" collapsed="false">
      <c r="A6" s="3" t="s">
        <v>3</v>
      </c>
      <c r="B6" s="2"/>
      <c r="C6" s="2"/>
    </row>
    <row r="7" customFormat="false" ht="15.75" hidden="false" customHeight="true" outlineLevel="0" collapsed="false">
      <c r="A7" s="4" t="s">
        <v>4</v>
      </c>
      <c r="B7" s="2"/>
      <c r="C7" s="2"/>
    </row>
    <row r="8" customFormat="false" ht="15.75" hidden="false" customHeight="true" outlineLevel="0" collapsed="false">
      <c r="A8" s="5" t="s">
        <v>5</v>
      </c>
      <c r="B8" s="2"/>
      <c r="C8" s="2"/>
    </row>
    <row r="9" customFormat="false" ht="15.75" hidden="false" customHeight="true" outlineLevel="0" collapsed="false">
      <c r="A9" s="6" t="s">
        <v>6</v>
      </c>
      <c r="B9" s="7" t="n">
        <f aca="false">'SOFP-Sub-CuNonCu'!B39</f>
        <v>7541</v>
      </c>
      <c r="C9" s="7" t="n">
        <f aca="false">'SOFP-Sub-CuNonCu'!C39</f>
        <v>0</v>
      </c>
    </row>
    <row r="10" customFormat="false" ht="15.75" hidden="false" customHeight="true" outlineLevel="0" collapsed="false">
      <c r="A10" s="6" t="s">
        <v>7</v>
      </c>
      <c r="B10" s="7" t="n">
        <f aca="false">'SOFP-Sub-CuNonCu'!B49</f>
        <v>0</v>
      </c>
      <c r="C10" s="7" t="n">
        <f aca="false">'SOFP-Sub-CuNonCu'!C49</f>
        <v>0</v>
      </c>
    </row>
    <row r="11" customFormat="false" ht="15.75" hidden="false" customHeight="true" outlineLevel="0" collapsed="false">
      <c r="A11" s="8" t="s">
        <v>8</v>
      </c>
      <c r="B11" s="9"/>
      <c r="C11" s="9"/>
    </row>
    <row r="12" customFormat="false" ht="15.75" hidden="false" customHeight="true" outlineLevel="0" collapsed="false">
      <c r="A12" s="8" t="s">
        <v>9</v>
      </c>
      <c r="B12" s="9" t="n">
        <v>191518</v>
      </c>
      <c r="C12" s="9" t="n">
        <v>0</v>
      </c>
    </row>
    <row r="13" customFormat="false" ht="15.75" hidden="false" customHeight="true" outlineLevel="0" collapsed="false">
      <c r="A13" s="8" t="s">
        <v>10</v>
      </c>
      <c r="B13" s="9"/>
      <c r="C13" s="9"/>
    </row>
    <row r="14" customFormat="false" ht="15.75" hidden="false" customHeight="true" outlineLevel="0" collapsed="false">
      <c r="A14" s="6" t="s">
        <v>11</v>
      </c>
      <c r="B14" s="7" t="n">
        <f aca="false">'SOFP-Sub-CuNonCu'!B69</f>
        <v>0</v>
      </c>
      <c r="C14" s="7" t="n">
        <f aca="false">'SOFP-Sub-CuNonCu'!C69</f>
        <v>0</v>
      </c>
    </row>
    <row r="15" customFormat="false" ht="15.75" hidden="false" customHeight="true" outlineLevel="0" collapsed="false">
      <c r="A15" s="6" t="s">
        <v>12</v>
      </c>
      <c r="B15" s="7" t="n">
        <f aca="false">'SOFP-Sub-CuNonCu'!B77</f>
        <v>0</v>
      </c>
      <c r="C15" s="7" t="n">
        <f aca="false">'SOFP-Sub-CuNonCu'!C77</f>
        <v>0</v>
      </c>
    </row>
    <row r="16" customFormat="false" ht="15.75" hidden="false" customHeight="true" outlineLevel="0" collapsed="false">
      <c r="A16" s="6" t="s">
        <v>13</v>
      </c>
      <c r="B16" s="7" t="n">
        <f aca="false">'SOFP-Sub-CuNonCu'!B86</f>
        <v>0</v>
      </c>
      <c r="C16" s="7" t="n">
        <f aca="false">'SOFP-Sub-CuNonCu'!C86</f>
        <v>0</v>
      </c>
    </row>
    <row r="17" customFormat="false" ht="15.75" hidden="false" customHeight="true" outlineLevel="0" collapsed="false">
      <c r="A17" s="6" t="s">
        <v>14</v>
      </c>
      <c r="B17" s="7" t="n">
        <f aca="false">'SOFP-Sub-CuNonCu'!B95</f>
        <v>0</v>
      </c>
      <c r="C17" s="7" t="n">
        <f aca="false">'SOFP-Sub-CuNonCu'!C95</f>
        <v>0</v>
      </c>
    </row>
    <row r="18" customFormat="false" ht="15.75" hidden="false" customHeight="true" outlineLevel="0" collapsed="false">
      <c r="A18" s="6" t="s">
        <v>15</v>
      </c>
      <c r="B18" s="9"/>
      <c r="C18" s="9"/>
    </row>
    <row r="19" customFormat="false" ht="15.75" hidden="false" customHeight="true" outlineLevel="0" collapsed="false">
      <c r="A19" s="6" t="s">
        <v>16</v>
      </c>
      <c r="B19" s="7" t="n">
        <f aca="false">'SOFP-Sub-CuNonCu'!B120</f>
        <v>0</v>
      </c>
      <c r="C19" s="7" t="n">
        <f aca="false">'SOFP-Sub-CuNonCu'!C120</f>
        <v>0</v>
      </c>
    </row>
    <row r="20" customFormat="false" ht="15.75" hidden="false" customHeight="true" outlineLevel="0" collapsed="false">
      <c r="A20" s="8" t="s">
        <v>17</v>
      </c>
      <c r="B20" s="9"/>
      <c r="C20" s="9"/>
    </row>
    <row r="21" customFormat="false" ht="15.75" hidden="false" customHeight="true" outlineLevel="0" collapsed="false">
      <c r="A21" s="8" t="s">
        <v>18</v>
      </c>
      <c r="B21" s="9"/>
      <c r="C21" s="9"/>
    </row>
    <row r="22" customFormat="false" ht="15.75" hidden="false" customHeight="true" outlineLevel="0" collapsed="false">
      <c r="A22" s="6" t="s">
        <v>19</v>
      </c>
      <c r="B22" s="7" t="n">
        <f aca="false">'SOFP-Sub-CuNonCu'!B129</f>
        <v>0</v>
      </c>
      <c r="C22" s="7" t="n">
        <f aca="false">'SOFP-Sub-CuNonCu'!C129</f>
        <v>0</v>
      </c>
    </row>
    <row r="23" customFormat="false" ht="15.75" hidden="false" customHeight="true" outlineLevel="0" collapsed="false">
      <c r="A23" s="6" t="s">
        <v>20</v>
      </c>
      <c r="B23" s="7" t="n">
        <f aca="false">'SOFP-Sub-CuNonCu'!B198</f>
        <v>0</v>
      </c>
      <c r="C23" s="7" t="n">
        <f aca="false">'SOFP-Sub-CuNonCu'!C198</f>
        <v>0</v>
      </c>
    </row>
    <row r="24" customFormat="false" ht="16.5" hidden="false" customHeight="true" outlineLevel="0" collapsed="false">
      <c r="A24" s="10" t="s">
        <v>21</v>
      </c>
      <c r="B24" s="11" t="n">
        <f aca="false">1*B9+1*B10+1*B11+1*B12+1*B13+1*B14+1*B15+1*B16+1*B17+1*B18+1*B19+1*B20+1*B21+1*B22+1*B23</f>
        <v>199059</v>
      </c>
      <c r="C24" s="11" t="n">
        <f aca="false">1*C9+1*C10+1*C11+1*C12+1*C13+1*C14+1*C15+1*C16+1*C17+1*C18+1*C19+1*C20+1*C21+1*C22+1*C23</f>
        <v>0</v>
      </c>
    </row>
    <row r="25" customFormat="false" ht="16.5" hidden="false" customHeight="true" outlineLevel="0" collapsed="false">
      <c r="A25" s="5" t="s">
        <v>22</v>
      </c>
      <c r="B25" s="12"/>
      <c r="C25" s="12"/>
    </row>
    <row r="26" customFormat="false" ht="15.75" hidden="false" customHeight="true" outlineLevel="0" collapsed="false">
      <c r="A26" s="6" t="s">
        <v>23</v>
      </c>
      <c r="B26" s="7" t="n">
        <f aca="false">'SOFP-Sub-CuNonCu'!B136</f>
        <v>0</v>
      </c>
      <c r="C26" s="7" t="n">
        <f aca="false">'SOFP-Sub-CuNonCu'!C136</f>
        <v>0</v>
      </c>
    </row>
    <row r="27" customFormat="false" ht="15.75" hidden="false" customHeight="true" outlineLevel="0" collapsed="false">
      <c r="A27" s="8" t="s">
        <v>8</v>
      </c>
      <c r="B27" s="9"/>
      <c r="C27" s="9"/>
    </row>
    <row r="28" customFormat="false" ht="15.75" hidden="false" customHeight="true" outlineLevel="0" collapsed="false">
      <c r="A28" s="8" t="s">
        <v>24</v>
      </c>
      <c r="B28" s="9"/>
      <c r="C28" s="9"/>
    </row>
    <row r="29" customFormat="false" ht="15.75" hidden="false" customHeight="true" outlineLevel="0" collapsed="false">
      <c r="A29" s="8" t="s">
        <v>25</v>
      </c>
      <c r="B29" s="9"/>
      <c r="C29" s="9"/>
    </row>
    <row r="30" customFormat="false" ht="15.75" hidden="false" customHeight="true" outlineLevel="0" collapsed="false">
      <c r="A30" s="6" t="s">
        <v>26</v>
      </c>
      <c r="B30" s="7" t="n">
        <f aca="false">'SOFP-Sub-CuNonCu'!B169</f>
        <v>391675</v>
      </c>
      <c r="C30" s="7" t="n">
        <f aca="false">'SOFP-Sub-CuNonCu'!C169</f>
        <v>3774428</v>
      </c>
    </row>
    <row r="31" customFormat="false" ht="15.75" hidden="false" customHeight="true" outlineLevel="0" collapsed="false">
      <c r="A31" s="8" t="s">
        <v>17</v>
      </c>
      <c r="B31" s="9"/>
      <c r="C31" s="9"/>
    </row>
    <row r="32" customFormat="false" ht="15.75" hidden="false" customHeight="true" outlineLevel="0" collapsed="false">
      <c r="A32" s="6" t="s">
        <v>19</v>
      </c>
      <c r="B32" s="7" t="n">
        <f aca="false">'SOFP-Sub-CuNonCu'!B178</f>
        <v>0</v>
      </c>
      <c r="C32" s="7" t="n">
        <f aca="false">'SOFP-Sub-CuNonCu'!C178</f>
        <v>0</v>
      </c>
    </row>
    <row r="33" customFormat="false" ht="15.75" hidden="false" customHeight="true" outlineLevel="0" collapsed="false">
      <c r="A33" s="6" t="s">
        <v>27</v>
      </c>
      <c r="B33" s="7" t="n">
        <f aca="false">'SOFP-Sub-CuNonCu'!B193</f>
        <v>2551004</v>
      </c>
      <c r="C33" s="7" t="n">
        <f aca="false">'SOFP-Sub-CuNonCu'!C193</f>
        <v>5003869</v>
      </c>
    </row>
    <row r="34" customFormat="false" ht="15.75" hidden="false" customHeight="true" outlineLevel="0" collapsed="false">
      <c r="A34" s="6" t="s">
        <v>28</v>
      </c>
      <c r="B34" s="9"/>
      <c r="C34" s="9"/>
    </row>
    <row r="35" customFormat="false" ht="16.5" hidden="false" customHeight="true" outlineLevel="0" collapsed="false">
      <c r="A35" s="13" t="s">
        <v>29</v>
      </c>
      <c r="B35" s="11" t="n">
        <f aca="false">1*B26+1*B27+1*B28+1*B29+1*B30+1*B31+1*B32+1*B33+1*B34</f>
        <v>2942679</v>
      </c>
      <c r="C35" s="11" t="n">
        <f aca="false">1*C26+1*C27+1*C28+1*C29+1*C30+1*C31+1*C32+1*C33+1*C34</f>
        <v>8778297</v>
      </c>
    </row>
    <row r="36" customFormat="false" ht="28.5" hidden="false" customHeight="true" outlineLevel="0" collapsed="false">
      <c r="A36" s="8" t="s">
        <v>30</v>
      </c>
      <c r="B36" s="14"/>
      <c r="C36" s="14"/>
    </row>
    <row r="37" customFormat="false" ht="15.75" hidden="false" customHeight="true" outlineLevel="0" collapsed="false">
      <c r="A37" s="10" t="s">
        <v>31</v>
      </c>
      <c r="B37" s="15" t="n">
        <f aca="false">1*B26+1*B27+1*B28+1*B29+1*B30+1*B31+1*B32+1*B33+1*B34+1*B36</f>
        <v>2942679</v>
      </c>
      <c r="C37" s="15" t="n">
        <f aca="false">1*C26+1*C27+1*C28+1*C29+1*C30+1*C31+1*C32+1*C33+1*C34+1*C36</f>
        <v>8778297</v>
      </c>
    </row>
    <row r="38" customFormat="false" ht="16.5" hidden="false" customHeight="true" outlineLevel="0" collapsed="false">
      <c r="A38" s="16" t="s">
        <v>32</v>
      </c>
      <c r="B38" s="11" t="n">
        <f aca="false">1*B9+1*B10+1*B12+1*B13+1*B14+1*B15+1*B16+1*B17+1*B18+1*B19+1*B20+1*B21+1*B22+1*B23+1*B26+1*B28+1*B29+1*B30+1*B31+1*B32+1*B33+1*B34+1*B36+1*B27+1*B11</f>
        <v>3141738</v>
      </c>
      <c r="C38" s="11" t="n">
        <f aca="false">1*C9+1*C10+1*C12+1*C13+1*C14+1*C15+1*C16+1*C17+1*C18+1*C19+1*C20+1*C21+1*C22+1*C23+1*C26+1*C28+1*C29+1*C30+1*C31+1*C32+1*C33+1*C34+1*C36+1*C27+1*C11</f>
        <v>8778297</v>
      </c>
    </row>
    <row r="39" customFormat="false" ht="16.5" hidden="false" customHeight="true" outlineLevel="0" collapsed="false">
      <c r="A39" s="4" t="s">
        <v>33</v>
      </c>
      <c r="B39" s="12"/>
      <c r="C39" s="12"/>
    </row>
    <row r="40" customFormat="false" ht="15.75" hidden="false" customHeight="true" outlineLevel="0" collapsed="false">
      <c r="A40" s="5" t="s">
        <v>34</v>
      </c>
      <c r="B40" s="2"/>
      <c r="C40" s="2"/>
    </row>
    <row r="41" customFormat="false" ht="15.75" hidden="false" customHeight="true" outlineLevel="0" collapsed="false">
      <c r="A41" s="6" t="s">
        <v>35</v>
      </c>
      <c r="B41" s="7" t="n">
        <f aca="false">'SOFP-Sub-CuNonCu'!B203</f>
        <v>0</v>
      </c>
      <c r="C41" s="7" t="n">
        <f aca="false">'SOFP-Sub-CuNonCu'!C203</f>
        <v>0</v>
      </c>
    </row>
    <row r="42" customFormat="false" ht="15.75" hidden="false" customHeight="true" outlineLevel="0" collapsed="false">
      <c r="A42" s="6" t="s">
        <v>36</v>
      </c>
      <c r="B42" s="9" t="n">
        <v>2543264</v>
      </c>
      <c r="C42" s="9" t="n">
        <v>4506376</v>
      </c>
    </row>
    <row r="43" customFormat="false" ht="15.75" hidden="false" customHeight="true" outlineLevel="0" collapsed="false">
      <c r="A43" s="8" t="s">
        <v>37</v>
      </c>
      <c r="B43" s="9"/>
      <c r="C43" s="9"/>
    </row>
    <row r="44" customFormat="false" ht="15.75" hidden="false" customHeight="true" outlineLevel="0" collapsed="false">
      <c r="A44" s="6" t="s">
        <v>38</v>
      </c>
      <c r="B44" s="7" t="n">
        <f aca="false">'SOFP-Sub-CuNonCu'!B222</f>
        <v>0</v>
      </c>
      <c r="C44" s="7" t="n">
        <f aca="false">'SOFP-Sub-CuNonCu'!C222</f>
        <v>0</v>
      </c>
    </row>
    <row r="45" customFormat="false" ht="15.75" hidden="false" customHeight="true" outlineLevel="0" collapsed="false">
      <c r="A45" s="10" t="s">
        <v>39</v>
      </c>
      <c r="B45" s="15" t="n">
        <f aca="false">1*B41+1*B42+-1*B43+1*B44</f>
        <v>2543264</v>
      </c>
      <c r="C45" s="15" t="n">
        <f aca="false">1*C41+1*C42+-1*C43+1*C44</f>
        <v>4506376</v>
      </c>
    </row>
    <row r="46" customFormat="false" ht="15.75" hidden="false" customHeight="true" outlineLevel="0" collapsed="false">
      <c r="A46" s="6" t="s">
        <v>40</v>
      </c>
      <c r="B46" s="7" t="n">
        <f aca="false">'SOFP-Sub-CuNonCu'!B229</f>
        <v>0</v>
      </c>
      <c r="C46" s="7" t="n">
        <f aca="false">'SOFP-Sub-CuNonCu'!C229</f>
        <v>0</v>
      </c>
    </row>
    <row r="47" customFormat="false" ht="15.75" hidden="false" customHeight="true" outlineLevel="0" collapsed="false">
      <c r="A47" s="6" t="s">
        <v>41</v>
      </c>
      <c r="B47" s="9"/>
      <c r="C47" s="9"/>
    </row>
    <row r="48" customFormat="false" ht="15.75" hidden="false" customHeight="true" outlineLevel="0" collapsed="false">
      <c r="A48" s="10" t="s">
        <v>42</v>
      </c>
      <c r="B48" s="7" t="n">
        <f aca="false">1*B41+1*B42+-1*B43+1*B44+1*B46+1*B47</f>
        <v>2543264</v>
      </c>
      <c r="C48" s="7" t="n">
        <f aca="false">1*C41+1*C42+-1*C43+1*C44+1*C46+1*C47</f>
        <v>4506376</v>
      </c>
    </row>
    <row r="49" customFormat="false" ht="15.75" hidden="false" customHeight="true" outlineLevel="0" collapsed="false">
      <c r="A49" s="5" t="s">
        <v>43</v>
      </c>
      <c r="B49" s="2"/>
      <c r="C49" s="2"/>
    </row>
    <row r="50" customFormat="false" ht="15.75" hidden="false" customHeight="true" outlineLevel="0" collapsed="false">
      <c r="A50" s="17" t="s">
        <v>44</v>
      </c>
      <c r="B50" s="2"/>
      <c r="C50" s="2"/>
    </row>
    <row r="51" customFormat="false" ht="15.75" hidden="false" customHeight="true" outlineLevel="0" collapsed="false">
      <c r="A51" s="18" t="s">
        <v>45</v>
      </c>
      <c r="B51" s="9"/>
      <c r="C51" s="9"/>
    </row>
    <row r="52" customFormat="false" ht="15.75" hidden="false" customHeight="true" outlineLevel="0" collapsed="false">
      <c r="A52" s="19" t="s">
        <v>46</v>
      </c>
      <c r="B52" s="7" t="n">
        <f aca="false">'SOFP-Sub-CuNonCu'!B271</f>
        <v>0</v>
      </c>
      <c r="C52" s="7" t="n">
        <f aca="false">'SOFP-Sub-CuNonCu'!C271</f>
        <v>0</v>
      </c>
    </row>
    <row r="53" customFormat="false" ht="15.75" hidden="false" customHeight="true" outlineLevel="0" collapsed="false">
      <c r="A53" s="18" t="s">
        <v>47</v>
      </c>
      <c r="B53" s="9" t="n">
        <v>160404</v>
      </c>
      <c r="C53" s="9" t="n">
        <v>0</v>
      </c>
    </row>
    <row r="54" customFormat="false" ht="15.75" hidden="false" customHeight="true" outlineLevel="0" collapsed="false">
      <c r="A54" s="19" t="s">
        <v>48</v>
      </c>
      <c r="B54" s="7" t="n">
        <f aca="false">'SOFP-Sub-CuNonCu'!B280</f>
        <v>0</v>
      </c>
      <c r="C54" s="7" t="n">
        <f aca="false">'SOFP-Sub-CuNonCu'!C280</f>
        <v>0</v>
      </c>
    </row>
    <row r="55" customFormat="false" ht="15.75" hidden="false" customHeight="true" outlineLevel="0" collapsed="false">
      <c r="A55" s="19" t="s">
        <v>49</v>
      </c>
      <c r="B55" s="7" t="n">
        <f aca="false">'SOFP-Sub-CuNonCu'!B289</f>
        <v>0</v>
      </c>
      <c r="C55" s="7" t="n">
        <f aca="false">'SOFP-Sub-CuNonCu'!C289</f>
        <v>0</v>
      </c>
    </row>
    <row r="56" customFormat="false" ht="15.75" hidden="false" customHeight="true" outlineLevel="0" collapsed="false">
      <c r="A56" s="19" t="s">
        <v>50</v>
      </c>
      <c r="B56" s="7" t="n">
        <f aca="false">'SOFP-Sub-CuNonCu'!B321</f>
        <v>0</v>
      </c>
      <c r="C56" s="7" t="n">
        <f aca="false">'SOFP-Sub-CuNonCu'!C321</f>
        <v>0</v>
      </c>
    </row>
    <row r="57" customFormat="false" ht="15.75" hidden="false" customHeight="true" outlineLevel="0" collapsed="false">
      <c r="A57" s="18" t="s">
        <v>51</v>
      </c>
      <c r="B57" s="9"/>
      <c r="C57" s="9"/>
    </row>
    <row r="58" customFormat="false" ht="15.75" hidden="false" customHeight="true" outlineLevel="0" collapsed="false">
      <c r="A58" s="18" t="s">
        <v>52</v>
      </c>
      <c r="B58" s="9"/>
      <c r="C58" s="9"/>
    </row>
    <row r="59" customFormat="false" ht="15.75" hidden="false" customHeight="true" outlineLevel="0" collapsed="false">
      <c r="A59" s="19" t="s">
        <v>53</v>
      </c>
      <c r="B59" s="7" t="n">
        <f aca="false">'SOFP-Sub-CuNonCu'!B336</f>
        <v>0</v>
      </c>
      <c r="C59" s="7" t="n">
        <f aca="false">'SOFP-Sub-CuNonCu'!C336</f>
        <v>0</v>
      </c>
    </row>
    <row r="60" customFormat="false" ht="15.75" hidden="false" customHeight="true" outlineLevel="0" collapsed="false">
      <c r="A60" s="18" t="s">
        <v>54</v>
      </c>
      <c r="B60" s="9"/>
      <c r="C60" s="9"/>
    </row>
    <row r="61" customFormat="false" ht="16.5" hidden="false" customHeight="true" outlineLevel="0" collapsed="false">
      <c r="A61" s="20" t="s">
        <v>55</v>
      </c>
      <c r="B61" s="11" t="n">
        <f aca="false">1*B51+1*B52+1*B53+1*B54+1*B55+1*B56+1*B57+1*B58+1*B59+1*B60</f>
        <v>160404</v>
      </c>
      <c r="C61" s="11" t="n">
        <f aca="false">1*C51+1*C52+1*C53+1*C54+1*C55+1*C56+1*C57+1*C58+1*C59+1*C60</f>
        <v>0</v>
      </c>
    </row>
    <row r="62" customFormat="false" ht="16.5" hidden="false" customHeight="true" outlineLevel="0" collapsed="false">
      <c r="A62" s="17" t="s">
        <v>56</v>
      </c>
      <c r="B62" s="12"/>
      <c r="C62" s="12"/>
    </row>
    <row r="63" customFormat="false" ht="15.75" hidden="false" customHeight="true" outlineLevel="0" collapsed="false">
      <c r="A63" s="19" t="s">
        <v>46</v>
      </c>
      <c r="B63" s="7" t="n">
        <f aca="false">'SOFP-Sub-CuNonCu'!B383</f>
        <v>0</v>
      </c>
      <c r="C63" s="7" t="n">
        <f aca="false">'SOFP-Sub-CuNonCu'!C383</f>
        <v>0</v>
      </c>
    </row>
    <row r="64" customFormat="false" ht="15.75" hidden="false" customHeight="true" outlineLevel="0" collapsed="false">
      <c r="A64" s="18" t="s">
        <v>47</v>
      </c>
      <c r="B64" s="9" t="n">
        <v>36148</v>
      </c>
      <c r="C64" s="9" t="n">
        <v>0</v>
      </c>
    </row>
    <row r="65" customFormat="false" ht="15.75" hidden="false" customHeight="true" outlineLevel="0" collapsed="false">
      <c r="A65" s="19" t="s">
        <v>48</v>
      </c>
      <c r="B65" s="7" t="n">
        <f aca="false">'SOFP-Sub-CuNonCu'!B392</f>
        <v>0</v>
      </c>
      <c r="C65" s="7" t="n">
        <f aca="false">'SOFP-Sub-CuNonCu'!C392</f>
        <v>0</v>
      </c>
    </row>
    <row r="66" customFormat="false" ht="15.75" hidden="false" customHeight="true" outlineLevel="0" collapsed="false">
      <c r="A66" s="19" t="s">
        <v>49</v>
      </c>
      <c r="B66" s="7" t="n">
        <f aca="false">'SOFP-Sub-CuNonCu'!B401</f>
        <v>0</v>
      </c>
      <c r="C66" s="7" t="n">
        <f aca="false">'SOFP-Sub-CuNonCu'!C401</f>
        <v>0</v>
      </c>
    </row>
    <row r="67" customFormat="false" ht="15.75" hidden="false" customHeight="true" outlineLevel="0" collapsed="false">
      <c r="A67" s="18" t="s">
        <v>57</v>
      </c>
      <c r="B67" s="9"/>
      <c r="C67" s="9"/>
    </row>
    <row r="68" customFormat="false" ht="15.75" hidden="false" customHeight="true" outlineLevel="0" collapsed="false">
      <c r="A68" s="19" t="s">
        <v>58</v>
      </c>
      <c r="B68" s="7" t="n">
        <f aca="false">'SOFP-Sub-CuNonCu'!B437</f>
        <v>401922</v>
      </c>
      <c r="C68" s="7" t="n">
        <f aca="false">'SOFP-Sub-CuNonCu'!C437</f>
        <v>4271921</v>
      </c>
    </row>
    <row r="69" customFormat="false" ht="15.75" hidden="false" customHeight="true" outlineLevel="0" collapsed="false">
      <c r="A69" s="18" t="s">
        <v>51</v>
      </c>
      <c r="B69" s="9"/>
      <c r="C69" s="9"/>
    </row>
    <row r="70" customFormat="false" ht="15.75" hidden="false" customHeight="true" outlineLevel="0" collapsed="false">
      <c r="A70" s="19" t="s">
        <v>53</v>
      </c>
      <c r="B70" s="7" t="n">
        <f aca="false">'SOFP-Sub-CuNonCu'!B452</f>
        <v>0</v>
      </c>
      <c r="C70" s="7" t="n">
        <f aca="false">'SOFP-Sub-CuNonCu'!C452</f>
        <v>0</v>
      </c>
    </row>
    <row r="71" customFormat="false" ht="15.75" hidden="false" customHeight="true" outlineLevel="0" collapsed="false">
      <c r="A71" s="18" t="s">
        <v>59</v>
      </c>
      <c r="B71" s="9"/>
      <c r="C71" s="9"/>
    </row>
    <row r="72" customFormat="false" ht="16.5" hidden="false" customHeight="true" outlineLevel="0" collapsed="false">
      <c r="A72" s="20" t="s">
        <v>60</v>
      </c>
      <c r="B72" s="11" t="n">
        <f aca="false">1*B63+1*B64+1*B65+1*B66+1*B67+1*B68+1*B69+1*B70+1*B71</f>
        <v>438070</v>
      </c>
      <c r="C72" s="11" t="n">
        <f aca="false">1*C63+1*C64+1*C65+1*C66+1*C67+1*C68+1*C69+1*C70+1*C71</f>
        <v>4271921</v>
      </c>
    </row>
    <row r="73" customFormat="false" ht="16.5" hidden="false" customHeight="true" outlineLevel="0" collapsed="false">
      <c r="A73" s="19" t="s">
        <v>61</v>
      </c>
      <c r="B73" s="14"/>
      <c r="C73" s="14"/>
    </row>
    <row r="74" customFormat="false" ht="15.75" hidden="false" customHeight="true" outlineLevel="0" collapsed="false">
      <c r="A74" s="21" t="s">
        <v>62</v>
      </c>
      <c r="B74" s="15" t="n">
        <f aca="false">1*B63+1*B64+1*B65+1*B66+1*B67+1*B68+1*B69+1*B70+1*B71+1*B73</f>
        <v>438070</v>
      </c>
      <c r="C74" s="15" t="n">
        <f aca="false">1*C63+1*C64+1*C65+1*C66+1*C67+1*C68+1*C69+1*C70+1*C71+1*C73</f>
        <v>4271921</v>
      </c>
    </row>
    <row r="75" customFormat="false" ht="15.75" hidden="false" customHeight="true" outlineLevel="0" collapsed="false">
      <c r="A75" s="10" t="s">
        <v>63</v>
      </c>
      <c r="B75" s="7" t="n">
        <f aca="false">1*B51+1*B52+1*B53+1*B54+1*B55+1*B56+1*B57+1*B58+1*B59+1*B60+1*B63+1*B64+1*B65+1*B66+1*B67+1*B68+1*B69+1*B70+1*B71+1*B73</f>
        <v>598474</v>
      </c>
      <c r="C75" s="7" t="n">
        <f aca="false">1*C51+1*C52+1*C53+1*C54+1*C55+1*C56+1*C57+1*C58+1*C59+1*C60+1*C63+1*C64+1*C65+1*C66+1*C67+1*C68+1*C69+1*C70+1*C71+1*C73</f>
        <v>4271921</v>
      </c>
    </row>
    <row r="76" customFormat="false" ht="16.5" hidden="false" customHeight="true" outlineLevel="0" collapsed="false">
      <c r="A76" s="16" t="s">
        <v>64</v>
      </c>
      <c r="B76" s="11" t="n">
        <f aca="false">1*B48+1*B75</f>
        <v>3141738</v>
      </c>
      <c r="C76" s="11" t="n">
        <f aca="false">1*C48+1*C75</f>
        <v>8778297</v>
      </c>
    </row>
    <row r="77" customFormat="false" ht="16.5" hidden="false" customHeight="true" outlineLevel="0" collapsed="false"/>
  </sheetData>
  <dataValidations count="1">
    <dataValidation allowBlank="true" error="Please enter a numeric value upto 2 decimal places only" errorStyle="stop" operator="between" showDropDown="false" showErrorMessage="true" showInputMessage="true" sqref="B11:C13 B18:C18 B20:C21 B27:C29 B31:C31 B34:C34 B36:C36 B42:C43 B47:C47 B51:C51 B53:C53 B57:C58 B60:C60 B64:C64 B67:C67 B69:C69 B71:C71 B73:C73" type="decimal">
      <formula1>-999999999999999</formula1>
      <formula2>999999999999999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53"/>
  <sheetViews>
    <sheetView showFormulas="false" showGridLines="true" showRowColHeaders="true" showZeros="true" rightToLeft="false" tabSelected="true" showOutlineSymbols="true" defaultGridColor="true" view="normal" topLeftCell="A437" colorId="64" zoomScale="100" zoomScaleNormal="100" zoomScalePageLayoutView="100" workbookViewId="0">
      <selection pane="topLeft" activeCell="E455" activeCellId="0" sqref="E455"/>
    </sheetView>
  </sheetViews>
  <sheetFormatPr defaultColWidth="10.4921875" defaultRowHeight="15.75" customHeight="false" zeroHeight="false" outlineLevelRow="0" outlineLevelCol="0"/>
  <cols>
    <col collapsed="false" customWidth="true" hidden="false" outlineLevel="0" max="1" min="1" style="1" width="46.16"/>
    <col collapsed="false" customWidth="true" hidden="false" outlineLevel="0" max="2" min="2" style="1" width="35.16"/>
    <col collapsed="false" customWidth="true" hidden="false" outlineLevel="0" max="3" min="3" style="1" width="31.83"/>
  </cols>
  <sheetData>
    <row r="1" customFormat="false" ht="15.75" hidden="false" customHeight="true" outlineLevel="0" collapsed="false">
      <c r="A1" s="22"/>
      <c r="B1" s="23" t="s">
        <v>0</v>
      </c>
      <c r="C1" s="23" t="s">
        <v>1</v>
      </c>
    </row>
    <row r="2" customFormat="false" ht="15.75" hidden="false" customHeight="true" outlineLevel="0" collapsed="false">
      <c r="A2" s="22"/>
      <c r="B2" s="23" t="s">
        <v>2</v>
      </c>
      <c r="C2" s="23" t="s">
        <v>2</v>
      </c>
    </row>
    <row r="3" customFormat="false" ht="15.75" hidden="false" customHeight="true" outlineLevel="0" collapsed="false">
      <c r="A3" s="24"/>
      <c r="B3" s="25"/>
      <c r="C3" s="25"/>
    </row>
    <row r="4" customFormat="false" ht="27.75" hidden="false" customHeight="true" outlineLevel="0" collapsed="false">
      <c r="A4" s="2" t="s">
        <v>65</v>
      </c>
      <c r="B4" s="2"/>
      <c r="C4" s="2"/>
    </row>
    <row r="5" customFormat="false" ht="27.75" hidden="false" customHeight="true" outlineLevel="0" collapsed="false">
      <c r="A5" s="3" t="s">
        <v>65</v>
      </c>
      <c r="B5" s="2"/>
      <c r="C5" s="2"/>
    </row>
    <row r="6" customFormat="false" ht="27.75" hidden="false" customHeight="true" outlineLevel="0" collapsed="false">
      <c r="A6" s="4" t="s">
        <v>66</v>
      </c>
      <c r="B6" s="2"/>
      <c r="C6" s="2"/>
    </row>
    <row r="7" customFormat="false" ht="15.75" hidden="false" customHeight="true" outlineLevel="0" collapsed="false">
      <c r="A7" s="5" t="s">
        <v>67</v>
      </c>
      <c r="B7" s="2"/>
      <c r="C7" s="2"/>
    </row>
    <row r="8" customFormat="false" ht="15.75" hidden="false" customHeight="true" outlineLevel="0" collapsed="false">
      <c r="A8" s="17" t="s">
        <v>68</v>
      </c>
      <c r="B8" s="2"/>
      <c r="C8" s="2"/>
    </row>
    <row r="9" customFormat="false" ht="15.75" hidden="false" customHeight="true" outlineLevel="0" collapsed="false">
      <c r="A9" s="26" t="s">
        <v>69</v>
      </c>
      <c r="B9" s="2"/>
      <c r="C9" s="2"/>
    </row>
    <row r="10" customFormat="false" ht="15.75" hidden="false" customHeight="true" outlineLevel="0" collapsed="false">
      <c r="A10" s="27" t="s">
        <v>70</v>
      </c>
      <c r="B10" s="9"/>
      <c r="C10" s="9"/>
    </row>
    <row r="11" customFormat="false" ht="15.75" hidden="false" customHeight="true" outlineLevel="0" collapsed="false">
      <c r="A11" s="27" t="s">
        <v>71</v>
      </c>
      <c r="B11" s="9"/>
      <c r="C11" s="9"/>
    </row>
    <row r="12" customFormat="false" ht="15.75" hidden="false" customHeight="true" outlineLevel="0" collapsed="false">
      <c r="A12" s="27" t="s">
        <v>72</v>
      </c>
      <c r="B12" s="9"/>
      <c r="C12" s="9"/>
    </row>
    <row r="13" customFormat="false" ht="15.75" hidden="false" customHeight="true" outlineLevel="0" collapsed="false">
      <c r="A13" s="28" t="s">
        <v>73</v>
      </c>
      <c r="B13" s="7" t="n">
        <f aca="false">1*B10+1*B11+1*B12</f>
        <v>0</v>
      </c>
      <c r="C13" s="7" t="n">
        <f aca="false">1*C10+1*C11+1*C12</f>
        <v>0</v>
      </c>
    </row>
    <row r="14" customFormat="false" ht="15.75" hidden="false" customHeight="true" outlineLevel="0" collapsed="false">
      <c r="A14" s="26" t="s">
        <v>74</v>
      </c>
      <c r="B14" s="2"/>
      <c r="C14" s="2"/>
    </row>
    <row r="15" customFormat="false" ht="15.75" hidden="false" customHeight="true" outlineLevel="0" collapsed="false">
      <c r="A15" s="27" t="s">
        <v>75</v>
      </c>
      <c r="B15" s="9"/>
      <c r="C15" s="9"/>
    </row>
    <row r="16" customFormat="false" ht="15.75" hidden="false" customHeight="true" outlineLevel="0" collapsed="false">
      <c r="A16" s="27" t="s">
        <v>76</v>
      </c>
      <c r="B16" s="9"/>
      <c r="C16" s="9"/>
    </row>
    <row r="17" customFormat="false" ht="15.75" hidden="false" customHeight="true" outlineLevel="0" collapsed="false">
      <c r="A17" s="27" t="s">
        <v>77</v>
      </c>
      <c r="B17" s="9"/>
      <c r="C17" s="9"/>
    </row>
    <row r="18" customFormat="false" ht="15.75" hidden="false" customHeight="true" outlineLevel="0" collapsed="false">
      <c r="A18" s="27" t="s">
        <v>78</v>
      </c>
      <c r="B18" s="9"/>
      <c r="C18" s="9"/>
    </row>
    <row r="19" customFormat="false" ht="15.75" hidden="false" customHeight="true" outlineLevel="0" collapsed="false">
      <c r="A19" s="28" t="s">
        <v>79</v>
      </c>
      <c r="B19" s="7" t="n">
        <f aca="false">1*B15+1*B16+1*B17+1*B18</f>
        <v>0</v>
      </c>
      <c r="C19" s="7" t="n">
        <f aca="false">1*C15+1*C16+1*C17+1*C18</f>
        <v>0</v>
      </c>
    </row>
    <row r="20" customFormat="false" ht="15.75" hidden="false" customHeight="true" outlineLevel="0" collapsed="false">
      <c r="A20" s="20" t="s">
        <v>80</v>
      </c>
      <c r="B20" s="7" t="n">
        <f aca="false">1*B13+1*B19</f>
        <v>0</v>
      </c>
      <c r="C20" s="7" t="n">
        <f aca="false">1*C13+1*C19</f>
        <v>0</v>
      </c>
    </row>
    <row r="21" customFormat="false" ht="15.75" hidden="false" customHeight="true" outlineLevel="0" collapsed="false">
      <c r="A21" s="17" t="s">
        <v>81</v>
      </c>
      <c r="B21" s="2"/>
      <c r="C21" s="2"/>
    </row>
    <row r="22" customFormat="false" ht="15.75" hidden="false" customHeight="true" outlineLevel="0" collapsed="false">
      <c r="A22" s="18" t="s">
        <v>82</v>
      </c>
      <c r="B22" s="9"/>
      <c r="C22" s="9"/>
    </row>
    <row r="23" customFormat="false" ht="15.75" hidden="false" customHeight="true" outlineLevel="0" collapsed="false">
      <c r="A23" s="18" t="s">
        <v>83</v>
      </c>
      <c r="B23" s="9"/>
      <c r="C23" s="9"/>
    </row>
    <row r="24" customFormat="false" ht="15.75" hidden="false" customHeight="true" outlineLevel="0" collapsed="false">
      <c r="A24" s="18" t="s">
        <v>84</v>
      </c>
      <c r="B24" s="9"/>
      <c r="C24" s="9"/>
    </row>
    <row r="25" customFormat="false" ht="15.75" hidden="false" customHeight="true" outlineLevel="0" collapsed="false">
      <c r="A25" s="18" t="s">
        <v>85</v>
      </c>
      <c r="B25" s="9"/>
      <c r="C25" s="9"/>
    </row>
    <row r="26" customFormat="false" ht="15.75" hidden="false" customHeight="true" outlineLevel="0" collapsed="false">
      <c r="A26" s="20" t="s">
        <v>86</v>
      </c>
      <c r="B26" s="7" t="n">
        <f aca="false">1*B22+1*B23+1*B24+1*B25</f>
        <v>0</v>
      </c>
      <c r="C26" s="7" t="n">
        <f aca="false">1*C22+1*C23+1*C24+1*C25</f>
        <v>0</v>
      </c>
    </row>
    <row r="27" customFormat="false" ht="15.75" hidden="false" customHeight="true" outlineLevel="0" collapsed="false">
      <c r="A27" s="8" t="s">
        <v>87</v>
      </c>
      <c r="B27" s="9"/>
      <c r="C27" s="9"/>
    </row>
    <row r="28" customFormat="false" ht="15.75" hidden="false" customHeight="true" outlineLevel="0" collapsed="false">
      <c r="A28" s="8" t="s">
        <v>88</v>
      </c>
      <c r="B28" s="9"/>
      <c r="C28" s="9"/>
    </row>
    <row r="29" customFormat="false" ht="15.75" hidden="false" customHeight="true" outlineLevel="0" collapsed="false">
      <c r="A29" s="8" t="s">
        <v>89</v>
      </c>
      <c r="B29" s="9" t="n">
        <v>7541</v>
      </c>
      <c r="C29" s="9" t="n">
        <v>0</v>
      </c>
    </row>
    <row r="30" customFormat="false" ht="15.75" hidden="false" customHeight="true" outlineLevel="0" collapsed="false">
      <c r="A30" s="8" t="s">
        <v>90</v>
      </c>
      <c r="B30" s="9"/>
      <c r="C30" s="9"/>
    </row>
    <row r="31" customFormat="false" ht="15.75" hidden="false" customHeight="true" outlineLevel="0" collapsed="false">
      <c r="A31" s="8" t="s">
        <v>91</v>
      </c>
      <c r="B31" s="9"/>
      <c r="C31" s="9"/>
    </row>
    <row r="32" customFormat="false" ht="15.75" hidden="false" customHeight="true" outlineLevel="0" collapsed="false">
      <c r="A32" s="8" t="s">
        <v>92</v>
      </c>
      <c r="B32" s="9"/>
      <c r="C32" s="9"/>
    </row>
    <row r="33" customFormat="false" ht="15.75" hidden="false" customHeight="true" outlineLevel="0" collapsed="false">
      <c r="A33" s="8" t="s">
        <v>93</v>
      </c>
      <c r="B33" s="9"/>
      <c r="C33" s="9"/>
    </row>
    <row r="34" customFormat="false" ht="15.75" hidden="false" customHeight="true" outlineLevel="0" collapsed="false">
      <c r="A34" s="8" t="s">
        <v>94</v>
      </c>
      <c r="B34" s="9"/>
      <c r="C34" s="9"/>
    </row>
    <row r="35" customFormat="false" ht="15.75" hidden="false" customHeight="true" outlineLevel="0" collapsed="false">
      <c r="A35" s="8" t="s">
        <v>95</v>
      </c>
      <c r="B35" s="9"/>
      <c r="C35" s="9"/>
    </row>
    <row r="36" customFormat="false" ht="15.75" hidden="false" customHeight="true" outlineLevel="0" collapsed="false">
      <c r="A36" s="8" t="s">
        <v>96</v>
      </c>
      <c r="B36" s="9"/>
      <c r="C36" s="9"/>
    </row>
    <row r="37" customFormat="false" ht="27.75" hidden="false" customHeight="true" outlineLevel="0" collapsed="false">
      <c r="A37" s="8" t="s">
        <v>97</v>
      </c>
      <c r="B37" s="9"/>
      <c r="C37" s="9"/>
    </row>
    <row r="38" customFormat="false" ht="15.75" hidden="false" customHeight="true" outlineLevel="0" collapsed="false">
      <c r="A38" s="8" t="s">
        <v>98</v>
      </c>
      <c r="B38" s="9"/>
      <c r="C38" s="9"/>
    </row>
    <row r="39" customFormat="false" ht="16.5" hidden="false" customHeight="true" outlineLevel="0" collapsed="false">
      <c r="A39" s="10" t="s">
        <v>99</v>
      </c>
      <c r="B39" s="11" t="n">
        <f aca="false">1*B20+1*B26+1*B27+1*B28+1*B29+1*B30+1*B31+1*B32+1*B33+1*B34+1*B35+1*B36+1*B37+1*B38</f>
        <v>7541</v>
      </c>
      <c r="C39" s="11" t="n">
        <f aca="false">1*C20+1*C26+1*C27+1*C28+1*C29+1*C30+1*C31+1*C32+1*C33+1*C34+1*C35+1*C36+1*C37+1*C38</f>
        <v>0</v>
      </c>
    </row>
    <row r="40" customFormat="false" ht="16.5" hidden="false" customHeight="true" outlineLevel="0" collapsed="false">
      <c r="A40" s="5" t="s">
        <v>100</v>
      </c>
      <c r="B40" s="12"/>
      <c r="C40" s="12"/>
    </row>
    <row r="41" customFormat="false" ht="27.75" hidden="false" customHeight="true" outlineLevel="0" collapsed="false">
      <c r="A41" s="17" t="s">
        <v>101</v>
      </c>
      <c r="B41" s="2"/>
      <c r="C41" s="2"/>
    </row>
    <row r="42" customFormat="false" ht="15.75" hidden="false" customHeight="true" outlineLevel="0" collapsed="false">
      <c r="A42" s="18" t="s">
        <v>102</v>
      </c>
      <c r="B42" s="9"/>
      <c r="C42" s="9"/>
    </row>
    <row r="43" customFormat="false" ht="15.75" hidden="false" customHeight="true" outlineLevel="0" collapsed="false">
      <c r="A43" s="18" t="s">
        <v>103</v>
      </c>
      <c r="B43" s="9"/>
      <c r="C43" s="9"/>
    </row>
    <row r="44" customFormat="false" ht="27.75" hidden="false" customHeight="true" outlineLevel="0" collapsed="false">
      <c r="A44" s="20" t="s">
        <v>104</v>
      </c>
      <c r="B44" s="7" t="n">
        <f aca="false">1*B42+1*B43</f>
        <v>0</v>
      </c>
      <c r="C44" s="7" t="n">
        <f aca="false">1*C42+1*C43</f>
        <v>0</v>
      </c>
    </row>
    <row r="45" customFormat="false" ht="27.75" hidden="false" customHeight="true" outlineLevel="0" collapsed="false">
      <c r="A45" s="17" t="s">
        <v>105</v>
      </c>
      <c r="B45" s="2"/>
      <c r="C45" s="2"/>
    </row>
    <row r="46" customFormat="false" ht="15.75" hidden="false" customHeight="true" outlineLevel="0" collapsed="false">
      <c r="A46" s="18" t="s">
        <v>106</v>
      </c>
      <c r="B46" s="9"/>
      <c r="C46" s="9"/>
    </row>
    <row r="47" customFormat="false" ht="42" hidden="false" customHeight="true" outlineLevel="0" collapsed="false">
      <c r="A47" s="20" t="s">
        <v>107</v>
      </c>
      <c r="B47" s="7" t="n">
        <f aca="false">1*B46</f>
        <v>0</v>
      </c>
      <c r="C47" s="7" t="n">
        <f aca="false">1*C46</f>
        <v>0</v>
      </c>
    </row>
    <row r="48" customFormat="false" ht="15.75" hidden="false" customHeight="true" outlineLevel="0" collapsed="false">
      <c r="A48" s="8" t="s">
        <v>108</v>
      </c>
      <c r="B48" s="9"/>
      <c r="C48" s="9"/>
    </row>
    <row r="49" customFormat="false" ht="16.5" hidden="false" customHeight="true" outlineLevel="0" collapsed="false">
      <c r="A49" s="10" t="s">
        <v>109</v>
      </c>
      <c r="B49" s="11" t="n">
        <f aca="false">1*B44+1*B47+1*B48</f>
        <v>0</v>
      </c>
      <c r="C49" s="11" t="n">
        <f aca="false">1*C44+1*C47+1*C48</f>
        <v>0</v>
      </c>
    </row>
    <row r="50" customFormat="false" ht="16.5" hidden="false" customHeight="true" outlineLevel="0" collapsed="false">
      <c r="A50" s="5" t="s">
        <v>8</v>
      </c>
      <c r="B50" s="12"/>
      <c r="C50" s="12"/>
    </row>
    <row r="51" customFormat="false" ht="15.75" hidden="false" customHeight="true" outlineLevel="0" collapsed="false">
      <c r="A51" s="8" t="s">
        <v>110</v>
      </c>
      <c r="B51" s="9"/>
      <c r="C51" s="9"/>
    </row>
    <row r="52" customFormat="false" ht="15.75" hidden="false" customHeight="true" outlineLevel="0" collapsed="false">
      <c r="A52" s="8" t="s">
        <v>111</v>
      </c>
      <c r="B52" s="9"/>
      <c r="C52" s="9"/>
    </row>
    <row r="53" customFormat="false" ht="16.5" hidden="false" customHeight="true" outlineLevel="0" collapsed="false">
      <c r="A53" s="13" t="s">
        <v>112</v>
      </c>
      <c r="B53" s="11" t="n">
        <f aca="false">1*B51+1*B52</f>
        <v>0</v>
      </c>
      <c r="C53" s="11" t="n">
        <f aca="false">1*C51+1*C52</f>
        <v>0</v>
      </c>
    </row>
    <row r="54" customFormat="false" ht="16.5" hidden="false" customHeight="true" outlineLevel="0" collapsed="false">
      <c r="A54" s="5" t="s">
        <v>113</v>
      </c>
      <c r="B54" s="12"/>
      <c r="C54" s="12"/>
    </row>
    <row r="55" customFormat="false" ht="15.75" hidden="false" customHeight="true" outlineLevel="0" collapsed="false">
      <c r="A55" s="17" t="s">
        <v>114</v>
      </c>
      <c r="B55" s="2"/>
      <c r="C55" s="2"/>
    </row>
    <row r="56" customFormat="false" ht="15.75" hidden="false" customHeight="true" outlineLevel="0" collapsed="false">
      <c r="A56" s="18" t="s">
        <v>115</v>
      </c>
      <c r="B56" s="9"/>
      <c r="C56" s="9"/>
    </row>
    <row r="57" customFormat="false" ht="15.75" hidden="false" customHeight="true" outlineLevel="0" collapsed="false">
      <c r="A57" s="18" t="s">
        <v>116</v>
      </c>
      <c r="B57" s="9"/>
      <c r="C57" s="9"/>
    </row>
    <row r="58" customFormat="false" ht="15.75" hidden="false" customHeight="true" outlineLevel="0" collapsed="false">
      <c r="A58" s="18" t="s">
        <v>117</v>
      </c>
      <c r="B58" s="9"/>
      <c r="C58" s="9"/>
    </row>
    <row r="59" customFormat="false" ht="42" hidden="false" customHeight="true" outlineLevel="0" collapsed="false">
      <c r="A59" s="18" t="s">
        <v>118</v>
      </c>
      <c r="B59" s="9"/>
      <c r="C59" s="9"/>
    </row>
    <row r="60" customFormat="false" ht="15.75" hidden="false" customHeight="true" outlineLevel="0" collapsed="false">
      <c r="A60" s="18" t="s">
        <v>119</v>
      </c>
      <c r="B60" s="9"/>
      <c r="C60" s="9"/>
    </row>
    <row r="61" customFormat="false" ht="27.75" hidden="false" customHeight="true" outlineLevel="0" collapsed="false">
      <c r="A61" s="18" t="s">
        <v>120</v>
      </c>
      <c r="B61" s="9"/>
      <c r="C61" s="9"/>
    </row>
    <row r="62" customFormat="false" ht="15.75" hidden="false" customHeight="true" outlineLevel="0" collapsed="false">
      <c r="A62" s="18" t="s">
        <v>121</v>
      </c>
      <c r="B62" s="9"/>
      <c r="C62" s="9"/>
    </row>
    <row r="63" customFormat="false" ht="27.75" hidden="false" customHeight="true" outlineLevel="0" collapsed="false">
      <c r="A63" s="18" t="s">
        <v>122</v>
      </c>
      <c r="B63" s="9"/>
      <c r="C63" s="9"/>
    </row>
    <row r="64" customFormat="false" ht="15.75" hidden="false" customHeight="true" outlineLevel="0" collapsed="false">
      <c r="A64" s="18" t="s">
        <v>123</v>
      </c>
      <c r="B64" s="9"/>
      <c r="C64" s="9"/>
    </row>
    <row r="65" customFormat="false" ht="15.75" hidden="false" customHeight="true" outlineLevel="0" collapsed="false">
      <c r="A65" s="18" t="s">
        <v>124</v>
      </c>
      <c r="B65" s="9"/>
      <c r="C65" s="9"/>
    </row>
    <row r="66" customFormat="false" ht="15.75" hidden="false" customHeight="true" outlineLevel="0" collapsed="false">
      <c r="A66" s="18" t="s">
        <v>125</v>
      </c>
      <c r="B66" s="9"/>
      <c r="C66" s="9"/>
    </row>
    <row r="67" customFormat="false" ht="27.75" hidden="false" customHeight="true" outlineLevel="0" collapsed="false">
      <c r="A67" s="20" t="s">
        <v>126</v>
      </c>
      <c r="B67" s="7" t="n">
        <f aca="false">1*B56+1*B57+1*B58+1*B59+1*B60+1*B61+1*B62+1*B63+1*B64+1*B65+1*B66</f>
        <v>0</v>
      </c>
      <c r="C67" s="7" t="n">
        <f aca="false">1*C56+1*C57+1*C58+1*C59+1*C60+1*C61+1*C62+1*C63+1*C64+1*C65+1*C66</f>
        <v>0</v>
      </c>
    </row>
    <row r="68" customFormat="false" ht="15.75" hidden="false" customHeight="true" outlineLevel="0" collapsed="false">
      <c r="A68" s="8" t="s">
        <v>127</v>
      </c>
      <c r="B68" s="9"/>
      <c r="C68" s="9"/>
    </row>
    <row r="69" customFormat="false" ht="16.5" hidden="false" customHeight="true" outlineLevel="0" collapsed="false">
      <c r="A69" s="10" t="s">
        <v>128</v>
      </c>
      <c r="B69" s="11" t="n">
        <f aca="false">1*B67+1*B68</f>
        <v>0</v>
      </c>
      <c r="C69" s="11" t="n">
        <f aca="false">1*C67+1*C68</f>
        <v>0</v>
      </c>
    </row>
    <row r="70" customFormat="false" ht="16.5" hidden="false" customHeight="true" outlineLevel="0" collapsed="false">
      <c r="A70" s="5" t="s">
        <v>129</v>
      </c>
      <c r="B70" s="12"/>
      <c r="C70" s="12"/>
    </row>
    <row r="71" customFormat="false" ht="15.75" hidden="false" customHeight="true" outlineLevel="0" collapsed="false">
      <c r="A71" s="8" t="s">
        <v>130</v>
      </c>
      <c r="B71" s="9"/>
      <c r="C71" s="9"/>
    </row>
    <row r="72" customFormat="false" ht="15.75" hidden="false" customHeight="true" outlineLevel="0" collapsed="false">
      <c r="A72" s="8" t="s">
        <v>131</v>
      </c>
      <c r="B72" s="9"/>
      <c r="C72" s="9"/>
    </row>
    <row r="73" customFormat="false" ht="15.75" hidden="false" customHeight="true" outlineLevel="0" collapsed="false">
      <c r="A73" s="8" t="s">
        <v>132</v>
      </c>
      <c r="B73" s="9"/>
      <c r="C73" s="9"/>
    </row>
    <row r="74" customFormat="false" ht="27.75" hidden="false" customHeight="true" outlineLevel="0" collapsed="false">
      <c r="A74" s="8" t="s">
        <v>133</v>
      </c>
      <c r="B74" s="9"/>
      <c r="C74" s="9"/>
    </row>
    <row r="75" customFormat="false" ht="27.75" hidden="false" customHeight="true" outlineLevel="0" collapsed="false">
      <c r="A75" s="8" t="s">
        <v>134</v>
      </c>
      <c r="B75" s="9"/>
      <c r="C75" s="9"/>
    </row>
    <row r="76" customFormat="false" ht="15.75" hidden="false" customHeight="true" outlineLevel="0" collapsed="false">
      <c r="A76" s="8" t="s">
        <v>135</v>
      </c>
      <c r="B76" s="9"/>
      <c r="C76" s="9"/>
    </row>
    <row r="77" customFormat="false" ht="16.5" hidden="false" customHeight="true" outlineLevel="0" collapsed="false">
      <c r="A77" s="10" t="s">
        <v>136</v>
      </c>
      <c r="B77" s="11" t="n">
        <f aca="false">1*B71+1*B72+1*B73+1*B74+1*B75+1*B76</f>
        <v>0</v>
      </c>
      <c r="C77" s="11" t="n">
        <f aca="false">1*C71+1*C72+1*C73+1*C74+1*C75+1*C76</f>
        <v>0</v>
      </c>
    </row>
    <row r="78" customFormat="false" ht="16.5" hidden="false" customHeight="true" outlineLevel="0" collapsed="false">
      <c r="A78" s="5" t="s">
        <v>137</v>
      </c>
      <c r="B78" s="12"/>
      <c r="C78" s="12"/>
    </row>
    <row r="79" customFormat="false" ht="15.75" hidden="false" customHeight="true" outlineLevel="0" collapsed="false">
      <c r="A79" s="8" t="s">
        <v>130</v>
      </c>
      <c r="B79" s="9"/>
      <c r="C79" s="9"/>
    </row>
    <row r="80" customFormat="false" ht="15.75" hidden="false" customHeight="true" outlineLevel="0" collapsed="false">
      <c r="A80" s="8" t="s">
        <v>131</v>
      </c>
      <c r="B80" s="9"/>
      <c r="C80" s="9"/>
    </row>
    <row r="81" customFormat="false" ht="15.75" hidden="false" customHeight="true" outlineLevel="0" collapsed="false">
      <c r="A81" s="8" t="s">
        <v>132</v>
      </c>
      <c r="B81" s="9"/>
      <c r="C81" s="9"/>
    </row>
    <row r="82" customFormat="false" ht="27.75" hidden="false" customHeight="true" outlineLevel="0" collapsed="false">
      <c r="A82" s="8" t="s">
        <v>133</v>
      </c>
      <c r="B82" s="9"/>
      <c r="C82" s="9"/>
    </row>
    <row r="83" customFormat="false" ht="27.75" hidden="false" customHeight="true" outlineLevel="0" collapsed="false">
      <c r="A83" s="8" t="s">
        <v>138</v>
      </c>
      <c r="B83" s="9"/>
      <c r="C83" s="9"/>
    </row>
    <row r="84" customFormat="false" ht="27.75" hidden="false" customHeight="true" outlineLevel="0" collapsed="false">
      <c r="A84" s="8" t="s">
        <v>139</v>
      </c>
      <c r="B84" s="9"/>
      <c r="C84" s="9"/>
    </row>
    <row r="85" customFormat="false" ht="15.75" hidden="false" customHeight="true" outlineLevel="0" collapsed="false">
      <c r="A85" s="8" t="s">
        <v>140</v>
      </c>
      <c r="B85" s="9"/>
      <c r="C85" s="9"/>
    </row>
    <row r="86" customFormat="false" ht="16.5" hidden="false" customHeight="true" outlineLevel="0" collapsed="false">
      <c r="A86" s="10" t="s">
        <v>141</v>
      </c>
      <c r="B86" s="11" t="n">
        <f aca="false">1*B79+1*B80+1*B81+1*B82+1*B83+1*B84+1*B85</f>
        <v>0</v>
      </c>
      <c r="C86" s="11" t="n">
        <f aca="false">1*C79+1*C80+1*C81+1*C82+1*C83+1*C84+1*C85</f>
        <v>0</v>
      </c>
    </row>
    <row r="87" customFormat="false" ht="16.5" hidden="false" customHeight="true" outlineLevel="0" collapsed="false">
      <c r="A87" s="5" t="s">
        <v>142</v>
      </c>
      <c r="B87" s="12"/>
      <c r="C87" s="12"/>
    </row>
    <row r="88" customFormat="false" ht="15.75" hidden="false" customHeight="true" outlineLevel="0" collapsed="false">
      <c r="A88" s="8" t="s">
        <v>130</v>
      </c>
      <c r="B88" s="9"/>
      <c r="C88" s="9"/>
    </row>
    <row r="89" customFormat="false" ht="15.75" hidden="false" customHeight="true" outlineLevel="0" collapsed="false">
      <c r="A89" s="8" t="s">
        <v>131</v>
      </c>
      <c r="B89" s="9"/>
      <c r="C89" s="9"/>
    </row>
    <row r="90" customFormat="false" ht="15.75" hidden="false" customHeight="true" outlineLevel="0" collapsed="false">
      <c r="A90" s="8" t="s">
        <v>132</v>
      </c>
      <c r="B90" s="9"/>
      <c r="C90" s="9"/>
    </row>
    <row r="91" customFormat="false" ht="27.75" hidden="false" customHeight="true" outlineLevel="0" collapsed="false">
      <c r="A91" s="8" t="s">
        <v>133</v>
      </c>
      <c r="B91" s="9"/>
      <c r="C91" s="9"/>
    </row>
    <row r="92" customFormat="false" ht="27.75" hidden="false" customHeight="true" outlineLevel="0" collapsed="false">
      <c r="A92" s="8" t="s">
        <v>138</v>
      </c>
      <c r="B92" s="9"/>
      <c r="C92" s="9"/>
    </row>
    <row r="93" customFormat="false" ht="27.75" hidden="false" customHeight="true" outlineLevel="0" collapsed="false">
      <c r="A93" s="8" t="s">
        <v>143</v>
      </c>
      <c r="B93" s="9"/>
      <c r="C93" s="9"/>
    </row>
    <row r="94" customFormat="false" ht="15.75" hidden="false" customHeight="true" outlineLevel="0" collapsed="false">
      <c r="A94" s="8" t="s">
        <v>144</v>
      </c>
      <c r="B94" s="9"/>
      <c r="C94" s="9"/>
    </row>
    <row r="95" customFormat="false" ht="16.5" hidden="false" customHeight="true" outlineLevel="0" collapsed="false">
      <c r="A95" s="10" t="s">
        <v>145</v>
      </c>
      <c r="B95" s="11" t="n">
        <f aca="false">1*B88+1*B89+1*B90+1*B91+1*B92+1*B93+1*B94</f>
        <v>0</v>
      </c>
      <c r="C95" s="11" t="n">
        <f aca="false">1*C88+1*C89+1*C90+1*C91+1*C92+1*C93+1*C94</f>
        <v>0</v>
      </c>
    </row>
    <row r="96" customFormat="false" ht="16.5" hidden="false" customHeight="true" outlineLevel="0" collapsed="false">
      <c r="A96" s="5" t="s">
        <v>146</v>
      </c>
      <c r="B96" s="12"/>
      <c r="C96" s="12"/>
    </row>
    <row r="97" customFormat="false" ht="15.75" hidden="false" customHeight="true" outlineLevel="0" collapsed="false">
      <c r="A97" s="17" t="s">
        <v>147</v>
      </c>
      <c r="B97" s="2"/>
      <c r="C97" s="2"/>
    </row>
    <row r="98" customFormat="false" ht="15.75" hidden="false" customHeight="true" outlineLevel="0" collapsed="false">
      <c r="A98" s="18" t="s">
        <v>148</v>
      </c>
      <c r="B98" s="9"/>
      <c r="C98" s="9"/>
    </row>
    <row r="99" customFormat="false" ht="27.75" hidden="false" customHeight="true" outlineLevel="0" collapsed="false">
      <c r="A99" s="18" t="s">
        <v>149</v>
      </c>
      <c r="B99" s="9"/>
      <c r="C99" s="9"/>
    </row>
    <row r="100" customFormat="false" ht="15.75" hidden="false" customHeight="true" outlineLevel="0" collapsed="false">
      <c r="A100" s="18" t="s">
        <v>150</v>
      </c>
      <c r="B100" s="9"/>
      <c r="C100" s="9"/>
    </row>
    <row r="101" customFormat="false" ht="15.75" hidden="false" customHeight="true" outlineLevel="0" collapsed="false">
      <c r="A101" s="18" t="s">
        <v>151</v>
      </c>
      <c r="B101" s="9"/>
      <c r="C101" s="9"/>
    </row>
    <row r="102" customFormat="false" ht="27.75" hidden="false" customHeight="true" outlineLevel="0" collapsed="false">
      <c r="A102" s="18" t="s">
        <v>152</v>
      </c>
      <c r="B102" s="9"/>
      <c r="C102" s="9"/>
    </row>
    <row r="103" customFormat="false" ht="27.75" hidden="false" customHeight="true" outlineLevel="0" collapsed="false">
      <c r="A103" s="18" t="s">
        <v>153</v>
      </c>
      <c r="B103" s="9"/>
      <c r="C103" s="9"/>
    </row>
    <row r="104" customFormat="false" ht="15.75" hidden="false" customHeight="true" outlineLevel="0" collapsed="false">
      <c r="A104" s="18" t="s">
        <v>154</v>
      </c>
      <c r="B104" s="9"/>
      <c r="C104" s="9"/>
    </row>
    <row r="105" customFormat="false" ht="15.75" hidden="false" customHeight="true" outlineLevel="0" collapsed="false">
      <c r="A105" s="20" t="s">
        <v>155</v>
      </c>
      <c r="B105" s="7" t="n">
        <f aca="false">1*B98+1*B99+1*B100+1*B101+1*B102+1*B103+1*B104</f>
        <v>0</v>
      </c>
      <c r="C105" s="7" t="n">
        <f aca="false">1*C98+1*C99+1*C100+1*C101+1*C102+1*C103+1*C104</f>
        <v>0</v>
      </c>
    </row>
    <row r="106" customFormat="false" ht="15.75" hidden="false" customHeight="true" outlineLevel="0" collapsed="false">
      <c r="A106" s="17" t="s">
        <v>156</v>
      </c>
      <c r="B106" s="2"/>
      <c r="C106" s="2"/>
    </row>
    <row r="107" customFormat="false" ht="27.75" hidden="false" customHeight="true" outlineLevel="0" collapsed="false">
      <c r="A107" s="26" t="s">
        <v>157</v>
      </c>
      <c r="B107" s="2"/>
      <c r="C107" s="2"/>
    </row>
    <row r="108" customFormat="false" ht="27.75" hidden="false" customHeight="true" outlineLevel="0" collapsed="false">
      <c r="A108" s="27" t="s">
        <v>158</v>
      </c>
      <c r="B108" s="9"/>
      <c r="C108" s="9"/>
    </row>
    <row r="109" customFormat="false" ht="27.75" hidden="false" customHeight="true" outlineLevel="0" collapsed="false">
      <c r="A109" s="27" t="s">
        <v>159</v>
      </c>
      <c r="B109" s="9"/>
      <c r="C109" s="9"/>
    </row>
    <row r="110" customFormat="false" ht="15.75" hidden="false" customHeight="true" outlineLevel="0" collapsed="false">
      <c r="A110" s="27" t="s">
        <v>160</v>
      </c>
      <c r="B110" s="9"/>
      <c r="C110" s="9"/>
    </row>
    <row r="111" customFormat="false" ht="27.75" hidden="false" customHeight="true" outlineLevel="0" collapsed="false">
      <c r="A111" s="27" t="s">
        <v>161</v>
      </c>
      <c r="B111" s="9"/>
      <c r="C111" s="9"/>
    </row>
    <row r="112" customFormat="false" ht="27.75" hidden="false" customHeight="true" outlineLevel="0" collapsed="false">
      <c r="A112" s="27" t="s">
        <v>162</v>
      </c>
      <c r="B112" s="9"/>
      <c r="C112" s="9"/>
    </row>
    <row r="113" customFormat="false" ht="42" hidden="false" customHeight="true" outlineLevel="0" collapsed="false">
      <c r="A113" s="28" t="s">
        <v>163</v>
      </c>
      <c r="B113" s="7" t="n">
        <f aca="false">1*B108+1*B109+1*B110+1*B111+1*B112</f>
        <v>0</v>
      </c>
      <c r="C113" s="7" t="n">
        <f aca="false">1*C108+1*C109+1*C110+1*C111+1*C112</f>
        <v>0</v>
      </c>
    </row>
    <row r="114" customFormat="false" ht="15.75" hidden="false" customHeight="true" outlineLevel="0" collapsed="false">
      <c r="A114" s="26" t="s">
        <v>164</v>
      </c>
      <c r="B114" s="2"/>
      <c r="C114" s="2"/>
    </row>
    <row r="115" customFormat="false" ht="15.75" hidden="false" customHeight="true" outlineLevel="0" collapsed="false">
      <c r="A115" s="27" t="s">
        <v>165</v>
      </c>
      <c r="B115" s="9"/>
      <c r="C115" s="9"/>
    </row>
    <row r="116" customFormat="false" ht="15.75" hidden="false" customHeight="true" outlineLevel="0" collapsed="false">
      <c r="A116" s="27" t="s">
        <v>166</v>
      </c>
      <c r="B116" s="9"/>
      <c r="C116" s="9"/>
    </row>
    <row r="117" customFormat="false" ht="27.75" hidden="false" customHeight="true" outlineLevel="0" collapsed="false">
      <c r="A117" s="27" t="s">
        <v>167</v>
      </c>
      <c r="B117" s="9"/>
      <c r="C117" s="9"/>
    </row>
    <row r="118" customFormat="false" ht="27.75" hidden="false" customHeight="true" outlineLevel="0" collapsed="false">
      <c r="A118" s="28" t="s">
        <v>168</v>
      </c>
      <c r="B118" s="7" t="n">
        <f aca="false">1*B115+1*B116+1*B117</f>
        <v>0</v>
      </c>
      <c r="C118" s="7" t="n">
        <f aca="false">1*C115+1*C116+1*C117</f>
        <v>0</v>
      </c>
    </row>
    <row r="119" customFormat="false" ht="15.75" hidden="false" customHeight="true" outlineLevel="0" collapsed="false">
      <c r="A119" s="20" t="s">
        <v>169</v>
      </c>
      <c r="B119" s="7" t="n">
        <f aca="false">1*B113+1*B118</f>
        <v>0</v>
      </c>
      <c r="C119" s="7" t="n">
        <f aca="false">1*C113+1*C118</f>
        <v>0</v>
      </c>
    </row>
    <row r="120" customFormat="false" ht="28.5" hidden="false" customHeight="true" outlineLevel="0" collapsed="false">
      <c r="A120" s="10" t="s">
        <v>170</v>
      </c>
      <c r="B120" s="11" t="n">
        <f aca="false">1*B105+1*B119</f>
        <v>0</v>
      </c>
      <c r="C120" s="11" t="n">
        <f aca="false">1*C105+1*C119</f>
        <v>0</v>
      </c>
    </row>
    <row r="121" customFormat="false" ht="16.5" hidden="false" customHeight="true" outlineLevel="0" collapsed="false">
      <c r="A121" s="5" t="s">
        <v>171</v>
      </c>
      <c r="B121" s="12"/>
      <c r="C121" s="12"/>
    </row>
    <row r="122" customFormat="false" ht="27.75" hidden="false" customHeight="true" outlineLevel="0" collapsed="false">
      <c r="A122" s="17" t="s">
        <v>172</v>
      </c>
      <c r="B122" s="2"/>
      <c r="C122" s="2"/>
    </row>
    <row r="123" customFormat="false" ht="15.75" hidden="false" customHeight="true" outlineLevel="0" collapsed="false">
      <c r="A123" s="18" t="s">
        <v>173</v>
      </c>
      <c r="B123" s="9"/>
      <c r="C123" s="9"/>
    </row>
    <row r="124" customFormat="false" ht="15.75" hidden="false" customHeight="true" outlineLevel="0" collapsed="false">
      <c r="A124" s="18" t="s">
        <v>174</v>
      </c>
      <c r="B124" s="9"/>
      <c r="C124" s="9"/>
    </row>
    <row r="125" customFormat="false" ht="15.75" hidden="false" customHeight="true" outlineLevel="0" collapsed="false">
      <c r="A125" s="18" t="s">
        <v>175</v>
      </c>
      <c r="B125" s="9"/>
      <c r="C125" s="9"/>
    </row>
    <row r="126" customFormat="false" ht="15.75" hidden="false" customHeight="true" outlineLevel="0" collapsed="false">
      <c r="A126" s="18" t="s">
        <v>176</v>
      </c>
      <c r="B126" s="9"/>
      <c r="C126" s="9"/>
    </row>
    <row r="127" customFormat="false" ht="27.75" hidden="false" customHeight="true" outlineLevel="0" collapsed="false">
      <c r="A127" s="20" t="s">
        <v>177</v>
      </c>
      <c r="B127" s="7" t="n">
        <f aca="false">1*B123+1*B124+1*B125+1*B126</f>
        <v>0</v>
      </c>
      <c r="C127" s="7" t="n">
        <f aca="false">1*C123+1*C124+1*C125+1*C126</f>
        <v>0</v>
      </c>
    </row>
    <row r="128" customFormat="false" ht="27.75" hidden="false" customHeight="true" outlineLevel="0" collapsed="false">
      <c r="A128" s="8" t="s">
        <v>178</v>
      </c>
      <c r="B128" s="9"/>
      <c r="C128" s="9"/>
    </row>
    <row r="129" customFormat="false" ht="28.5" hidden="false" customHeight="true" outlineLevel="0" collapsed="false">
      <c r="A129" s="10" t="s">
        <v>179</v>
      </c>
      <c r="B129" s="11" t="n">
        <f aca="false">1*B127+1*B128</f>
        <v>0</v>
      </c>
      <c r="C129" s="11" t="n">
        <f aca="false">1*C127+1*C128</f>
        <v>0</v>
      </c>
    </row>
    <row r="130" customFormat="false" ht="16.5" hidden="false" customHeight="true" outlineLevel="0" collapsed="false">
      <c r="A130" s="5" t="s">
        <v>180</v>
      </c>
      <c r="B130" s="12"/>
      <c r="C130" s="12"/>
    </row>
    <row r="131" customFormat="false" ht="15.75" hidden="false" customHeight="true" outlineLevel="0" collapsed="false">
      <c r="A131" s="8" t="s">
        <v>181</v>
      </c>
      <c r="B131" s="9"/>
      <c r="C131" s="9"/>
    </row>
    <row r="132" customFormat="false" ht="15.75" hidden="false" customHeight="true" outlineLevel="0" collapsed="false">
      <c r="A132" s="8" t="s">
        <v>182</v>
      </c>
      <c r="B132" s="9"/>
      <c r="C132" s="9"/>
    </row>
    <row r="133" customFormat="false" ht="15.75" hidden="false" customHeight="true" outlineLevel="0" collapsed="false">
      <c r="A133" s="8" t="s">
        <v>183</v>
      </c>
      <c r="B133" s="9"/>
      <c r="C133" s="9"/>
    </row>
    <row r="134" customFormat="false" ht="15.75" hidden="false" customHeight="true" outlineLevel="0" collapsed="false">
      <c r="A134" s="8" t="s">
        <v>184</v>
      </c>
      <c r="B134" s="9"/>
      <c r="C134" s="9"/>
    </row>
    <row r="135" customFormat="false" ht="15.75" hidden="false" customHeight="true" outlineLevel="0" collapsed="false">
      <c r="A135" s="8" t="s">
        <v>185</v>
      </c>
      <c r="B135" s="9"/>
      <c r="C135" s="9"/>
    </row>
    <row r="136" customFormat="false" ht="16.5" hidden="false" customHeight="true" outlineLevel="0" collapsed="false">
      <c r="A136" s="10" t="s">
        <v>186</v>
      </c>
      <c r="B136" s="11" t="n">
        <f aca="false">1*B131+1*B132+1*B133+1*B134+1*B135</f>
        <v>0</v>
      </c>
      <c r="C136" s="11" t="n">
        <f aca="false">1*C131+1*C132+1*C133+1*C134+1*C135</f>
        <v>0</v>
      </c>
    </row>
    <row r="137" customFormat="false" ht="16.5" hidden="false" customHeight="true" outlineLevel="0" collapsed="false">
      <c r="A137" s="5" t="s">
        <v>187</v>
      </c>
      <c r="B137" s="12"/>
      <c r="C137" s="12"/>
    </row>
    <row r="138" customFormat="false" ht="15.75" hidden="false" customHeight="true" outlineLevel="0" collapsed="false">
      <c r="A138" s="17" t="s">
        <v>188</v>
      </c>
      <c r="B138" s="2"/>
      <c r="C138" s="2"/>
    </row>
    <row r="139" customFormat="false" ht="15.75" hidden="false" customHeight="true" outlineLevel="0" collapsed="false">
      <c r="A139" s="18" t="s">
        <v>148</v>
      </c>
      <c r="B139" s="9" t="n">
        <v>384375</v>
      </c>
      <c r="C139" s="9" t="n">
        <v>3768750</v>
      </c>
    </row>
    <row r="140" customFormat="false" ht="27.75" hidden="false" customHeight="true" outlineLevel="0" collapsed="false">
      <c r="A140" s="18" t="s">
        <v>189</v>
      </c>
      <c r="B140" s="9"/>
      <c r="C140" s="9"/>
    </row>
    <row r="141" customFormat="false" ht="27.75" hidden="false" customHeight="true" outlineLevel="0" collapsed="false">
      <c r="A141" s="18" t="s">
        <v>149</v>
      </c>
      <c r="B141" s="9"/>
      <c r="C141" s="9"/>
    </row>
    <row r="142" customFormat="false" ht="15.75" hidden="false" customHeight="true" outlineLevel="0" collapsed="false">
      <c r="A142" s="18" t="s">
        <v>150</v>
      </c>
      <c r="B142" s="9"/>
      <c r="C142" s="9"/>
    </row>
    <row r="143" customFormat="false" ht="15.75" hidden="false" customHeight="true" outlineLevel="0" collapsed="false">
      <c r="A143" s="18" t="s">
        <v>190</v>
      </c>
      <c r="B143" s="9"/>
      <c r="C143" s="9"/>
    </row>
    <row r="144" customFormat="false" ht="27.75" hidden="false" customHeight="true" outlineLevel="0" collapsed="false">
      <c r="A144" s="18" t="s">
        <v>152</v>
      </c>
      <c r="B144" s="9"/>
      <c r="C144" s="9"/>
    </row>
    <row r="145" customFormat="false" ht="27.75" hidden="false" customHeight="true" outlineLevel="0" collapsed="false">
      <c r="A145" s="18" t="s">
        <v>153</v>
      </c>
      <c r="B145" s="9"/>
      <c r="C145" s="9"/>
    </row>
    <row r="146" customFormat="false" ht="15.75" hidden="false" customHeight="true" outlineLevel="0" collapsed="false">
      <c r="A146" s="18" t="s">
        <v>191</v>
      </c>
      <c r="B146" s="9"/>
      <c r="C146" s="9"/>
    </row>
    <row r="147" customFormat="false" ht="15.75" hidden="false" customHeight="true" outlineLevel="0" collapsed="false">
      <c r="A147" s="18" t="s">
        <v>192</v>
      </c>
      <c r="B147" s="9"/>
      <c r="C147" s="9"/>
    </row>
    <row r="148" customFormat="false" ht="15.75" hidden="false" customHeight="true" outlineLevel="0" collapsed="false">
      <c r="A148" s="20" t="s">
        <v>193</v>
      </c>
      <c r="B148" s="7" t="n">
        <f aca="false">1*B139+1*B140+1*B141+1*B142+1*B143+1*B144+1*B145+1*B146+1*B147</f>
        <v>384375</v>
      </c>
      <c r="C148" s="7" t="n">
        <f aca="false">1*C139+1*C140+1*C141+1*C142+1*C143+1*C144+1*C145+1*C146+1*C147</f>
        <v>3768750</v>
      </c>
    </row>
    <row r="149" customFormat="false" ht="15.75" hidden="false" customHeight="true" outlineLevel="0" collapsed="false">
      <c r="A149" s="17" t="s">
        <v>194</v>
      </c>
      <c r="B149" s="2"/>
      <c r="C149" s="2"/>
    </row>
    <row r="150" customFormat="false" ht="27.75" hidden="false" customHeight="true" outlineLevel="0" collapsed="false">
      <c r="A150" s="26" t="s">
        <v>195</v>
      </c>
      <c r="B150" s="2"/>
      <c r="C150" s="2"/>
    </row>
    <row r="151" customFormat="false" ht="27.75" hidden="false" customHeight="true" outlineLevel="0" collapsed="false">
      <c r="A151" s="27" t="s">
        <v>158</v>
      </c>
      <c r="B151" s="9"/>
      <c r="C151" s="9"/>
    </row>
    <row r="152" customFormat="false" ht="27.75" hidden="false" customHeight="true" outlineLevel="0" collapsed="false">
      <c r="A152" s="27" t="s">
        <v>159</v>
      </c>
      <c r="B152" s="9"/>
      <c r="C152" s="9"/>
    </row>
    <row r="153" customFormat="false" ht="15.75" hidden="false" customHeight="true" outlineLevel="0" collapsed="false">
      <c r="A153" s="27" t="s">
        <v>160</v>
      </c>
      <c r="B153" s="9"/>
      <c r="C153" s="9"/>
    </row>
    <row r="154" customFormat="false" ht="27.75" hidden="false" customHeight="true" outlineLevel="0" collapsed="false">
      <c r="A154" s="27" t="s">
        <v>161</v>
      </c>
      <c r="B154" s="9"/>
      <c r="C154" s="9"/>
    </row>
    <row r="155" customFormat="false" ht="27.75" hidden="false" customHeight="true" outlineLevel="0" collapsed="false">
      <c r="A155" s="27" t="s">
        <v>196</v>
      </c>
      <c r="B155" s="9"/>
      <c r="C155" s="9"/>
    </row>
    <row r="156" customFormat="false" ht="27.75" hidden="false" customHeight="true" outlineLevel="0" collapsed="false">
      <c r="A156" s="28" t="s">
        <v>197</v>
      </c>
      <c r="B156" s="7" t="n">
        <f aca="false">1*B151+1*B152+1*B153+1*B154+1*B155</f>
        <v>0</v>
      </c>
      <c r="C156" s="7" t="n">
        <f aca="false">1*C151+1*C152+1*C153+1*C154+1*C155</f>
        <v>0</v>
      </c>
    </row>
    <row r="157" customFormat="false" ht="27.75" hidden="false" customHeight="true" outlineLevel="0" collapsed="false">
      <c r="A157" s="26" t="s">
        <v>198</v>
      </c>
      <c r="B157" s="2"/>
      <c r="C157" s="2"/>
    </row>
    <row r="158" customFormat="false" ht="15.75" hidden="false" customHeight="true" outlineLevel="0" collapsed="false">
      <c r="A158" s="27" t="s">
        <v>199</v>
      </c>
      <c r="B158" s="9"/>
      <c r="C158" s="9"/>
    </row>
    <row r="159" customFormat="false" ht="15.75" hidden="false" customHeight="true" outlineLevel="0" collapsed="false">
      <c r="A159" s="27" t="s">
        <v>165</v>
      </c>
      <c r="B159" s="9"/>
      <c r="C159" s="9"/>
    </row>
    <row r="160" customFormat="false" ht="27.75" hidden="false" customHeight="true" outlineLevel="0" collapsed="false">
      <c r="A160" s="28" t="s">
        <v>200</v>
      </c>
      <c r="B160" s="7" t="n">
        <f aca="false">1*B158+1*B159</f>
        <v>0</v>
      </c>
      <c r="C160" s="7" t="n">
        <f aca="false">1*C158+1*C159</f>
        <v>0</v>
      </c>
    </row>
    <row r="161" customFormat="false" ht="15.75" hidden="false" customHeight="true" outlineLevel="0" collapsed="false">
      <c r="A161" s="26" t="s">
        <v>201</v>
      </c>
      <c r="B161" s="2"/>
      <c r="C161" s="2"/>
    </row>
    <row r="162" customFormat="false" ht="15.75" hidden="false" customHeight="true" outlineLevel="0" collapsed="false">
      <c r="A162" s="27" t="s">
        <v>202</v>
      </c>
      <c r="B162" s="9"/>
      <c r="C162" s="9"/>
    </row>
    <row r="163" customFormat="false" ht="15.75" hidden="false" customHeight="true" outlineLevel="0" collapsed="false">
      <c r="A163" s="27" t="s">
        <v>203</v>
      </c>
      <c r="B163" s="9" t="n">
        <v>7300</v>
      </c>
      <c r="C163" s="9" t="n">
        <v>0</v>
      </c>
    </row>
    <row r="164" customFormat="false" ht="15.75" hidden="false" customHeight="true" outlineLevel="0" collapsed="false">
      <c r="A164" s="27" t="s">
        <v>204</v>
      </c>
      <c r="B164" s="9"/>
      <c r="C164" s="9"/>
    </row>
    <row r="165" customFormat="false" ht="15.75" hidden="false" customHeight="true" outlineLevel="0" collapsed="false">
      <c r="A165" s="27" t="s">
        <v>166</v>
      </c>
      <c r="B165" s="9"/>
      <c r="C165" s="9"/>
    </row>
    <row r="166" customFormat="false" ht="15.75" hidden="false" customHeight="true" outlineLevel="0" collapsed="false">
      <c r="A166" s="27" t="s">
        <v>205</v>
      </c>
      <c r="B166" s="9" t="n">
        <v>0</v>
      </c>
      <c r="C166" s="9" t="n">
        <v>5678</v>
      </c>
    </row>
    <row r="167" customFormat="false" ht="27.75" hidden="false" customHeight="true" outlineLevel="0" collapsed="false">
      <c r="A167" s="28" t="s">
        <v>206</v>
      </c>
      <c r="B167" s="7" t="n">
        <f aca="false">1*B162+1*B163+1*B164+1*B165+1*B166</f>
        <v>7300</v>
      </c>
      <c r="C167" s="7" t="n">
        <f aca="false">1*C162+1*C163+1*C164+1*C165+1*C166</f>
        <v>5678</v>
      </c>
    </row>
    <row r="168" customFormat="false" ht="15.75" hidden="false" customHeight="true" outlineLevel="0" collapsed="false">
      <c r="A168" s="20" t="s">
        <v>207</v>
      </c>
      <c r="B168" s="7" t="n">
        <f aca="false">1*B156+1*B160+1*B167</f>
        <v>7300</v>
      </c>
      <c r="C168" s="7" t="n">
        <f aca="false">1*C156+1*C160+1*C167</f>
        <v>5678</v>
      </c>
    </row>
    <row r="169" customFormat="false" ht="28.5" hidden="false" customHeight="true" outlineLevel="0" collapsed="false">
      <c r="A169" s="10" t="s">
        <v>208</v>
      </c>
      <c r="B169" s="11" t="n">
        <f aca="false">1*B148+1*B168</f>
        <v>391675</v>
      </c>
      <c r="C169" s="11" t="n">
        <f aca="false">1*C148+1*C168</f>
        <v>3774428</v>
      </c>
    </row>
    <row r="170" customFormat="false" ht="16.5" hidden="false" customHeight="true" outlineLevel="0" collapsed="false">
      <c r="A170" s="5" t="s">
        <v>209</v>
      </c>
      <c r="B170" s="12"/>
      <c r="C170" s="12"/>
    </row>
    <row r="171" customFormat="false" ht="27.75" hidden="false" customHeight="true" outlineLevel="0" collapsed="false">
      <c r="A171" s="17" t="s">
        <v>210</v>
      </c>
      <c r="B171" s="2"/>
      <c r="C171" s="2"/>
    </row>
    <row r="172" customFormat="false" ht="15.75" hidden="false" customHeight="true" outlineLevel="0" collapsed="false">
      <c r="A172" s="18" t="s">
        <v>173</v>
      </c>
      <c r="B172" s="9"/>
      <c r="C172" s="9"/>
    </row>
    <row r="173" customFormat="false" ht="15.75" hidden="false" customHeight="true" outlineLevel="0" collapsed="false">
      <c r="A173" s="18" t="s">
        <v>174</v>
      </c>
      <c r="B173" s="9"/>
      <c r="C173" s="9"/>
    </row>
    <row r="174" customFormat="false" ht="15.75" hidden="false" customHeight="true" outlineLevel="0" collapsed="false">
      <c r="A174" s="18" t="s">
        <v>175</v>
      </c>
      <c r="B174" s="9"/>
      <c r="C174" s="9"/>
    </row>
    <row r="175" customFormat="false" ht="15.75" hidden="false" customHeight="true" outlineLevel="0" collapsed="false">
      <c r="A175" s="18" t="s">
        <v>176</v>
      </c>
      <c r="B175" s="9"/>
      <c r="C175" s="9"/>
    </row>
    <row r="176" customFormat="false" ht="27.75" hidden="false" customHeight="true" outlineLevel="0" collapsed="false">
      <c r="A176" s="20" t="s">
        <v>211</v>
      </c>
      <c r="B176" s="7" t="n">
        <f aca="false">1*B172+1*B173+1*B174+1*B175</f>
        <v>0</v>
      </c>
      <c r="C176" s="7" t="n">
        <f aca="false">1*C172+1*C173+1*C174+1*C175</f>
        <v>0</v>
      </c>
    </row>
    <row r="177" customFormat="false" ht="15.75" hidden="false" customHeight="true" outlineLevel="0" collapsed="false">
      <c r="A177" s="8" t="s">
        <v>212</v>
      </c>
      <c r="B177" s="9"/>
      <c r="C177" s="9"/>
    </row>
    <row r="178" customFormat="false" ht="28.5" hidden="false" customHeight="true" outlineLevel="0" collapsed="false">
      <c r="A178" s="10" t="s">
        <v>213</v>
      </c>
      <c r="B178" s="11" t="n">
        <f aca="false">1*B176+1*B177</f>
        <v>0</v>
      </c>
      <c r="C178" s="11" t="n">
        <f aca="false">1*C176+1*C177</f>
        <v>0</v>
      </c>
    </row>
    <row r="179" customFormat="false" ht="16.5" hidden="false" customHeight="true" outlineLevel="0" collapsed="false">
      <c r="A179" s="5" t="s">
        <v>214</v>
      </c>
      <c r="B179" s="12"/>
      <c r="C179" s="12"/>
    </row>
    <row r="180" customFormat="false" ht="15.75" hidden="false" customHeight="true" outlineLevel="0" collapsed="false">
      <c r="A180" s="17" t="s">
        <v>215</v>
      </c>
      <c r="B180" s="2"/>
      <c r="C180" s="2"/>
    </row>
    <row r="181" customFormat="false" ht="15.75" hidden="false" customHeight="true" outlineLevel="0" collapsed="false">
      <c r="A181" s="18" t="s">
        <v>216</v>
      </c>
      <c r="B181" s="9"/>
      <c r="C181" s="9"/>
    </row>
    <row r="182" customFormat="false" ht="15.75" hidden="false" customHeight="true" outlineLevel="0" collapsed="false">
      <c r="A182" s="18" t="s">
        <v>217</v>
      </c>
      <c r="B182" s="9" t="n">
        <v>2551004</v>
      </c>
      <c r="C182" s="9" t="n">
        <v>5003869</v>
      </c>
    </row>
    <row r="183" customFormat="false" ht="15.75" hidden="false" customHeight="true" outlineLevel="0" collapsed="false">
      <c r="A183" s="20" t="s">
        <v>218</v>
      </c>
      <c r="B183" s="7" t="n">
        <f aca="false">1*B181+1*B182</f>
        <v>2551004</v>
      </c>
      <c r="C183" s="7" t="n">
        <f aca="false">1*C181+1*C182</f>
        <v>5003869</v>
      </c>
    </row>
    <row r="184" customFormat="false" ht="15.75" hidden="false" customHeight="true" outlineLevel="0" collapsed="false">
      <c r="A184" s="17" t="s">
        <v>219</v>
      </c>
      <c r="B184" s="2"/>
      <c r="C184" s="2"/>
    </row>
    <row r="185" customFormat="false" ht="15.75" hidden="false" customHeight="true" outlineLevel="0" collapsed="false">
      <c r="A185" s="18" t="s">
        <v>220</v>
      </c>
      <c r="B185" s="9"/>
      <c r="C185" s="9"/>
    </row>
    <row r="186" customFormat="false" ht="15.75" hidden="false" customHeight="true" outlineLevel="0" collapsed="false">
      <c r="A186" s="18" t="s">
        <v>221</v>
      </c>
      <c r="B186" s="9"/>
      <c r="C186" s="9"/>
    </row>
    <row r="187" customFormat="false" ht="27.75" hidden="false" customHeight="true" outlineLevel="0" collapsed="false">
      <c r="A187" s="18" t="s">
        <v>222</v>
      </c>
      <c r="B187" s="9"/>
      <c r="C187" s="9"/>
    </row>
    <row r="188" customFormat="false" ht="15.75" hidden="false" customHeight="true" outlineLevel="0" collapsed="false">
      <c r="A188" s="18" t="s">
        <v>223</v>
      </c>
      <c r="B188" s="9"/>
      <c r="C188" s="9"/>
    </row>
    <row r="189" customFormat="false" ht="15.75" hidden="false" customHeight="true" outlineLevel="0" collapsed="false">
      <c r="A189" s="18" t="s">
        <v>224</v>
      </c>
      <c r="B189" s="9"/>
      <c r="C189" s="9"/>
    </row>
    <row r="190" customFormat="false" ht="15.75" hidden="false" customHeight="true" outlineLevel="0" collapsed="false">
      <c r="A190" s="18" t="s">
        <v>225</v>
      </c>
      <c r="B190" s="9"/>
      <c r="C190" s="9"/>
    </row>
    <row r="191" customFormat="false" ht="15.75" hidden="false" customHeight="true" outlineLevel="0" collapsed="false">
      <c r="A191" s="20" t="s">
        <v>226</v>
      </c>
      <c r="B191" s="7" t="n">
        <f aca="false">1*B185+1*B186+1*B187+1*B188+1*B189+1*B190</f>
        <v>0</v>
      </c>
      <c r="C191" s="7" t="n">
        <f aca="false">1*C185+1*C186+1*C187+1*C188+1*C189+1*C190</f>
        <v>0</v>
      </c>
    </row>
    <row r="192" customFormat="false" ht="15.75" hidden="false" customHeight="true" outlineLevel="0" collapsed="false">
      <c r="A192" s="8" t="s">
        <v>227</v>
      </c>
      <c r="B192" s="9"/>
      <c r="C192" s="9"/>
    </row>
    <row r="193" customFormat="false" ht="16.5" hidden="false" customHeight="true" outlineLevel="0" collapsed="false">
      <c r="A193" s="10" t="s">
        <v>228</v>
      </c>
      <c r="B193" s="11" t="n">
        <f aca="false">1*B183+1*B191+1*B192</f>
        <v>2551004</v>
      </c>
      <c r="C193" s="11" t="n">
        <f aca="false">1*C183+1*C191+1*C192</f>
        <v>5003869</v>
      </c>
    </row>
    <row r="194" customFormat="false" ht="16.5" hidden="false" customHeight="true" outlineLevel="0" collapsed="false">
      <c r="A194" s="5" t="s">
        <v>229</v>
      </c>
      <c r="B194" s="12"/>
      <c r="C194" s="12"/>
    </row>
    <row r="195" customFormat="false" ht="15.75" hidden="false" customHeight="true" outlineLevel="0" collapsed="false">
      <c r="A195" s="8" t="s">
        <v>230</v>
      </c>
      <c r="B195" s="9"/>
      <c r="C195" s="9"/>
    </row>
    <row r="196" customFormat="false" ht="15.75" hidden="false" customHeight="true" outlineLevel="0" collapsed="false">
      <c r="A196" s="8" t="s">
        <v>231</v>
      </c>
      <c r="B196" s="9"/>
      <c r="C196" s="9"/>
    </row>
    <row r="197" customFormat="false" ht="15.75" hidden="false" customHeight="true" outlineLevel="0" collapsed="false">
      <c r="A197" s="8" t="s">
        <v>229</v>
      </c>
      <c r="B197" s="9"/>
      <c r="C197" s="9"/>
    </row>
    <row r="198" customFormat="false" ht="16.5" hidden="false" customHeight="true" outlineLevel="0" collapsed="false">
      <c r="A198" s="10" t="s">
        <v>232</v>
      </c>
      <c r="B198" s="11" t="n">
        <f aca="false">1*B195+1*B196+1*B197</f>
        <v>0</v>
      </c>
      <c r="C198" s="11" t="n">
        <f aca="false">1*C195+1*C196+1*C197</f>
        <v>0</v>
      </c>
    </row>
    <row r="199" customFormat="false" ht="16.5" hidden="false" customHeight="true" outlineLevel="0" collapsed="false">
      <c r="A199" s="5" t="s">
        <v>233</v>
      </c>
      <c r="B199" s="12"/>
      <c r="C199" s="12"/>
    </row>
    <row r="200" customFormat="false" ht="15.75" hidden="false" customHeight="true" outlineLevel="0" collapsed="false">
      <c r="A200" s="8" t="s">
        <v>234</v>
      </c>
      <c r="B200" s="9"/>
      <c r="C200" s="9"/>
    </row>
    <row r="201" customFormat="false" ht="27.75" hidden="false" customHeight="true" outlineLevel="0" collapsed="false">
      <c r="A201" s="8" t="s">
        <v>235</v>
      </c>
      <c r="B201" s="9"/>
      <c r="C201" s="9"/>
    </row>
    <row r="202" customFormat="false" ht="27.75" hidden="false" customHeight="true" outlineLevel="0" collapsed="false">
      <c r="A202" s="8" t="s">
        <v>236</v>
      </c>
      <c r="B202" s="9"/>
      <c r="C202" s="9"/>
    </row>
    <row r="203" customFormat="false" ht="16.5" hidden="false" customHeight="true" outlineLevel="0" collapsed="false">
      <c r="A203" s="10" t="s">
        <v>237</v>
      </c>
      <c r="B203" s="11" t="n">
        <f aca="false">1*B200+1*B201+1*B202</f>
        <v>0</v>
      </c>
      <c r="C203" s="11" t="n">
        <f aca="false">1*C200+1*C201+1*C202</f>
        <v>0</v>
      </c>
    </row>
    <row r="204" customFormat="false" ht="16.5" hidden="false" customHeight="true" outlineLevel="0" collapsed="false">
      <c r="A204" s="5" t="s">
        <v>238</v>
      </c>
      <c r="B204" s="12"/>
      <c r="C204" s="12"/>
    </row>
    <row r="205" customFormat="false" ht="15.75" hidden="false" customHeight="true" outlineLevel="0" collapsed="false">
      <c r="A205" s="17" t="s">
        <v>239</v>
      </c>
      <c r="B205" s="2"/>
      <c r="C205" s="2"/>
    </row>
    <row r="206" customFormat="false" ht="15.75" hidden="false" customHeight="true" outlineLevel="0" collapsed="false">
      <c r="A206" s="18" t="s">
        <v>240</v>
      </c>
      <c r="B206" s="9"/>
      <c r="C206" s="9"/>
    </row>
    <row r="207" customFormat="false" ht="15.75" hidden="false" customHeight="true" outlineLevel="0" collapsed="false">
      <c r="A207" s="18" t="s">
        <v>241</v>
      </c>
      <c r="B207" s="9"/>
      <c r="C207" s="9"/>
    </row>
    <row r="208" customFormat="false" ht="15.75" hidden="false" customHeight="true" outlineLevel="0" collapsed="false">
      <c r="A208" s="18" t="s">
        <v>242</v>
      </c>
      <c r="B208" s="9"/>
      <c r="C208" s="9"/>
    </row>
    <row r="209" customFormat="false" ht="15.75" hidden="false" customHeight="true" outlineLevel="0" collapsed="false">
      <c r="A209" s="18" t="s">
        <v>243</v>
      </c>
      <c r="B209" s="9"/>
      <c r="C209" s="9"/>
    </row>
    <row r="210" customFormat="false" ht="15.75" hidden="false" customHeight="true" outlineLevel="0" collapsed="false">
      <c r="A210" s="18" t="s">
        <v>244</v>
      </c>
      <c r="B210" s="9"/>
      <c r="C210" s="9"/>
    </row>
    <row r="211" customFormat="false" ht="15.75" hidden="false" customHeight="true" outlineLevel="0" collapsed="false">
      <c r="A211" s="18" t="s">
        <v>245</v>
      </c>
      <c r="B211" s="9"/>
      <c r="C211" s="9"/>
    </row>
    <row r="212" customFormat="false" ht="15.75" hidden="false" customHeight="true" outlineLevel="0" collapsed="false">
      <c r="A212" s="18" t="s">
        <v>246</v>
      </c>
      <c r="B212" s="9"/>
      <c r="C212" s="9"/>
    </row>
    <row r="213" customFormat="false" ht="15.75" hidden="false" customHeight="true" outlineLevel="0" collapsed="false">
      <c r="A213" s="18" t="s">
        <v>247</v>
      </c>
      <c r="B213" s="9"/>
      <c r="C213" s="9"/>
    </row>
    <row r="214" customFormat="false" ht="15.75" hidden="false" customHeight="true" outlineLevel="0" collapsed="false">
      <c r="A214" s="20" t="s">
        <v>248</v>
      </c>
      <c r="B214" s="7" t="n">
        <f aca="false">1*B206+1*B207+1*B208+1*B209+1*B210+1*B211+1*B213+1*B212</f>
        <v>0</v>
      </c>
      <c r="C214" s="7" t="n">
        <f aca="false">1*C206+1*C207+1*C208+1*C209+1*C210+1*C211+1*C213+1*C212</f>
        <v>0</v>
      </c>
    </row>
    <row r="215" customFormat="false" ht="15.75" hidden="false" customHeight="true" outlineLevel="0" collapsed="false">
      <c r="A215" s="17" t="s">
        <v>249</v>
      </c>
      <c r="B215" s="2"/>
      <c r="C215" s="2"/>
    </row>
    <row r="216" customFormat="false" ht="15.75" hidden="false" customHeight="true" outlineLevel="0" collapsed="false">
      <c r="A216" s="18" t="s">
        <v>250</v>
      </c>
      <c r="B216" s="9"/>
      <c r="C216" s="9"/>
    </row>
    <row r="217" customFormat="false" ht="27.75" hidden="false" customHeight="true" outlineLevel="0" collapsed="false">
      <c r="A217" s="18" t="s">
        <v>251</v>
      </c>
      <c r="B217" s="9"/>
      <c r="C217" s="9"/>
    </row>
    <row r="218" customFormat="false" ht="15.75" hidden="false" customHeight="true" outlineLevel="0" collapsed="false">
      <c r="A218" s="18" t="s">
        <v>252</v>
      </c>
      <c r="B218" s="9"/>
      <c r="C218" s="9"/>
    </row>
    <row r="219" customFormat="false" ht="15.75" hidden="false" customHeight="true" outlineLevel="0" collapsed="false">
      <c r="A219" s="18" t="s">
        <v>253</v>
      </c>
      <c r="B219" s="9"/>
      <c r="C219" s="9"/>
    </row>
    <row r="220" customFormat="false" ht="15.75" hidden="false" customHeight="true" outlineLevel="0" collapsed="false">
      <c r="A220" s="18" t="s">
        <v>254</v>
      </c>
      <c r="B220" s="9"/>
      <c r="C220" s="9"/>
    </row>
    <row r="221" customFormat="false" ht="15.75" hidden="false" customHeight="true" outlineLevel="0" collapsed="false">
      <c r="A221" s="20" t="s">
        <v>255</v>
      </c>
      <c r="B221" s="7" t="n">
        <f aca="false">1*B216+1*B217+1*B218+1*B219+1*B220</f>
        <v>0</v>
      </c>
      <c r="C221" s="7" t="n">
        <f aca="false">1*C216+1*C217+1*C218+1*C219+1*C220</f>
        <v>0</v>
      </c>
    </row>
    <row r="222" customFormat="false" ht="16.5" hidden="false" customHeight="true" outlineLevel="0" collapsed="false">
      <c r="A222" s="10" t="s">
        <v>256</v>
      </c>
      <c r="B222" s="11" t="n">
        <f aca="false">1*B214+1*B221</f>
        <v>0</v>
      </c>
      <c r="C222" s="11" t="n">
        <f aca="false">1*C214+1*C221</f>
        <v>0</v>
      </c>
    </row>
    <row r="223" customFormat="false" ht="16.5" hidden="false" customHeight="true" outlineLevel="0" collapsed="false">
      <c r="A223" s="5" t="s">
        <v>257</v>
      </c>
      <c r="B223" s="12"/>
      <c r="C223" s="12"/>
    </row>
    <row r="224" customFormat="false" ht="15.75" hidden="false" customHeight="true" outlineLevel="0" collapsed="false">
      <c r="A224" s="8" t="s">
        <v>258</v>
      </c>
      <c r="B224" s="9"/>
      <c r="C224" s="9"/>
    </row>
    <row r="225" customFormat="false" ht="42" hidden="false" customHeight="true" outlineLevel="0" collapsed="false">
      <c r="A225" s="8" t="s">
        <v>259</v>
      </c>
      <c r="B225" s="9"/>
      <c r="C225" s="9"/>
    </row>
    <row r="226" customFormat="false" ht="15.75" hidden="false" customHeight="true" outlineLevel="0" collapsed="false">
      <c r="A226" s="8" t="s">
        <v>260</v>
      </c>
      <c r="B226" s="9"/>
      <c r="C226" s="9"/>
    </row>
    <row r="227" customFormat="false" ht="15.75" hidden="false" customHeight="true" outlineLevel="0" collapsed="false">
      <c r="A227" s="8" t="s">
        <v>261</v>
      </c>
      <c r="B227" s="9"/>
      <c r="C227" s="9"/>
    </row>
    <row r="228" customFormat="false" ht="27.75" hidden="false" customHeight="true" outlineLevel="0" collapsed="false">
      <c r="A228" s="8" t="s">
        <v>262</v>
      </c>
      <c r="B228" s="9"/>
      <c r="C228" s="9"/>
    </row>
    <row r="229" customFormat="false" ht="16.5" hidden="false" customHeight="true" outlineLevel="0" collapsed="false">
      <c r="A229" s="10" t="s">
        <v>263</v>
      </c>
      <c r="B229" s="11" t="n">
        <f aca="false">1*B224+1*B225+1*B226+1*B227+1*B228</f>
        <v>0</v>
      </c>
      <c r="C229" s="11" t="n">
        <f aca="false">1*C224+1*C225+1*C226+1*C227+1*C228</f>
        <v>0</v>
      </c>
    </row>
    <row r="230" customFormat="false" ht="16.5" hidden="false" customHeight="true" outlineLevel="0" collapsed="false">
      <c r="A230" s="5" t="s">
        <v>264</v>
      </c>
      <c r="B230" s="12"/>
      <c r="C230" s="12"/>
    </row>
    <row r="231" customFormat="false" ht="27.75" hidden="false" customHeight="true" outlineLevel="0" collapsed="false">
      <c r="A231" s="17" t="s">
        <v>265</v>
      </c>
      <c r="B231" s="2"/>
      <c r="C231" s="2"/>
    </row>
    <row r="232" customFormat="false" ht="15.75" hidden="false" customHeight="true" outlineLevel="0" collapsed="false">
      <c r="A232" s="18" t="s">
        <v>266</v>
      </c>
      <c r="B232" s="9"/>
      <c r="C232" s="9"/>
    </row>
    <row r="233" customFormat="false" ht="15.75" hidden="false" customHeight="true" outlineLevel="0" collapsed="false">
      <c r="A233" s="18" t="s">
        <v>267</v>
      </c>
      <c r="B233" s="9"/>
      <c r="C233" s="9"/>
    </row>
    <row r="234" customFormat="false" ht="27.75" hidden="false" customHeight="true" outlineLevel="0" collapsed="false">
      <c r="A234" s="18" t="s">
        <v>268</v>
      </c>
      <c r="B234" s="9"/>
      <c r="C234" s="9"/>
    </row>
    <row r="235" customFormat="false" ht="15.75" hidden="false" customHeight="true" outlineLevel="0" collapsed="false">
      <c r="A235" s="18" t="s">
        <v>269</v>
      </c>
      <c r="B235" s="9"/>
      <c r="C235" s="9"/>
    </row>
    <row r="236" customFormat="false" ht="15.75" hidden="false" customHeight="true" outlineLevel="0" collapsed="false">
      <c r="A236" s="18" t="s">
        <v>270</v>
      </c>
      <c r="B236" s="9"/>
      <c r="C236" s="9"/>
    </row>
    <row r="237" customFormat="false" ht="15.75" hidden="false" customHeight="true" outlineLevel="0" collapsed="false">
      <c r="A237" s="18" t="s">
        <v>271</v>
      </c>
      <c r="B237" s="9"/>
      <c r="C237" s="9"/>
    </row>
    <row r="238" customFormat="false" ht="15.75" hidden="false" customHeight="true" outlineLevel="0" collapsed="false">
      <c r="A238" s="18" t="s">
        <v>272</v>
      </c>
      <c r="B238" s="9"/>
      <c r="C238" s="9"/>
    </row>
    <row r="239" customFormat="false" ht="27.75" hidden="false" customHeight="true" outlineLevel="0" collapsed="false">
      <c r="A239" s="20" t="s">
        <v>273</v>
      </c>
      <c r="B239" s="7" t="n">
        <f aca="false">1*B232+1*B233+1*B234+1*B235+1*B236+1*B237+1*B238</f>
        <v>0</v>
      </c>
      <c r="C239" s="7" t="n">
        <f aca="false">1*C232+1*C233+1*C234+1*C235+1*C236+1*C237+1*C238</f>
        <v>0</v>
      </c>
    </row>
    <row r="240" customFormat="false" ht="27.75" hidden="false" customHeight="true" outlineLevel="0" collapsed="false">
      <c r="A240" s="17" t="s">
        <v>274</v>
      </c>
      <c r="B240" s="2"/>
      <c r="C240" s="2"/>
    </row>
    <row r="241" customFormat="false" ht="15.75" hidden="false" customHeight="true" outlineLevel="0" collapsed="false">
      <c r="A241" s="18" t="s">
        <v>266</v>
      </c>
      <c r="B241" s="9"/>
      <c r="C241" s="9"/>
    </row>
    <row r="242" customFormat="false" ht="27.75" hidden="false" customHeight="true" outlineLevel="0" collapsed="false">
      <c r="A242" s="18" t="s">
        <v>275</v>
      </c>
      <c r="B242" s="9"/>
      <c r="C242" s="9"/>
    </row>
    <row r="243" customFormat="false" ht="15.75" hidden="false" customHeight="true" outlineLevel="0" collapsed="false">
      <c r="A243" s="18" t="s">
        <v>267</v>
      </c>
      <c r="B243" s="9"/>
      <c r="C243" s="9"/>
    </row>
    <row r="244" customFormat="false" ht="27.75" hidden="false" customHeight="true" outlineLevel="0" collapsed="false">
      <c r="A244" s="18" t="s">
        <v>268</v>
      </c>
      <c r="B244" s="9"/>
      <c r="C244" s="9"/>
    </row>
    <row r="245" customFormat="false" ht="15.75" hidden="false" customHeight="true" outlineLevel="0" collapsed="false">
      <c r="A245" s="18" t="s">
        <v>269</v>
      </c>
      <c r="B245" s="9"/>
      <c r="C245" s="9"/>
    </row>
    <row r="246" customFormat="false" ht="15.75" hidden="false" customHeight="true" outlineLevel="0" collapsed="false">
      <c r="A246" s="18" t="s">
        <v>270</v>
      </c>
      <c r="B246" s="9"/>
      <c r="C246" s="9"/>
    </row>
    <row r="247" customFormat="false" ht="15.75" hidden="false" customHeight="true" outlineLevel="0" collapsed="false">
      <c r="A247" s="18" t="s">
        <v>271</v>
      </c>
      <c r="B247" s="9"/>
      <c r="C247" s="9"/>
    </row>
    <row r="248" customFormat="false" ht="15.75" hidden="false" customHeight="true" outlineLevel="0" collapsed="false">
      <c r="A248" s="18" t="s">
        <v>276</v>
      </c>
      <c r="B248" s="9"/>
      <c r="C248" s="9"/>
    </row>
    <row r="249" customFormat="false" ht="42" hidden="false" customHeight="true" outlineLevel="0" collapsed="false">
      <c r="A249" s="20" t="s">
        <v>277</v>
      </c>
      <c r="B249" s="7" t="n">
        <f aca="false">1*B241+1*B242+1*B243+1*B244+1*B245+1*B246+1*B247+1*B248</f>
        <v>0</v>
      </c>
      <c r="C249" s="7" t="n">
        <f aca="false">1*C241+1*C242+1*C243+1*C244+1*C245+1*C246+1*C247+1*C248</f>
        <v>0</v>
      </c>
    </row>
    <row r="250" customFormat="false" ht="27.75" hidden="false" customHeight="true" outlineLevel="0" collapsed="false">
      <c r="A250" s="17" t="s">
        <v>278</v>
      </c>
      <c r="B250" s="2"/>
      <c r="C250" s="2"/>
    </row>
    <row r="251" customFormat="false" ht="15.75" hidden="false" customHeight="true" outlineLevel="0" collapsed="false">
      <c r="A251" s="18" t="s">
        <v>279</v>
      </c>
      <c r="B251" s="9"/>
      <c r="C251" s="9"/>
    </row>
    <row r="252" customFormat="false" ht="15.75" hidden="false" customHeight="true" outlineLevel="0" collapsed="false">
      <c r="A252" s="18" t="s">
        <v>270</v>
      </c>
      <c r="B252" s="9"/>
      <c r="C252" s="9"/>
    </row>
    <row r="253" customFormat="false" ht="15.75" hidden="false" customHeight="true" outlineLevel="0" collapsed="false">
      <c r="A253" s="18" t="s">
        <v>280</v>
      </c>
      <c r="B253" s="9"/>
      <c r="C253" s="9"/>
    </row>
    <row r="254" customFormat="false" ht="15.75" hidden="false" customHeight="true" outlineLevel="0" collapsed="false">
      <c r="A254" s="18" t="s">
        <v>281</v>
      </c>
      <c r="B254" s="9"/>
      <c r="C254" s="9"/>
    </row>
    <row r="255" customFormat="false" ht="15.75" hidden="false" customHeight="true" outlineLevel="0" collapsed="false">
      <c r="A255" s="18" t="s">
        <v>282</v>
      </c>
      <c r="B255" s="9"/>
      <c r="C255" s="9"/>
    </row>
    <row r="256" customFormat="false" ht="27.75" hidden="false" customHeight="true" outlineLevel="0" collapsed="false">
      <c r="A256" s="20" t="s">
        <v>283</v>
      </c>
      <c r="B256" s="7" t="n">
        <f aca="false">1*B251+1*B252+1*B253+1*B254+1*B255</f>
        <v>0</v>
      </c>
      <c r="C256" s="7" t="n">
        <f aca="false">1*C251+1*C252+1*C253+1*C254+1*C255</f>
        <v>0</v>
      </c>
    </row>
    <row r="257" customFormat="false" ht="27.75" hidden="false" customHeight="true" outlineLevel="0" collapsed="false">
      <c r="A257" s="17" t="s">
        <v>284</v>
      </c>
      <c r="B257" s="2"/>
      <c r="C257" s="2"/>
    </row>
    <row r="258" customFormat="false" ht="15.75" hidden="false" customHeight="true" outlineLevel="0" collapsed="false">
      <c r="A258" s="18" t="s">
        <v>279</v>
      </c>
      <c r="B258" s="9"/>
      <c r="C258" s="9"/>
    </row>
    <row r="259" customFormat="false" ht="15.75" hidden="false" customHeight="true" outlineLevel="0" collapsed="false">
      <c r="A259" s="18" t="s">
        <v>270</v>
      </c>
      <c r="B259" s="9"/>
      <c r="C259" s="9"/>
    </row>
    <row r="260" customFormat="false" ht="15.75" hidden="false" customHeight="true" outlineLevel="0" collapsed="false">
      <c r="A260" s="18" t="s">
        <v>280</v>
      </c>
      <c r="B260" s="9"/>
      <c r="C260" s="9"/>
    </row>
    <row r="261" customFormat="false" ht="15.75" hidden="false" customHeight="true" outlineLevel="0" collapsed="false">
      <c r="A261" s="18" t="s">
        <v>281</v>
      </c>
      <c r="B261" s="9"/>
      <c r="C261" s="9"/>
    </row>
    <row r="262" customFormat="false" ht="15.75" hidden="false" customHeight="true" outlineLevel="0" collapsed="false">
      <c r="A262" s="18" t="s">
        <v>282</v>
      </c>
      <c r="B262" s="9"/>
      <c r="C262" s="9"/>
    </row>
    <row r="263" customFormat="false" ht="42" hidden="false" customHeight="true" outlineLevel="0" collapsed="false">
      <c r="A263" s="20" t="s">
        <v>285</v>
      </c>
      <c r="B263" s="7" t="n">
        <f aca="false">1*B258+1*B259+1*B260+1*B261+1*B262</f>
        <v>0</v>
      </c>
      <c r="C263" s="7" t="n">
        <f aca="false">1*C258+1*C259+1*C260+1*C261+1*C262</f>
        <v>0</v>
      </c>
    </row>
    <row r="264" customFormat="false" ht="15.75" hidden="false" customHeight="true" outlineLevel="0" collapsed="false">
      <c r="A264" s="17" t="s">
        <v>286</v>
      </c>
      <c r="B264" s="2"/>
      <c r="C264" s="2"/>
    </row>
    <row r="265" customFormat="false" ht="15.75" hidden="false" customHeight="true" outlineLevel="0" collapsed="false">
      <c r="A265" s="18" t="s">
        <v>287</v>
      </c>
      <c r="B265" s="9"/>
      <c r="C265" s="9"/>
    </row>
    <row r="266" customFormat="false" ht="15.75" hidden="false" customHeight="true" outlineLevel="0" collapsed="false">
      <c r="A266" s="18" t="s">
        <v>288</v>
      </c>
      <c r="B266" s="9"/>
      <c r="C266" s="9"/>
    </row>
    <row r="267" customFormat="false" ht="15.75" hidden="false" customHeight="true" outlineLevel="0" collapsed="false">
      <c r="A267" s="18" t="s">
        <v>289</v>
      </c>
      <c r="B267" s="9"/>
      <c r="C267" s="9"/>
    </row>
    <row r="268" customFormat="false" ht="15.75" hidden="false" customHeight="true" outlineLevel="0" collapsed="false">
      <c r="A268" s="18" t="s">
        <v>290</v>
      </c>
      <c r="B268" s="9"/>
      <c r="C268" s="9"/>
    </row>
    <row r="269" customFormat="false" ht="15.75" hidden="false" customHeight="true" outlineLevel="0" collapsed="false">
      <c r="A269" s="18" t="s">
        <v>286</v>
      </c>
      <c r="B269" s="9"/>
      <c r="C269" s="9"/>
    </row>
    <row r="270" customFormat="false" ht="15.75" hidden="false" customHeight="true" outlineLevel="0" collapsed="false">
      <c r="A270" s="20" t="s">
        <v>291</v>
      </c>
      <c r="B270" s="7" t="n">
        <f aca="false">1*B265+1*B266+1*B267+1*B268+1*B269</f>
        <v>0</v>
      </c>
      <c r="C270" s="7" t="n">
        <f aca="false">1*C265+1*C266+1*C267+1*C268+1*C269</f>
        <v>0</v>
      </c>
    </row>
    <row r="271" customFormat="false" ht="16.5" hidden="false" customHeight="true" outlineLevel="0" collapsed="false">
      <c r="A271" s="10" t="s">
        <v>292</v>
      </c>
      <c r="B271" s="11" t="n">
        <f aca="false">1*B239+1*B249+1*B256+1*B263+1*B270</f>
        <v>0</v>
      </c>
      <c r="C271" s="11" t="n">
        <f aca="false">1*C239+1*C249+1*C256+1*C263+1*C270</f>
        <v>0</v>
      </c>
    </row>
    <row r="272" customFormat="false" ht="16.5" hidden="false" customHeight="true" outlineLevel="0" collapsed="false">
      <c r="A272" s="5" t="s">
        <v>293</v>
      </c>
      <c r="B272" s="12"/>
      <c r="C272" s="12"/>
    </row>
    <row r="273" customFormat="false" ht="15.75" hidden="false" customHeight="true" outlineLevel="0" collapsed="false">
      <c r="A273" s="8" t="s">
        <v>294</v>
      </c>
      <c r="B273" s="9"/>
      <c r="C273" s="9"/>
    </row>
    <row r="274" customFormat="false" ht="15.75" hidden="false" customHeight="true" outlineLevel="0" collapsed="false">
      <c r="A274" s="8" t="s">
        <v>295</v>
      </c>
      <c r="B274" s="9"/>
      <c r="C274" s="9"/>
    </row>
    <row r="275" customFormat="false" ht="15.75" hidden="false" customHeight="true" outlineLevel="0" collapsed="false">
      <c r="A275" s="8" t="s">
        <v>296</v>
      </c>
      <c r="B275" s="9"/>
      <c r="C275" s="9"/>
    </row>
    <row r="276" customFormat="false" ht="15.75" hidden="false" customHeight="true" outlineLevel="0" collapsed="false">
      <c r="A276" s="8" t="s">
        <v>297</v>
      </c>
      <c r="B276" s="9"/>
      <c r="C276" s="9"/>
    </row>
    <row r="277" customFormat="false" ht="15.75" hidden="false" customHeight="true" outlineLevel="0" collapsed="false">
      <c r="A277" s="8" t="s">
        <v>298</v>
      </c>
      <c r="B277" s="9"/>
      <c r="C277" s="9"/>
    </row>
    <row r="278" customFormat="false" ht="15.75" hidden="false" customHeight="true" outlineLevel="0" collapsed="false">
      <c r="A278" s="8" t="s">
        <v>299</v>
      </c>
      <c r="B278" s="9"/>
      <c r="C278" s="9"/>
    </row>
    <row r="279" customFormat="false" ht="27.75" hidden="false" customHeight="true" outlineLevel="0" collapsed="false">
      <c r="A279" s="8" t="s">
        <v>300</v>
      </c>
      <c r="B279" s="9"/>
      <c r="C279" s="9"/>
    </row>
    <row r="280" customFormat="false" ht="28.5" hidden="false" customHeight="true" outlineLevel="0" collapsed="false">
      <c r="A280" s="10" t="s">
        <v>301</v>
      </c>
      <c r="B280" s="11" t="n">
        <f aca="false">1*B273+1*B274+1*B275+1*B276+1*B277+1*B278+1*B279</f>
        <v>0</v>
      </c>
      <c r="C280" s="11" t="n">
        <f aca="false">1*C273+1*C274+1*C275+1*C276+1*C277+1*C278+1*C279</f>
        <v>0</v>
      </c>
    </row>
    <row r="281" customFormat="false" ht="16.5" hidden="false" customHeight="true" outlineLevel="0" collapsed="false">
      <c r="A281" s="5" t="s">
        <v>302</v>
      </c>
      <c r="B281" s="12"/>
      <c r="C281" s="12"/>
    </row>
    <row r="282" customFormat="false" ht="15.75" hidden="false" customHeight="true" outlineLevel="0" collapsed="false">
      <c r="A282" s="8" t="s">
        <v>303</v>
      </c>
      <c r="B282" s="9"/>
      <c r="C282" s="9"/>
    </row>
    <row r="283" customFormat="false" ht="15.75" hidden="false" customHeight="true" outlineLevel="0" collapsed="false">
      <c r="A283" s="8" t="s">
        <v>304</v>
      </c>
      <c r="B283" s="9"/>
      <c r="C283" s="9"/>
    </row>
    <row r="284" customFormat="false" ht="15.75" hidden="false" customHeight="true" outlineLevel="0" collapsed="false">
      <c r="A284" s="8" t="s">
        <v>305</v>
      </c>
      <c r="B284" s="9"/>
      <c r="C284" s="9"/>
    </row>
    <row r="285" customFormat="false" ht="15.75" hidden="false" customHeight="true" outlineLevel="0" collapsed="false">
      <c r="A285" s="8" t="s">
        <v>306</v>
      </c>
      <c r="B285" s="9"/>
      <c r="C285" s="9"/>
    </row>
    <row r="286" customFormat="false" ht="15.75" hidden="false" customHeight="true" outlineLevel="0" collapsed="false">
      <c r="A286" s="8" t="s">
        <v>307</v>
      </c>
      <c r="B286" s="9"/>
      <c r="C286" s="9"/>
    </row>
    <row r="287" customFormat="false" ht="27.75" hidden="false" customHeight="true" outlineLevel="0" collapsed="false">
      <c r="A287" s="8" t="s">
        <v>308</v>
      </c>
      <c r="B287" s="9"/>
      <c r="C287" s="9"/>
    </row>
    <row r="288" customFormat="false" ht="15.75" hidden="false" customHeight="true" outlineLevel="0" collapsed="false">
      <c r="A288" s="8" t="s">
        <v>309</v>
      </c>
      <c r="B288" s="9"/>
      <c r="C288" s="9"/>
    </row>
    <row r="289" customFormat="false" ht="16.5" hidden="false" customHeight="true" outlineLevel="0" collapsed="false">
      <c r="A289" s="10" t="s">
        <v>310</v>
      </c>
      <c r="B289" s="11" t="n">
        <f aca="false">1*B282+1*B283+1*B284+1*B285+1*B286+1*B287+1*B288</f>
        <v>0</v>
      </c>
      <c r="C289" s="11" t="n">
        <f aca="false">1*C282+1*C283+1*C284+1*C285+1*C286+1*C287+1*C288</f>
        <v>0</v>
      </c>
    </row>
    <row r="290" customFormat="false" ht="16.5" hidden="false" customHeight="true" outlineLevel="0" collapsed="false">
      <c r="A290" s="5" t="s">
        <v>311</v>
      </c>
      <c r="B290" s="12"/>
      <c r="C290" s="12"/>
    </row>
    <row r="291" customFormat="false" ht="15.75" hidden="false" customHeight="true" outlineLevel="0" collapsed="false">
      <c r="A291" s="17" t="s">
        <v>312</v>
      </c>
      <c r="B291" s="2"/>
      <c r="C291" s="2"/>
    </row>
    <row r="292" customFormat="false" ht="15.75" hidden="false" customHeight="true" outlineLevel="0" collapsed="false">
      <c r="A292" s="18" t="s">
        <v>313</v>
      </c>
      <c r="B292" s="9"/>
      <c r="C292" s="9"/>
    </row>
    <row r="293" customFormat="false" ht="15.75" hidden="false" customHeight="true" outlineLevel="0" collapsed="false">
      <c r="A293" s="18" t="s">
        <v>314</v>
      </c>
      <c r="B293" s="9"/>
      <c r="C293" s="9"/>
    </row>
    <row r="294" customFormat="false" ht="15.75" hidden="false" customHeight="true" outlineLevel="0" collapsed="false">
      <c r="A294" s="18" t="s">
        <v>315</v>
      </c>
      <c r="B294" s="9"/>
      <c r="C294" s="9"/>
    </row>
    <row r="295" customFormat="false" ht="15.75" hidden="false" customHeight="true" outlineLevel="0" collapsed="false">
      <c r="A295" s="18" t="s">
        <v>316</v>
      </c>
      <c r="B295" s="9"/>
      <c r="C295" s="9"/>
    </row>
    <row r="296" customFormat="false" ht="15.75" hidden="false" customHeight="true" outlineLevel="0" collapsed="false">
      <c r="A296" s="18" t="s">
        <v>317</v>
      </c>
      <c r="B296" s="9"/>
      <c r="C296" s="9"/>
    </row>
    <row r="297" customFormat="false" ht="27.75" hidden="false" customHeight="true" outlineLevel="0" collapsed="false">
      <c r="A297" s="18" t="s">
        <v>318</v>
      </c>
      <c r="B297" s="9"/>
      <c r="C297" s="9"/>
    </row>
    <row r="298" customFormat="false" ht="15.75" hidden="false" customHeight="true" outlineLevel="0" collapsed="false">
      <c r="A298" s="18" t="s">
        <v>319</v>
      </c>
      <c r="B298" s="9"/>
      <c r="C298" s="9"/>
    </row>
    <row r="299" customFormat="false" ht="15.75" hidden="false" customHeight="true" outlineLevel="0" collapsed="false">
      <c r="A299" s="20" t="s">
        <v>320</v>
      </c>
      <c r="B299" s="7" t="n">
        <f aca="false">1*B292+1*B293+1*B294+1*B295+1*B296+1*B297+1*B298</f>
        <v>0</v>
      </c>
      <c r="C299" s="7" t="n">
        <f aca="false">1*C292+1*C293+1*C294+1*C295+1*C296+1*C297+1*C298</f>
        <v>0</v>
      </c>
    </row>
    <row r="300" customFormat="false" ht="15.75" hidden="false" customHeight="true" outlineLevel="0" collapsed="false">
      <c r="A300" s="17" t="s">
        <v>321</v>
      </c>
      <c r="B300" s="2"/>
      <c r="C300" s="2"/>
    </row>
    <row r="301" customFormat="false" ht="27.75" hidden="false" customHeight="true" outlineLevel="0" collapsed="false">
      <c r="A301" s="26" t="s">
        <v>322</v>
      </c>
      <c r="B301" s="2"/>
      <c r="C301" s="2"/>
    </row>
    <row r="302" customFormat="false" ht="27.75" hidden="false" customHeight="true" outlineLevel="0" collapsed="false">
      <c r="A302" s="27" t="s">
        <v>323</v>
      </c>
      <c r="B302" s="9"/>
      <c r="C302" s="9"/>
    </row>
    <row r="303" customFormat="false" ht="15.75" hidden="false" customHeight="true" outlineLevel="0" collapsed="false">
      <c r="A303" s="27" t="s">
        <v>324</v>
      </c>
      <c r="B303" s="9"/>
      <c r="C303" s="9"/>
    </row>
    <row r="304" customFormat="false" ht="15.75" hidden="false" customHeight="true" outlineLevel="0" collapsed="false">
      <c r="A304" s="27" t="s">
        <v>325</v>
      </c>
      <c r="B304" s="9"/>
      <c r="C304" s="9"/>
    </row>
    <row r="305" customFormat="false" ht="15.75" hidden="false" customHeight="true" outlineLevel="0" collapsed="false">
      <c r="A305" s="27" t="s">
        <v>326</v>
      </c>
      <c r="B305" s="9"/>
      <c r="C305" s="9"/>
    </row>
    <row r="306" customFormat="false" ht="27.75" hidden="false" customHeight="true" outlineLevel="0" collapsed="false">
      <c r="A306" s="27" t="s">
        <v>327</v>
      </c>
      <c r="B306" s="9"/>
      <c r="C306" s="9"/>
    </row>
    <row r="307" customFormat="false" ht="27.75" hidden="false" customHeight="true" outlineLevel="0" collapsed="false">
      <c r="A307" s="28" t="s">
        <v>328</v>
      </c>
      <c r="B307" s="7" t="n">
        <f aca="false">1*B302+1*B303+1*B304+1*B305+1*B306</f>
        <v>0</v>
      </c>
      <c r="C307" s="7" t="n">
        <f aca="false">1*C302+1*C303+1*C304+1*C305+1*C306</f>
        <v>0</v>
      </c>
    </row>
    <row r="308" customFormat="false" ht="27.75" hidden="false" customHeight="true" outlineLevel="0" collapsed="false">
      <c r="A308" s="26" t="s">
        <v>329</v>
      </c>
      <c r="B308" s="2"/>
      <c r="C308" s="2"/>
    </row>
    <row r="309" customFormat="false" ht="27.75" hidden="false" customHeight="true" outlineLevel="0" collapsed="false">
      <c r="A309" s="27" t="s">
        <v>330</v>
      </c>
      <c r="B309" s="9"/>
      <c r="C309" s="9"/>
    </row>
    <row r="310" customFormat="false" ht="15.75" hidden="false" customHeight="true" outlineLevel="0" collapsed="false">
      <c r="A310" s="27" t="s">
        <v>331</v>
      </c>
      <c r="B310" s="9"/>
      <c r="C310" s="9"/>
    </row>
    <row r="311" customFormat="false" ht="27.75" hidden="false" customHeight="true" outlineLevel="0" collapsed="false">
      <c r="A311" s="27" t="s">
        <v>332</v>
      </c>
      <c r="B311" s="9"/>
      <c r="C311" s="9"/>
    </row>
    <row r="312" customFormat="false" ht="27.75" hidden="false" customHeight="true" outlineLevel="0" collapsed="false">
      <c r="A312" s="28" t="s">
        <v>333</v>
      </c>
      <c r="B312" s="7" t="n">
        <f aca="false">1*B309+1*B310+1*B311</f>
        <v>0</v>
      </c>
      <c r="C312" s="7" t="n">
        <f aca="false">1*C309+1*C310+1*C311</f>
        <v>0</v>
      </c>
    </row>
    <row r="313" customFormat="false" ht="15.75" hidden="false" customHeight="true" outlineLevel="0" collapsed="false">
      <c r="A313" s="26" t="s">
        <v>334</v>
      </c>
      <c r="B313" s="2"/>
      <c r="C313" s="2"/>
    </row>
    <row r="314" customFormat="false" ht="15.75" hidden="false" customHeight="true" outlineLevel="0" collapsed="false">
      <c r="A314" s="27" t="s">
        <v>335</v>
      </c>
      <c r="B314" s="9"/>
      <c r="C314" s="9"/>
    </row>
    <row r="315" customFormat="false" ht="15.75" hidden="false" customHeight="true" outlineLevel="0" collapsed="false">
      <c r="A315" s="27" t="s">
        <v>336</v>
      </c>
      <c r="B315" s="9"/>
      <c r="C315" s="9"/>
    </row>
    <row r="316" customFormat="false" ht="15.75" hidden="false" customHeight="true" outlineLevel="0" collapsed="false">
      <c r="A316" s="27" t="s">
        <v>337</v>
      </c>
      <c r="B316" s="9"/>
      <c r="C316" s="9"/>
    </row>
    <row r="317" customFormat="false" ht="15.75" hidden="false" customHeight="true" outlineLevel="0" collapsed="false">
      <c r="A317" s="27" t="s">
        <v>203</v>
      </c>
      <c r="B317" s="9"/>
      <c r="C317" s="9"/>
    </row>
    <row r="318" customFormat="false" ht="15.75" hidden="false" customHeight="true" outlineLevel="0" collapsed="false">
      <c r="A318" s="27" t="s">
        <v>338</v>
      </c>
      <c r="B318" s="9"/>
      <c r="C318" s="9"/>
    </row>
    <row r="319" customFormat="false" ht="27.75" hidden="false" customHeight="true" outlineLevel="0" collapsed="false">
      <c r="A319" s="28" t="s">
        <v>339</v>
      </c>
      <c r="B319" s="7" t="n">
        <f aca="false">1*B314+1*B315+1*B316+1*B317+1*B318</f>
        <v>0</v>
      </c>
      <c r="C319" s="7" t="n">
        <f aca="false">1*C314+1*C315+1*C316+1*C317+1*C318</f>
        <v>0</v>
      </c>
    </row>
    <row r="320" customFormat="false" ht="15.75" hidden="false" customHeight="true" outlineLevel="0" collapsed="false">
      <c r="A320" s="20" t="s">
        <v>321</v>
      </c>
      <c r="B320" s="7" t="n">
        <f aca="false">1*B307+1*B312+1*B319</f>
        <v>0</v>
      </c>
      <c r="C320" s="7" t="n">
        <f aca="false">1*C307+1*C312+1*C319</f>
        <v>0</v>
      </c>
    </row>
    <row r="321" customFormat="false" ht="28.5" hidden="false" customHeight="true" outlineLevel="0" collapsed="false">
      <c r="A321" s="10" t="s">
        <v>340</v>
      </c>
      <c r="B321" s="11" t="n">
        <f aca="false">1*B299+1*B320</f>
        <v>0</v>
      </c>
      <c r="C321" s="11" t="n">
        <f aca="false">1*C299+1*C320</f>
        <v>0</v>
      </c>
    </row>
    <row r="322" customFormat="false" ht="28.5" hidden="false" customHeight="true" outlineLevel="0" collapsed="false">
      <c r="A322" s="5" t="s">
        <v>341</v>
      </c>
      <c r="B322" s="12"/>
      <c r="C322" s="12"/>
    </row>
    <row r="323" customFormat="false" ht="27.75" hidden="false" customHeight="true" outlineLevel="0" collapsed="false">
      <c r="A323" s="17" t="s">
        <v>172</v>
      </c>
      <c r="B323" s="2"/>
      <c r="C323" s="2"/>
    </row>
    <row r="324" customFormat="false" ht="15.75" hidden="false" customHeight="true" outlineLevel="0" collapsed="false">
      <c r="A324" s="18" t="s">
        <v>173</v>
      </c>
      <c r="B324" s="9"/>
      <c r="C324" s="9"/>
    </row>
    <row r="325" customFormat="false" ht="15.75" hidden="false" customHeight="true" outlineLevel="0" collapsed="false">
      <c r="A325" s="18" t="s">
        <v>174</v>
      </c>
      <c r="B325" s="9"/>
      <c r="C325" s="9"/>
    </row>
    <row r="326" customFormat="false" ht="15.75" hidden="false" customHeight="true" outlineLevel="0" collapsed="false">
      <c r="A326" s="18" t="s">
        <v>175</v>
      </c>
      <c r="B326" s="9"/>
      <c r="C326" s="9"/>
    </row>
    <row r="327" customFormat="false" ht="15.75" hidden="false" customHeight="true" outlineLevel="0" collapsed="false">
      <c r="A327" s="18" t="s">
        <v>176</v>
      </c>
      <c r="B327" s="9"/>
      <c r="C327" s="9"/>
    </row>
    <row r="328" customFormat="false" ht="27.75" hidden="false" customHeight="true" outlineLevel="0" collapsed="false">
      <c r="A328" s="20" t="s">
        <v>177</v>
      </c>
      <c r="B328" s="7" t="n">
        <f aca="false">1*B324+1*B325+1*B326+1*B327</f>
        <v>0</v>
      </c>
      <c r="C328" s="7" t="n">
        <f aca="false">1*C324+1*C325+1*C326+1*C327</f>
        <v>0</v>
      </c>
    </row>
    <row r="329" customFormat="false" ht="27.75" hidden="false" customHeight="true" outlineLevel="0" collapsed="false">
      <c r="A329" s="17" t="s">
        <v>342</v>
      </c>
      <c r="B329" s="2"/>
      <c r="C329" s="2"/>
    </row>
    <row r="330" customFormat="false" ht="15.75" hidden="false" customHeight="true" outlineLevel="0" collapsed="false">
      <c r="A330" s="18" t="s">
        <v>173</v>
      </c>
      <c r="B330" s="9"/>
      <c r="C330" s="9"/>
    </row>
    <row r="331" customFormat="false" ht="15.75" hidden="false" customHeight="true" outlineLevel="0" collapsed="false">
      <c r="A331" s="18" t="s">
        <v>174</v>
      </c>
      <c r="B331" s="9"/>
      <c r="C331" s="9"/>
    </row>
    <row r="332" customFormat="false" ht="15.75" hidden="false" customHeight="true" outlineLevel="0" collapsed="false">
      <c r="A332" s="18" t="s">
        <v>175</v>
      </c>
      <c r="B332" s="9"/>
      <c r="C332" s="9"/>
    </row>
    <row r="333" customFormat="false" ht="15.75" hidden="false" customHeight="true" outlineLevel="0" collapsed="false">
      <c r="A333" s="18" t="s">
        <v>176</v>
      </c>
      <c r="B333" s="9"/>
      <c r="C333" s="9"/>
    </row>
    <row r="334" customFormat="false" ht="27.75" hidden="false" customHeight="true" outlineLevel="0" collapsed="false">
      <c r="A334" s="20" t="s">
        <v>343</v>
      </c>
      <c r="B334" s="7" t="n">
        <f aca="false">1*B330+1*B331+1*B332+1*B333</f>
        <v>0</v>
      </c>
      <c r="C334" s="7" t="n">
        <f aca="false">1*C330+1*C331+1*C332+1*C333</f>
        <v>0</v>
      </c>
    </row>
    <row r="335" customFormat="false" ht="27.75" hidden="false" customHeight="true" outlineLevel="0" collapsed="false">
      <c r="A335" s="8" t="s">
        <v>344</v>
      </c>
      <c r="B335" s="9"/>
      <c r="C335" s="9"/>
    </row>
    <row r="336" customFormat="false" ht="28.5" hidden="false" customHeight="true" outlineLevel="0" collapsed="false">
      <c r="A336" s="10" t="s">
        <v>345</v>
      </c>
      <c r="B336" s="11" t="n">
        <f aca="false">1*B328+1*B334+1*B335</f>
        <v>0</v>
      </c>
      <c r="C336" s="11" t="n">
        <f aca="false">1*C328+1*C334+1*C335</f>
        <v>0</v>
      </c>
    </row>
    <row r="337" customFormat="false" ht="16.5" hidden="false" customHeight="true" outlineLevel="0" collapsed="false">
      <c r="A337" s="5" t="s">
        <v>346</v>
      </c>
      <c r="B337" s="12"/>
      <c r="C337" s="12"/>
    </row>
    <row r="338" customFormat="false" ht="42" hidden="false" customHeight="true" outlineLevel="0" collapsed="false">
      <c r="A338" s="17" t="s">
        <v>347</v>
      </c>
      <c r="B338" s="2"/>
      <c r="C338" s="2"/>
    </row>
    <row r="339" customFormat="false" ht="15.75" hidden="false" customHeight="true" outlineLevel="0" collapsed="false">
      <c r="A339" s="18" t="s">
        <v>348</v>
      </c>
      <c r="B339" s="9"/>
      <c r="C339" s="9"/>
    </row>
    <row r="340" customFormat="false" ht="15.75" hidden="false" customHeight="true" outlineLevel="0" collapsed="false">
      <c r="A340" s="18" t="s">
        <v>349</v>
      </c>
      <c r="B340" s="9"/>
      <c r="C340" s="9"/>
    </row>
    <row r="341" customFormat="false" ht="15.75" hidden="false" customHeight="true" outlineLevel="0" collapsed="false">
      <c r="A341" s="18" t="s">
        <v>350</v>
      </c>
      <c r="B341" s="9"/>
      <c r="C341" s="9"/>
    </row>
    <row r="342" customFormat="false" ht="15.75" hidden="false" customHeight="true" outlineLevel="0" collapsed="false">
      <c r="A342" s="18" t="s">
        <v>266</v>
      </c>
      <c r="B342" s="9"/>
      <c r="C342" s="9"/>
    </row>
    <row r="343" customFormat="false" ht="15.75" hidden="false" customHeight="true" outlineLevel="0" collapsed="false">
      <c r="A343" s="18" t="s">
        <v>267</v>
      </c>
      <c r="B343" s="9"/>
      <c r="C343" s="9"/>
    </row>
    <row r="344" customFormat="false" ht="27.75" hidden="false" customHeight="true" outlineLevel="0" collapsed="false">
      <c r="A344" s="18" t="s">
        <v>268</v>
      </c>
      <c r="B344" s="9"/>
      <c r="C344" s="9"/>
    </row>
    <row r="345" customFormat="false" ht="15.75" hidden="false" customHeight="true" outlineLevel="0" collapsed="false">
      <c r="A345" s="18" t="s">
        <v>269</v>
      </c>
      <c r="B345" s="9"/>
      <c r="C345" s="9"/>
    </row>
    <row r="346" customFormat="false" ht="15.75" hidden="false" customHeight="true" outlineLevel="0" collapsed="false">
      <c r="A346" s="18" t="s">
        <v>270</v>
      </c>
      <c r="B346" s="9"/>
      <c r="C346" s="9"/>
    </row>
    <row r="347" customFormat="false" ht="15.75" hidden="false" customHeight="true" outlineLevel="0" collapsed="false">
      <c r="A347" s="18" t="s">
        <v>271</v>
      </c>
      <c r="B347" s="9"/>
      <c r="C347" s="9"/>
    </row>
    <row r="348" customFormat="false" ht="15.75" hidden="false" customHeight="true" outlineLevel="0" collapsed="false">
      <c r="A348" s="18" t="s">
        <v>351</v>
      </c>
      <c r="B348" s="9"/>
      <c r="C348" s="9"/>
    </row>
    <row r="349" customFormat="false" ht="42" hidden="false" customHeight="true" outlineLevel="0" collapsed="false">
      <c r="A349" s="20" t="s">
        <v>352</v>
      </c>
      <c r="B349" s="7" t="n">
        <f aca="false">1*B339+1*B340+1*B341+1*B342+1*B343+1*B344+1*B345+1*B346+1*B347+1*B348</f>
        <v>0</v>
      </c>
      <c r="C349" s="7" t="n">
        <f aca="false">1*C339+1*C340+1*C341+1*C342+1*C343+1*C344+1*C345+1*C346+1*C347+1*C348</f>
        <v>0</v>
      </c>
    </row>
    <row r="350" customFormat="false" ht="55.5" hidden="false" customHeight="true" outlineLevel="0" collapsed="false">
      <c r="A350" s="17" t="s">
        <v>353</v>
      </c>
      <c r="B350" s="2"/>
      <c r="C350" s="2"/>
    </row>
    <row r="351" customFormat="false" ht="15.75" hidden="false" customHeight="true" outlineLevel="0" collapsed="false">
      <c r="A351" s="18" t="s">
        <v>354</v>
      </c>
      <c r="B351" s="9"/>
      <c r="C351" s="9"/>
    </row>
    <row r="352" customFormat="false" ht="15.75" hidden="false" customHeight="true" outlineLevel="0" collapsed="false">
      <c r="A352" s="18" t="s">
        <v>266</v>
      </c>
      <c r="B352" s="9"/>
      <c r="C352" s="9"/>
    </row>
    <row r="353" customFormat="false" ht="27.75" hidden="false" customHeight="true" outlineLevel="0" collapsed="false">
      <c r="A353" s="18" t="s">
        <v>355</v>
      </c>
      <c r="B353" s="9"/>
      <c r="C353" s="9"/>
    </row>
    <row r="354" customFormat="false" ht="15.75" hidden="false" customHeight="true" outlineLevel="0" collapsed="false">
      <c r="A354" s="18" t="s">
        <v>267</v>
      </c>
      <c r="B354" s="9"/>
      <c r="C354" s="9"/>
    </row>
    <row r="355" customFormat="false" ht="27.75" hidden="false" customHeight="true" outlineLevel="0" collapsed="false">
      <c r="A355" s="18" t="s">
        <v>268</v>
      </c>
      <c r="B355" s="9"/>
      <c r="C355" s="9"/>
    </row>
    <row r="356" customFormat="false" ht="15.75" hidden="false" customHeight="true" outlineLevel="0" collapsed="false">
      <c r="A356" s="18" t="s">
        <v>269</v>
      </c>
      <c r="B356" s="9"/>
      <c r="C356" s="9"/>
    </row>
    <row r="357" customFormat="false" ht="15.75" hidden="false" customHeight="true" outlineLevel="0" collapsed="false">
      <c r="A357" s="18" t="s">
        <v>270</v>
      </c>
      <c r="B357" s="9"/>
      <c r="C357" s="9"/>
    </row>
    <row r="358" customFormat="false" ht="15.75" hidden="false" customHeight="true" outlineLevel="0" collapsed="false">
      <c r="A358" s="18" t="s">
        <v>271</v>
      </c>
      <c r="B358" s="9"/>
      <c r="C358" s="9"/>
    </row>
    <row r="359" customFormat="false" ht="15.75" hidden="false" customHeight="true" outlineLevel="0" collapsed="false">
      <c r="A359" s="18" t="s">
        <v>276</v>
      </c>
      <c r="B359" s="9"/>
      <c r="C359" s="9"/>
    </row>
    <row r="360" customFormat="false" ht="55.5" hidden="false" customHeight="true" outlineLevel="0" collapsed="false">
      <c r="A360" s="20" t="s">
        <v>356</v>
      </c>
      <c r="B360" s="7" t="n">
        <f aca="false">1*B351+1*B352+1*B353+1*B354+1*B355+1*B356+1*B357+1*B358+1*B359</f>
        <v>0</v>
      </c>
      <c r="C360" s="7" t="n">
        <f aca="false">1*C351+1*C352+1*C353+1*C354+1*C355+1*C356+1*C357+1*C358+1*C359</f>
        <v>0</v>
      </c>
    </row>
    <row r="361" customFormat="false" ht="27.75" hidden="false" customHeight="true" outlineLevel="0" collapsed="false">
      <c r="A361" s="17" t="s">
        <v>357</v>
      </c>
      <c r="B361" s="2"/>
      <c r="C361" s="2"/>
    </row>
    <row r="362" customFormat="false" ht="15.75" hidden="false" customHeight="true" outlineLevel="0" collapsed="false">
      <c r="A362" s="18" t="s">
        <v>279</v>
      </c>
      <c r="B362" s="9"/>
      <c r="C362" s="9"/>
    </row>
    <row r="363" customFormat="false" ht="15.75" hidden="false" customHeight="true" outlineLevel="0" collapsed="false">
      <c r="A363" s="18" t="s">
        <v>270</v>
      </c>
      <c r="B363" s="9"/>
      <c r="C363" s="9"/>
    </row>
    <row r="364" customFormat="false" ht="15.75" hidden="false" customHeight="true" outlineLevel="0" collapsed="false">
      <c r="A364" s="18" t="s">
        <v>280</v>
      </c>
      <c r="B364" s="9"/>
      <c r="C364" s="9"/>
    </row>
    <row r="365" customFormat="false" ht="15.75" hidden="false" customHeight="true" outlineLevel="0" collapsed="false">
      <c r="A365" s="18" t="s">
        <v>281</v>
      </c>
      <c r="B365" s="9"/>
      <c r="C365" s="9"/>
    </row>
    <row r="366" customFormat="false" ht="15.75" hidden="false" customHeight="true" outlineLevel="0" collapsed="false">
      <c r="A366" s="18" t="s">
        <v>282</v>
      </c>
      <c r="B366" s="9"/>
      <c r="C366" s="9"/>
    </row>
    <row r="367" customFormat="false" ht="27.75" hidden="false" customHeight="true" outlineLevel="0" collapsed="false">
      <c r="A367" s="20" t="s">
        <v>358</v>
      </c>
      <c r="B367" s="7" t="n">
        <f aca="false">1*B362+1*B363+1*B364+1*B365+1*B366</f>
        <v>0</v>
      </c>
      <c r="C367" s="7" t="n">
        <f aca="false">1*C362+1*C363+1*C364+1*C365+1*C366</f>
        <v>0</v>
      </c>
    </row>
    <row r="368" customFormat="false" ht="27.75" hidden="false" customHeight="true" outlineLevel="0" collapsed="false">
      <c r="A368" s="17" t="s">
        <v>359</v>
      </c>
      <c r="B368" s="2"/>
      <c r="C368" s="2"/>
    </row>
    <row r="369" customFormat="false" ht="15.75" hidden="false" customHeight="true" outlineLevel="0" collapsed="false">
      <c r="A369" s="18" t="s">
        <v>279</v>
      </c>
      <c r="B369" s="9"/>
      <c r="C369" s="9"/>
    </row>
    <row r="370" customFormat="false" ht="15.75" hidden="false" customHeight="true" outlineLevel="0" collapsed="false">
      <c r="A370" s="18" t="s">
        <v>270</v>
      </c>
      <c r="B370" s="9"/>
      <c r="C370" s="9"/>
    </row>
    <row r="371" customFormat="false" ht="15.75" hidden="false" customHeight="true" outlineLevel="0" collapsed="false">
      <c r="A371" s="18" t="s">
        <v>280</v>
      </c>
      <c r="B371" s="9"/>
      <c r="C371" s="9"/>
    </row>
    <row r="372" customFormat="false" ht="15.75" hidden="false" customHeight="true" outlineLevel="0" collapsed="false">
      <c r="A372" s="18" t="s">
        <v>281</v>
      </c>
      <c r="B372" s="9"/>
      <c r="C372" s="9"/>
    </row>
    <row r="373" customFormat="false" ht="15.75" hidden="false" customHeight="true" outlineLevel="0" collapsed="false">
      <c r="A373" s="18" t="s">
        <v>282</v>
      </c>
      <c r="B373" s="9"/>
      <c r="C373" s="9"/>
    </row>
    <row r="374" customFormat="false" ht="27.75" hidden="false" customHeight="true" outlineLevel="0" collapsed="false">
      <c r="A374" s="20" t="s">
        <v>360</v>
      </c>
      <c r="B374" s="7" t="n">
        <f aca="false">1*B369+1*B370+1*B371+1*B372+1*B373</f>
        <v>0</v>
      </c>
      <c r="C374" s="7" t="n">
        <f aca="false">1*C369+1*C370+1*C371+1*C372+1*C373</f>
        <v>0</v>
      </c>
    </row>
    <row r="375" customFormat="false" ht="15.75" hidden="false" customHeight="true" outlineLevel="0" collapsed="false">
      <c r="A375" s="17" t="s">
        <v>361</v>
      </c>
      <c r="B375" s="2"/>
      <c r="C375" s="2"/>
    </row>
    <row r="376" customFormat="false" ht="15.75" hidden="false" customHeight="true" outlineLevel="0" collapsed="false">
      <c r="A376" s="18" t="s">
        <v>362</v>
      </c>
      <c r="B376" s="9"/>
      <c r="C376" s="9"/>
    </row>
    <row r="377" customFormat="false" ht="15.75" hidden="false" customHeight="true" outlineLevel="0" collapsed="false">
      <c r="A377" s="18" t="s">
        <v>287</v>
      </c>
      <c r="B377" s="9"/>
      <c r="C377" s="9"/>
    </row>
    <row r="378" customFormat="false" ht="15.75" hidden="false" customHeight="true" outlineLevel="0" collapsed="false">
      <c r="A378" s="18" t="s">
        <v>288</v>
      </c>
      <c r="B378" s="9"/>
      <c r="C378" s="9"/>
    </row>
    <row r="379" customFormat="false" ht="15.75" hidden="false" customHeight="true" outlineLevel="0" collapsed="false">
      <c r="A379" s="18" t="s">
        <v>289</v>
      </c>
      <c r="B379" s="9"/>
      <c r="C379" s="9"/>
    </row>
    <row r="380" customFormat="false" ht="15.75" hidden="false" customHeight="true" outlineLevel="0" collapsed="false">
      <c r="A380" s="18" t="s">
        <v>290</v>
      </c>
      <c r="B380" s="9"/>
      <c r="C380" s="9"/>
    </row>
    <row r="381" customFormat="false" ht="15.75" hidden="false" customHeight="true" outlineLevel="0" collapsed="false">
      <c r="A381" s="18" t="s">
        <v>361</v>
      </c>
      <c r="B381" s="9"/>
      <c r="C381" s="9"/>
    </row>
    <row r="382" customFormat="false" ht="15.75" hidden="false" customHeight="true" outlineLevel="0" collapsed="false">
      <c r="A382" s="20" t="s">
        <v>363</v>
      </c>
      <c r="B382" s="7" t="n">
        <f aca="false">1*B376+1*B377+1*B378+1*B379+1*B380+1*B381</f>
        <v>0</v>
      </c>
      <c r="C382" s="7" t="n">
        <f aca="false">1*C376+1*C377+1*C378+1*C379+1*C380+1*C381</f>
        <v>0</v>
      </c>
    </row>
    <row r="383" customFormat="false" ht="16.5" hidden="false" customHeight="true" outlineLevel="0" collapsed="false">
      <c r="A383" s="13" t="s">
        <v>364</v>
      </c>
      <c r="B383" s="11" t="n">
        <f aca="false">1*B349+1*B360+1*B367+1*B374+1*B382</f>
        <v>0</v>
      </c>
      <c r="C383" s="11" t="n">
        <f aca="false">1*C349+1*C360+1*C367+1*C374+1*C382</f>
        <v>0</v>
      </c>
    </row>
    <row r="384" customFormat="false" ht="16.5" hidden="false" customHeight="true" outlineLevel="0" collapsed="false">
      <c r="A384" s="5" t="s">
        <v>365</v>
      </c>
      <c r="B384" s="12"/>
      <c r="C384" s="12"/>
    </row>
    <row r="385" customFormat="false" ht="15.75" hidden="false" customHeight="true" outlineLevel="0" collapsed="false">
      <c r="A385" s="8" t="s">
        <v>294</v>
      </c>
      <c r="B385" s="9"/>
      <c r="C385" s="9"/>
    </row>
    <row r="386" customFormat="false" ht="15.75" hidden="false" customHeight="true" outlineLevel="0" collapsed="false">
      <c r="A386" s="8" t="s">
        <v>295</v>
      </c>
      <c r="B386" s="9"/>
      <c r="C386" s="9"/>
    </row>
    <row r="387" customFormat="false" ht="15.75" hidden="false" customHeight="true" outlineLevel="0" collapsed="false">
      <c r="A387" s="8" t="s">
        <v>296</v>
      </c>
      <c r="B387" s="9"/>
      <c r="C387" s="9"/>
    </row>
    <row r="388" customFormat="false" ht="15.75" hidden="false" customHeight="true" outlineLevel="0" collapsed="false">
      <c r="A388" s="8" t="s">
        <v>297</v>
      </c>
      <c r="B388" s="9"/>
      <c r="C388" s="9"/>
    </row>
    <row r="389" customFormat="false" ht="15.75" hidden="false" customHeight="true" outlineLevel="0" collapsed="false">
      <c r="A389" s="8" t="s">
        <v>298</v>
      </c>
      <c r="B389" s="9"/>
      <c r="C389" s="9"/>
    </row>
    <row r="390" customFormat="false" ht="15.75" hidden="false" customHeight="true" outlineLevel="0" collapsed="false">
      <c r="A390" s="8" t="s">
        <v>299</v>
      </c>
      <c r="B390" s="9"/>
      <c r="C390" s="9"/>
    </row>
    <row r="391" customFormat="false" ht="15.75" hidden="false" customHeight="true" outlineLevel="0" collapsed="false">
      <c r="A391" s="8" t="s">
        <v>366</v>
      </c>
      <c r="B391" s="9"/>
      <c r="C391" s="9"/>
    </row>
    <row r="392" customFormat="false" ht="28.5" hidden="false" customHeight="true" outlineLevel="0" collapsed="false">
      <c r="A392" s="10" t="s">
        <v>367</v>
      </c>
      <c r="B392" s="11" t="n">
        <f aca="false">1*B385+1*B386+1*B387+1*B388+1*B389+1*B390+1*B391</f>
        <v>0</v>
      </c>
      <c r="C392" s="11" t="n">
        <f aca="false">1*C385+1*C386+1*C387+1*C388+1*C389+1*C390+1*C391</f>
        <v>0</v>
      </c>
    </row>
    <row r="393" customFormat="false" ht="16.5" hidden="false" customHeight="true" outlineLevel="0" collapsed="false">
      <c r="A393" s="5" t="s">
        <v>368</v>
      </c>
      <c r="B393" s="12"/>
      <c r="C393" s="12"/>
    </row>
    <row r="394" customFormat="false" ht="15.75" hidden="false" customHeight="true" outlineLevel="0" collapsed="false">
      <c r="A394" s="8" t="s">
        <v>303</v>
      </c>
      <c r="B394" s="9"/>
      <c r="C394" s="9"/>
    </row>
    <row r="395" customFormat="false" ht="15.75" hidden="false" customHeight="true" outlineLevel="0" collapsed="false">
      <c r="A395" s="8" t="s">
        <v>304</v>
      </c>
      <c r="B395" s="9"/>
      <c r="C395" s="9"/>
    </row>
    <row r="396" customFormat="false" ht="15.75" hidden="false" customHeight="true" outlineLevel="0" collapsed="false">
      <c r="A396" s="8" t="s">
        <v>305</v>
      </c>
      <c r="B396" s="9"/>
      <c r="C396" s="9"/>
    </row>
    <row r="397" customFormat="false" ht="15.75" hidden="false" customHeight="true" outlineLevel="0" collapsed="false">
      <c r="A397" s="8" t="s">
        <v>369</v>
      </c>
      <c r="B397" s="9"/>
      <c r="C397" s="9"/>
    </row>
    <row r="398" customFormat="false" ht="15.75" hidden="false" customHeight="true" outlineLevel="0" collapsed="false">
      <c r="A398" s="8" t="s">
        <v>307</v>
      </c>
      <c r="B398" s="9"/>
      <c r="C398" s="9"/>
    </row>
    <row r="399" customFormat="false" ht="27.75" hidden="false" customHeight="true" outlineLevel="0" collapsed="false">
      <c r="A399" s="8" t="s">
        <v>308</v>
      </c>
      <c r="B399" s="9"/>
      <c r="C399" s="9"/>
    </row>
    <row r="400" customFormat="false" ht="15.75" hidden="false" customHeight="true" outlineLevel="0" collapsed="false">
      <c r="A400" s="8" t="s">
        <v>370</v>
      </c>
      <c r="B400" s="9"/>
      <c r="C400" s="9"/>
    </row>
    <row r="401" customFormat="false" ht="16.5" hidden="false" customHeight="true" outlineLevel="0" collapsed="false">
      <c r="A401" s="10" t="s">
        <v>371</v>
      </c>
      <c r="B401" s="11" t="n">
        <f aca="false">1*B394+1*B395+1*B396+1*B397+1*B398+1*B399+1*B400</f>
        <v>0</v>
      </c>
      <c r="C401" s="11" t="n">
        <f aca="false">1*C394+1*C395+1*C396+1*C397+1*C398+1*C399+1*C400</f>
        <v>0</v>
      </c>
    </row>
    <row r="402" customFormat="false" ht="16.5" hidden="false" customHeight="true" outlineLevel="0" collapsed="false">
      <c r="A402" s="5" t="s">
        <v>372</v>
      </c>
      <c r="B402" s="12"/>
      <c r="C402" s="12"/>
    </row>
    <row r="403" customFormat="false" ht="15.75" hidden="false" customHeight="true" outlineLevel="0" collapsed="false">
      <c r="A403" s="17" t="s">
        <v>373</v>
      </c>
      <c r="B403" s="2"/>
      <c r="C403" s="2"/>
    </row>
    <row r="404" customFormat="false" ht="15.75" hidden="false" customHeight="true" outlineLevel="0" collapsed="false">
      <c r="A404" s="18" t="s">
        <v>313</v>
      </c>
      <c r="B404" s="9"/>
      <c r="C404" s="9"/>
    </row>
    <row r="405" customFormat="false" ht="15.75" hidden="false" customHeight="true" outlineLevel="0" collapsed="false">
      <c r="A405" s="18" t="s">
        <v>374</v>
      </c>
      <c r="B405" s="9"/>
      <c r="C405" s="9"/>
    </row>
    <row r="406" customFormat="false" ht="15.75" hidden="false" customHeight="true" outlineLevel="0" collapsed="false">
      <c r="A406" s="18" t="s">
        <v>314</v>
      </c>
      <c r="B406" s="9"/>
      <c r="C406" s="9"/>
    </row>
    <row r="407" customFormat="false" ht="15.75" hidden="false" customHeight="true" outlineLevel="0" collapsed="false">
      <c r="A407" s="18" t="s">
        <v>315</v>
      </c>
      <c r="B407" s="9"/>
      <c r="C407" s="9"/>
    </row>
    <row r="408" customFormat="false" ht="15.75" hidden="false" customHeight="true" outlineLevel="0" collapsed="false">
      <c r="A408" s="18" t="s">
        <v>316</v>
      </c>
      <c r="B408" s="9"/>
      <c r="C408" s="9"/>
    </row>
    <row r="409" customFormat="false" ht="15.75" hidden="false" customHeight="true" outlineLevel="0" collapsed="false">
      <c r="A409" s="18" t="s">
        <v>317</v>
      </c>
      <c r="B409" s="9"/>
      <c r="C409" s="9"/>
    </row>
    <row r="410" customFormat="false" ht="27.75" hidden="false" customHeight="true" outlineLevel="0" collapsed="false">
      <c r="A410" s="18" t="s">
        <v>318</v>
      </c>
      <c r="B410" s="9"/>
      <c r="C410" s="9"/>
    </row>
    <row r="411" customFormat="false" ht="15.75" hidden="false" customHeight="true" outlineLevel="0" collapsed="false">
      <c r="A411" s="18" t="s">
        <v>375</v>
      </c>
      <c r="B411" s="9"/>
      <c r="C411" s="9"/>
    </row>
    <row r="412" customFormat="false" ht="15.75" hidden="false" customHeight="true" outlineLevel="0" collapsed="false">
      <c r="A412" s="20" t="s">
        <v>376</v>
      </c>
      <c r="B412" s="7" t="n">
        <f aca="false">1*B404+1*B405+1*B406+1*B407+1*B408+1*B409+1*B410+1*B411</f>
        <v>0</v>
      </c>
      <c r="C412" s="7" t="n">
        <f aca="false">1*C404+1*C405+1*C406+1*C407+1*C408+1*C409+1*C410+1*C411</f>
        <v>0</v>
      </c>
    </row>
    <row r="413" customFormat="false" ht="15.75" hidden="false" customHeight="true" outlineLevel="0" collapsed="false">
      <c r="A413" s="17" t="s">
        <v>377</v>
      </c>
      <c r="B413" s="2"/>
      <c r="C413" s="2"/>
    </row>
    <row r="414" customFormat="false" ht="27.75" hidden="false" customHeight="true" outlineLevel="0" collapsed="false">
      <c r="A414" s="26" t="s">
        <v>378</v>
      </c>
      <c r="B414" s="2"/>
      <c r="C414" s="2"/>
    </row>
    <row r="415" customFormat="false" ht="27.75" hidden="false" customHeight="true" outlineLevel="0" collapsed="false">
      <c r="A415" s="27" t="s">
        <v>323</v>
      </c>
      <c r="B415" s="9"/>
      <c r="C415" s="9"/>
    </row>
    <row r="416" customFormat="false" ht="15.75" hidden="false" customHeight="true" outlineLevel="0" collapsed="false">
      <c r="A416" s="27" t="s">
        <v>324</v>
      </c>
      <c r="B416" s="9"/>
      <c r="C416" s="9"/>
    </row>
    <row r="417" customFormat="false" ht="15.75" hidden="false" customHeight="true" outlineLevel="0" collapsed="false">
      <c r="A417" s="27" t="s">
        <v>325</v>
      </c>
      <c r="B417" s="9"/>
      <c r="C417" s="9"/>
    </row>
    <row r="418" customFormat="false" ht="15.75" hidden="false" customHeight="true" outlineLevel="0" collapsed="false">
      <c r="A418" s="27" t="s">
        <v>326</v>
      </c>
      <c r="B418" s="9"/>
      <c r="C418" s="9"/>
    </row>
    <row r="419" customFormat="false" ht="27.75" hidden="false" customHeight="true" outlineLevel="0" collapsed="false">
      <c r="A419" s="27" t="s">
        <v>327</v>
      </c>
      <c r="B419" s="9"/>
      <c r="C419" s="9"/>
    </row>
    <row r="420" customFormat="false" ht="27.75" hidden="false" customHeight="true" outlineLevel="0" collapsed="false">
      <c r="A420" s="28" t="s">
        <v>379</v>
      </c>
      <c r="B420" s="7" t="n">
        <f aca="false">1*B415+1*B416+1*B417+1*B418+1*B419</f>
        <v>0</v>
      </c>
      <c r="C420" s="7" t="n">
        <f aca="false">1*C415+1*C416+1*C417+1*C418+1*C419</f>
        <v>0</v>
      </c>
    </row>
    <row r="421" customFormat="false" ht="27.75" hidden="false" customHeight="true" outlineLevel="0" collapsed="false">
      <c r="A421" s="26" t="s">
        <v>329</v>
      </c>
      <c r="B421" s="2"/>
      <c r="C421" s="2"/>
    </row>
    <row r="422" customFormat="false" ht="27.75" hidden="false" customHeight="true" outlineLevel="0" collapsed="false">
      <c r="A422" s="27" t="s">
        <v>330</v>
      </c>
      <c r="B422" s="9"/>
      <c r="C422" s="9"/>
    </row>
    <row r="423" customFormat="false" ht="15.75" hidden="false" customHeight="true" outlineLevel="0" collapsed="false">
      <c r="A423" s="27" t="s">
        <v>331</v>
      </c>
      <c r="B423" s="9"/>
      <c r="C423" s="9"/>
    </row>
    <row r="424" customFormat="false" ht="27.75" hidden="false" customHeight="true" outlineLevel="0" collapsed="false">
      <c r="A424" s="27" t="s">
        <v>380</v>
      </c>
      <c r="B424" s="9"/>
      <c r="C424" s="9"/>
    </row>
    <row r="425" customFormat="false" ht="27.75" hidden="false" customHeight="true" outlineLevel="0" collapsed="false">
      <c r="A425" s="28" t="s">
        <v>333</v>
      </c>
      <c r="B425" s="7" t="n">
        <f aca="false">1*B422+1*B423+1*B424</f>
        <v>0</v>
      </c>
      <c r="C425" s="7" t="n">
        <f aca="false">1*C422+1*C423+1*C424</f>
        <v>0</v>
      </c>
    </row>
    <row r="426" customFormat="false" ht="15.75" hidden="false" customHeight="true" outlineLevel="0" collapsed="false">
      <c r="A426" s="26" t="s">
        <v>381</v>
      </c>
      <c r="B426" s="2"/>
      <c r="C426" s="2"/>
    </row>
    <row r="427" customFormat="false" ht="15.75" hidden="false" customHeight="true" outlineLevel="0" collapsed="false">
      <c r="A427" s="27" t="s">
        <v>336</v>
      </c>
      <c r="B427" s="9" t="n">
        <v>399113</v>
      </c>
      <c r="C427" s="9" t="n">
        <v>276634</v>
      </c>
    </row>
    <row r="428" customFormat="false" ht="15.75" hidden="false" customHeight="true" outlineLevel="0" collapsed="false">
      <c r="A428" s="27" t="s">
        <v>337</v>
      </c>
      <c r="B428" s="9"/>
      <c r="C428" s="9"/>
    </row>
    <row r="429" customFormat="false" ht="15.75" hidden="false" customHeight="true" outlineLevel="0" collapsed="false">
      <c r="A429" s="27" t="s">
        <v>335</v>
      </c>
      <c r="B429" s="9" t="n">
        <v>0</v>
      </c>
      <c r="C429" s="9" t="n">
        <v>3993750</v>
      </c>
    </row>
    <row r="430" customFormat="false" ht="15.75" hidden="false" customHeight="true" outlineLevel="0" collapsed="false">
      <c r="A430" s="27" t="s">
        <v>382</v>
      </c>
      <c r="B430" s="9"/>
      <c r="C430" s="9"/>
    </row>
    <row r="431" customFormat="false" ht="15.75" hidden="false" customHeight="true" outlineLevel="0" collapsed="false">
      <c r="A431" s="27" t="s">
        <v>383</v>
      </c>
      <c r="B431" s="9"/>
      <c r="C431" s="9"/>
    </row>
    <row r="432" customFormat="false" ht="15.75" hidden="false" customHeight="true" outlineLevel="0" collapsed="false">
      <c r="A432" s="27" t="s">
        <v>384</v>
      </c>
      <c r="B432" s="9"/>
      <c r="C432" s="9"/>
    </row>
    <row r="433" customFormat="false" ht="15.75" hidden="false" customHeight="true" outlineLevel="0" collapsed="false">
      <c r="A433" s="27" t="s">
        <v>385</v>
      </c>
      <c r="B433" s="9"/>
      <c r="C433" s="9"/>
    </row>
    <row r="434" customFormat="false" ht="15.75" hidden="false" customHeight="true" outlineLevel="0" collapsed="false">
      <c r="A434" s="27" t="s">
        <v>386</v>
      </c>
      <c r="B434" s="9" t="n">
        <v>2809</v>
      </c>
      <c r="C434" s="9" t="n">
        <v>1537</v>
      </c>
    </row>
    <row r="435" customFormat="false" ht="15.75" hidden="false" customHeight="true" outlineLevel="0" collapsed="false">
      <c r="A435" s="28" t="s">
        <v>387</v>
      </c>
      <c r="B435" s="7" t="n">
        <f aca="false">1*B427+1*B428+1*B429+1*B430+1*B431+1*B432+1*B433+1*B434</f>
        <v>401922</v>
      </c>
      <c r="C435" s="7" t="n">
        <f aca="false">1*C427+1*C428+1*C429+1*C430+1*C431+1*C432+1*C433+1*C434</f>
        <v>4271921</v>
      </c>
    </row>
    <row r="436" customFormat="false" ht="15.75" hidden="false" customHeight="true" outlineLevel="0" collapsed="false">
      <c r="A436" s="20" t="s">
        <v>388</v>
      </c>
      <c r="B436" s="7" t="n">
        <f aca="false">1*B420+1*B425+1*B435</f>
        <v>401922</v>
      </c>
      <c r="C436" s="7" t="n">
        <f aca="false">1*C420+1*C425+1*C435</f>
        <v>4271921</v>
      </c>
    </row>
    <row r="437" customFormat="false" ht="28.5" hidden="false" customHeight="true" outlineLevel="0" collapsed="false">
      <c r="A437" s="10" t="s">
        <v>389</v>
      </c>
      <c r="B437" s="11" t="n">
        <f aca="false">1*B412+1*B436</f>
        <v>401922</v>
      </c>
      <c r="C437" s="11" t="n">
        <f aca="false">1*C412+1*C436</f>
        <v>4271921</v>
      </c>
    </row>
    <row r="438" customFormat="false" ht="16.5" hidden="false" customHeight="true" outlineLevel="0" collapsed="false">
      <c r="A438" s="5" t="s">
        <v>390</v>
      </c>
      <c r="B438" s="12"/>
      <c r="C438" s="12"/>
    </row>
    <row r="439" customFormat="false" ht="27.75" hidden="false" customHeight="true" outlineLevel="0" collapsed="false">
      <c r="A439" s="17" t="s">
        <v>210</v>
      </c>
      <c r="B439" s="2"/>
      <c r="C439" s="2"/>
    </row>
    <row r="440" customFormat="false" ht="15.75" hidden="false" customHeight="true" outlineLevel="0" collapsed="false">
      <c r="A440" s="18" t="s">
        <v>173</v>
      </c>
      <c r="B440" s="9"/>
      <c r="C440" s="9"/>
    </row>
    <row r="441" customFormat="false" ht="15.75" hidden="false" customHeight="true" outlineLevel="0" collapsed="false">
      <c r="A441" s="18" t="s">
        <v>174</v>
      </c>
      <c r="B441" s="9"/>
      <c r="C441" s="9"/>
    </row>
    <row r="442" customFormat="false" ht="15.75" hidden="false" customHeight="true" outlineLevel="0" collapsed="false">
      <c r="A442" s="18" t="s">
        <v>175</v>
      </c>
      <c r="B442" s="9"/>
      <c r="C442" s="9"/>
    </row>
    <row r="443" customFormat="false" ht="15.75" hidden="false" customHeight="true" outlineLevel="0" collapsed="false">
      <c r="A443" s="18" t="s">
        <v>176</v>
      </c>
      <c r="B443" s="9"/>
      <c r="C443" s="9"/>
    </row>
    <row r="444" customFormat="false" ht="27.75" hidden="false" customHeight="true" outlineLevel="0" collapsed="false">
      <c r="A444" s="20" t="s">
        <v>211</v>
      </c>
      <c r="B444" s="7" t="n">
        <f aca="false">1*B440+1*B441+1*B442+1*B443</f>
        <v>0</v>
      </c>
      <c r="C444" s="7" t="n">
        <f aca="false">1*C440+1*C441+1*C442+1*C443</f>
        <v>0</v>
      </c>
    </row>
    <row r="445" customFormat="false" ht="15.75" hidden="false" customHeight="true" outlineLevel="0" collapsed="false">
      <c r="A445" s="17" t="s">
        <v>391</v>
      </c>
      <c r="B445" s="2"/>
      <c r="C445" s="2"/>
    </row>
    <row r="446" customFormat="false" ht="15.75" hidden="false" customHeight="true" outlineLevel="0" collapsed="false">
      <c r="A446" s="18" t="s">
        <v>173</v>
      </c>
      <c r="B446" s="9"/>
      <c r="C446" s="9"/>
    </row>
    <row r="447" customFormat="false" ht="15.75" hidden="false" customHeight="true" outlineLevel="0" collapsed="false">
      <c r="A447" s="18" t="s">
        <v>174</v>
      </c>
      <c r="B447" s="9"/>
      <c r="C447" s="9"/>
    </row>
    <row r="448" customFormat="false" ht="15.75" hidden="false" customHeight="true" outlineLevel="0" collapsed="false">
      <c r="A448" s="18" t="s">
        <v>175</v>
      </c>
      <c r="B448" s="9"/>
      <c r="C448" s="9"/>
    </row>
    <row r="449" customFormat="false" ht="15.75" hidden="false" customHeight="true" outlineLevel="0" collapsed="false">
      <c r="A449" s="18" t="s">
        <v>176</v>
      </c>
      <c r="B449" s="9"/>
      <c r="C449" s="9"/>
    </row>
    <row r="450" customFormat="false" ht="27.75" hidden="false" customHeight="true" outlineLevel="0" collapsed="false">
      <c r="A450" s="20" t="s">
        <v>392</v>
      </c>
      <c r="B450" s="7" t="n">
        <f aca="false">1*B446+1*B447+1*B448+1*B449</f>
        <v>0</v>
      </c>
      <c r="C450" s="7" t="n">
        <f aca="false">1*C446+1*C447+1*C448+1*C449</f>
        <v>0</v>
      </c>
    </row>
    <row r="451" customFormat="false" ht="15.75" hidden="false" customHeight="true" outlineLevel="0" collapsed="false">
      <c r="A451" s="8" t="s">
        <v>393</v>
      </c>
      <c r="B451" s="9"/>
      <c r="C451" s="9"/>
    </row>
    <row r="452" customFormat="false" ht="28.5" hidden="false" customHeight="true" outlineLevel="0" collapsed="false">
      <c r="A452" s="10" t="s">
        <v>394</v>
      </c>
      <c r="B452" s="11" t="n">
        <f aca="false">1*B444+1*B450+1*B451</f>
        <v>0</v>
      </c>
      <c r="C452" s="11" t="n">
        <f aca="false">1*C444+1*C450+1*C451</f>
        <v>0</v>
      </c>
    </row>
    <row r="453" customFormat="false" ht="16.5" hidden="false" customHeight="true" outlineLevel="0" collapsed="false"/>
  </sheetData>
  <dataValidations count="1">
    <dataValidation allowBlank="true" error="Please enter a numeric value upto 2 decimal places only" errorStyle="stop" operator="between" showDropDown="false" showErrorMessage="true" showInputMessage="true" sqref="B10:C12 B15:C18 B22:C25 B27:C38 B42:C43 B46:C46 B48:C48 B51:C52 B56:C66 B68:C68 B71:C76 B79:C85 B88:C94 B98:C104 B108:C112 B115:C117 B123:C126 B128:C128 B131:C135 B139:C147 B151:C155 B158:C159 B162:C166 B172:C175 B177:C177 B181:C182 B185:C190 B192:C192 B195:C197 B200:C202 B206:C213 B216:C220 B224:C228 B232:C238 B241:C248 B251:C255 B258:C262 B265:C269 B273:C279 B282:C288 B292:C298 B302:C306 B309:C311 B314:C318 B324:C327 B330:C333 B335:C335 B339:C348 B351:C359 B362:C366 B369:C373 B376:C381 B385:C391 B394:C400 B404:C411 B415:C419 B422:C424 B427:C434 B440:C443 B446:C449 B451:C451" type="decimal">
      <formula1>-999999999999999</formula1>
      <formula2>999999999999999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2026-04-03T05:07:37Z</dcterms:created>
  <dc:creator>yeeliang.94@gmail.com</dc:creator>
  <dc:description/>
  <dc:language>en-US</dc:language>
  <cp:lastModifiedBy>yeeliang.94@gmail.com</cp:lastModifiedBy>
  <dcterms:modified xsi:type="dcterms:W3CDTF">2026-04-03T06:24:19Z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