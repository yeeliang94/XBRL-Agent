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PL-Nature" sheetId="1" state="visible" r:id="rId1"/>
    <sheet xmlns:r="http://schemas.openxmlformats.org/officeDocument/2006/relationships" name="SOPL-Analysis-Natu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profit or loss</t>
        </is>
      </c>
      <c r="B3">
        <f>'SOPL-Analysis-Nature'!B3</f>
        <v/>
      </c>
      <c r="C3">
        <f>'SOPL-Analysis-Nature'!C3</f>
        <v/>
      </c>
      <c r="D3">
        <f>'SOPL-Analysis-Nature'!D3</f>
        <v/>
      </c>
      <c r="E3">
        <f>'SOPL-Analysis-Nature'!E3</f>
        <v/>
      </c>
    </row>
    <row r="4">
      <c r="A4" t="inlineStr">
        <is>
          <t>Statement of Profit or Loss</t>
        </is>
      </c>
    </row>
    <row r="5">
      <c r="A5" t="inlineStr">
        <is>
          <t>Continuing operations</t>
        </is>
      </c>
    </row>
    <row r="6">
      <c r="A6" t="inlineStr">
        <is>
          <t>Revenue</t>
        </is>
      </c>
      <c r="B6">
        <f>'SOPL-Analysis-Nature'!B39</f>
        <v/>
      </c>
      <c r="C6">
        <f>'SOPL-Analysis-Nature'!C39</f>
        <v/>
      </c>
      <c r="D6">
        <f>'SOPL-Analysis-Nature'!D39</f>
        <v/>
      </c>
      <c r="E6">
        <f>'SOPL-Analysis-Nature'!E39</f>
        <v/>
      </c>
    </row>
    <row r="7">
      <c r="A7" t="inlineStr">
        <is>
          <t>Other income</t>
        </is>
      </c>
      <c r="B7">
        <f>'SOPL-Analysis-Nature'!B81</f>
        <v/>
      </c>
      <c r="C7">
        <f>'SOPL-Analysis-Nature'!C81</f>
        <v/>
      </c>
      <c r="D7">
        <f>'SOPL-Analysis-Nature'!D81</f>
        <v/>
      </c>
      <c r="E7">
        <f>'SOPL-Analysis-Nature'!E81</f>
        <v/>
      </c>
    </row>
    <row r="8">
      <c r="A8" t="inlineStr">
        <is>
          <t>Increase (decrease) in inventories of finished goods and work in progress</t>
        </is>
      </c>
    </row>
    <row r="9">
      <c r="A9" t="inlineStr">
        <is>
          <t>Raw materials and consumables used</t>
        </is>
      </c>
    </row>
    <row r="10">
      <c r="A10" t="inlineStr">
        <is>
          <t>Employee benefits expense</t>
        </is>
      </c>
      <c r="B10">
        <f>'SOPL-Analysis-Nature'!B94</f>
        <v/>
      </c>
      <c r="C10">
        <f>'SOPL-Analysis-Nature'!C94</f>
        <v/>
      </c>
      <c r="D10">
        <f>'SOPL-Analysis-Nature'!D94</f>
        <v/>
      </c>
      <c r="E10">
        <f>'SOPL-Analysis-Nature'!E94</f>
        <v/>
      </c>
    </row>
    <row r="11">
      <c r="A11" t="inlineStr">
        <is>
          <t>Depreciation and amortisation expense</t>
        </is>
      </c>
    </row>
    <row r="12">
      <c r="A12" t="inlineStr">
        <is>
          <t>Other expenses</t>
        </is>
      </c>
      <c r="B12">
        <f>'SOPL-Analysis-Nature'!B128</f>
        <v/>
      </c>
      <c r="C12">
        <f>'SOPL-Analysis-Nature'!C128</f>
        <v/>
      </c>
      <c r="D12">
        <f>'SOPL-Analysis-Nature'!D128</f>
        <v/>
      </c>
      <c r="E12">
        <f>'SOPL-Analysis-Nature'!E128</f>
        <v/>
      </c>
    </row>
    <row r="13">
      <c r="A13" s="1" t="inlineStr">
        <is>
          <t>*Profit (loss) from operating activities</t>
        </is>
      </c>
      <c r="B13">
        <f>1*B6+1*B7+-1*B8+-1*B9+-1*B10+-1*B11+-1*B12</f>
        <v/>
      </c>
      <c r="C13">
        <f>1*C6+1*C7+-1*C8+-1*C9+-1*C10+-1*C11+-1*C12</f>
        <v/>
      </c>
      <c r="D13">
        <f>1*D6+1*D7+-1*D8+-1*D9+-1*D10+-1*D11+-1*D12</f>
        <v/>
      </c>
      <c r="E13">
        <f>1*E6+1*E7+-1*E8+-1*E9+-1*E10+-1*E11+-1*E12</f>
        <v/>
      </c>
    </row>
    <row r="14">
      <c r="A14" t="inlineStr">
        <is>
          <t>Finance income</t>
        </is>
      </c>
      <c r="B14">
        <f>'SOPL-Analysis-Nature'!B132</f>
        <v/>
      </c>
      <c r="C14">
        <f>'SOPL-Analysis-Nature'!C132</f>
        <v/>
      </c>
      <c r="D14">
        <f>'SOPL-Analysis-Nature'!D132</f>
        <v/>
      </c>
      <c r="E14">
        <f>'SOPL-Analysis-Nature'!E132</f>
        <v/>
      </c>
    </row>
    <row r="15">
      <c r="A15" t="inlineStr">
        <is>
          <t>Finance costs</t>
        </is>
      </c>
    </row>
    <row r="16">
      <c r="A16" t="inlineStr">
        <is>
          <t>Share of profit (loss) of associates and joint ventures accounted for using equity method</t>
        </is>
      </c>
    </row>
    <row r="17">
      <c r="A17" s="1" t="inlineStr">
        <is>
          <t>*Profit (loss) before tax</t>
        </is>
      </c>
      <c r="B17">
        <f>1*B6+1*B7+1*B14+-1*B15+1*B16+-1*B8+-1*B9+-1*B10+-1*B11+-1*B12</f>
        <v/>
      </c>
      <c r="C17">
        <f>1*C6+1*C7+1*C14+-1*C15+1*C16+-1*C8+-1*C9+-1*C10+-1*C11+-1*C12</f>
        <v/>
      </c>
      <c r="D17">
        <f>1*D6+1*D7+1*D14+-1*D15+1*D16+-1*D8+-1*D9+-1*D10+-1*D11+-1*D12</f>
        <v/>
      </c>
      <c r="E17">
        <f>1*E6+1*E7+1*E14+-1*E15+1*E16+-1*E8+-1*E9+-1*E10+-1*E11+-1*E12</f>
        <v/>
      </c>
    </row>
    <row r="18">
      <c r="A18" t="inlineStr">
        <is>
          <t>Tax expense</t>
        </is>
      </c>
    </row>
    <row r="19">
      <c r="A19" t="inlineStr">
        <is>
          <t>Contribution to zakat</t>
        </is>
      </c>
    </row>
    <row r="20">
      <c r="A20" s="1" t="inlineStr">
        <is>
          <t>*Profit (loss) from continuing operations</t>
        </is>
      </c>
      <c r="B20">
        <f>1*B17+-1*B18+-1*B19</f>
        <v/>
      </c>
      <c r="C20">
        <f>1*C17+-1*C18+-1*C19</f>
        <v/>
      </c>
      <c r="D20">
        <f>1*D17+-1*D18+-1*D19</f>
        <v/>
      </c>
      <c r="E20">
        <f>1*E17+-1*E18+-1*E19</f>
        <v/>
      </c>
    </row>
    <row r="21">
      <c r="A21" t="inlineStr">
        <is>
          <t>Discontinued operations</t>
        </is>
      </c>
    </row>
    <row r="22">
      <c r="A22" t="inlineStr">
        <is>
          <t>Profit (loss) before tax, from discontinued operation</t>
        </is>
      </c>
    </row>
    <row r="23">
      <c r="A23" s="1" t="inlineStr">
        <is>
          <t>*Profit (loss)</t>
        </is>
      </c>
      <c r="B23">
        <f>1*B20+1*B22</f>
        <v/>
      </c>
      <c r="C23">
        <f>1*C20+1*C22</f>
        <v/>
      </c>
      <c r="D23">
        <f>1*D20+1*D22</f>
        <v/>
      </c>
      <c r="E23">
        <f>1*E20+1*E22</f>
        <v/>
      </c>
    </row>
    <row r="24">
      <c r="A24" t="inlineStr">
        <is>
          <t>Profit (loss), attributable to</t>
        </is>
      </c>
    </row>
    <row r="25">
      <c r="A25" t="inlineStr">
        <is>
          <t>Profit (loss), attributable to owners of parent</t>
        </is>
      </c>
    </row>
    <row r="26">
      <c r="A26" t="inlineStr">
        <is>
          <t>Profit (loss), attributable to equity other components</t>
        </is>
      </c>
    </row>
    <row r="27">
      <c r="A27" t="inlineStr">
        <is>
          <t>Profit (loss), attributable to non-controlling interests</t>
        </is>
      </c>
    </row>
    <row r="28">
      <c r="A28" s="1" t="inlineStr">
        <is>
          <t>*Total Profit (Loss)</t>
        </is>
      </c>
      <c r="B28">
        <f>1*B25+1*B26+1*B27</f>
        <v/>
      </c>
      <c r="C28">
        <f>1*C25+1*C26+1*C27</f>
        <v/>
      </c>
      <c r="D28">
        <f>1*D25+1*D26+1*D27</f>
        <v/>
      </c>
      <c r="E28">
        <f>1*E25+1*E26+1*E27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profit or loss</t>
        </is>
      </c>
    </row>
    <row r="4">
      <c r="A4" t="inlineStr">
        <is>
          <t>Analysis of profit or loss</t>
        </is>
      </c>
    </row>
    <row r="5">
      <c r="A5" t="inlineStr">
        <is>
          <t>Revenue</t>
        </is>
      </c>
    </row>
    <row r="6">
      <c r="A6" t="inlineStr">
        <is>
          <t>Revenue from sale of goods</t>
        </is>
      </c>
    </row>
    <row r="7">
      <c r="A7" t="inlineStr">
        <is>
          <t>Revenue from sale of broadband and telecommunication</t>
        </is>
      </c>
    </row>
    <row r="8">
      <c r="A8" t="inlineStr">
        <is>
          <t>Revenue from property development</t>
        </is>
      </c>
    </row>
    <row r="9">
      <c r="A9" t="inlineStr">
        <is>
          <t>Revenue from construction contracts</t>
        </is>
      </c>
    </row>
    <row r="10">
      <c r="A10" t="inlineStr">
        <is>
          <t>Sale of clean water, treatment and disposal of waste water</t>
        </is>
      </c>
    </row>
    <row r="11">
      <c r="A11" t="inlineStr">
        <is>
          <t>Revenue from sale of food and beverage</t>
        </is>
      </c>
    </row>
    <row r="12">
      <c r="A12" t="inlineStr">
        <is>
          <t>Revenue from sale of agricultural produce</t>
        </is>
      </c>
    </row>
    <row r="13">
      <c r="A13" t="inlineStr">
        <is>
          <t>Revenue from sale of oil and gas products</t>
        </is>
      </c>
    </row>
    <row r="14">
      <c r="A14" t="inlineStr">
        <is>
          <t>Other revenue from sale of goods</t>
        </is>
      </c>
    </row>
    <row r="15">
      <c r="A15" s="1" t="inlineStr">
        <is>
          <t>*Total revenue from sale of goods</t>
        </is>
      </c>
      <c r="B15">
        <f>1*B7+1*B8+1*B9+1*B10+1*B11+1*B12+1*B13+1*B14</f>
        <v/>
      </c>
      <c r="C15">
        <f>1*C7+1*C8+1*C9+1*C10+1*C11+1*C12+1*C13+1*C14</f>
        <v/>
      </c>
      <c r="D15">
        <f>1*D7+1*D8+1*D9+1*D10+1*D11+1*D12+1*D13+1*D14</f>
        <v/>
      </c>
      <c r="E15">
        <f>1*E7+1*E8+1*E9+1*E10+1*E11+1*E12+1*E13+1*E14</f>
        <v/>
      </c>
    </row>
    <row r="16">
      <c r="A16" t="inlineStr">
        <is>
          <t>Revenue from rendering of services</t>
        </is>
      </c>
    </row>
    <row r="17">
      <c r="A17" t="inlineStr">
        <is>
          <t>Income from entertainment operations</t>
        </is>
      </c>
    </row>
    <row r="18">
      <c r="A18" t="inlineStr">
        <is>
          <t>Revenue from rendering of telecommunication services</t>
        </is>
      </c>
    </row>
    <row r="19">
      <c r="A19" t="inlineStr">
        <is>
          <t>Revenue from rendering of transportation services</t>
        </is>
      </c>
    </row>
    <row r="20">
      <c r="A20" t="inlineStr">
        <is>
          <t>Revenue from rendering of information technology services</t>
        </is>
      </c>
    </row>
    <row r="21">
      <c r="A21" t="inlineStr">
        <is>
          <t>Education services income</t>
        </is>
      </c>
    </row>
    <row r="22">
      <c r="A22" t="inlineStr">
        <is>
          <t>Healthcare services income</t>
        </is>
      </c>
    </row>
    <row r="23">
      <c r="A23" t="inlineStr">
        <is>
          <t>Revenue from rendering of shipping and shipping related services</t>
        </is>
      </c>
    </row>
    <row r="24">
      <c r="A24" t="inlineStr">
        <is>
          <t>Other revenue from rendering of services</t>
        </is>
      </c>
    </row>
    <row r="25">
      <c r="A25" s="1" t="inlineStr">
        <is>
          <t>*Total revenue from rendering of services</t>
        </is>
      </c>
      <c r="B25">
        <f>1*B17+1*B18+1*B19+1*B20+1*B21+1*B22+1*B23+1*B24</f>
        <v/>
      </c>
      <c r="C25">
        <f>1*C17+1*C18+1*C19+1*C20+1*C21+1*C22+1*C23+1*C24</f>
        <v/>
      </c>
      <c r="D25">
        <f>1*D17+1*D18+1*D19+1*D20+1*D21+1*D22+1*D23+1*D24</f>
        <v/>
      </c>
      <c r="E25">
        <f>1*E17+1*E18+1*E19+1*E20+1*E21+1*E22+1*E23+1*E24</f>
        <v/>
      </c>
    </row>
    <row r="26">
      <c r="A26" t="inlineStr">
        <is>
          <t>Interest income</t>
        </is>
      </c>
    </row>
    <row r="27">
      <c r="A27" t="inlineStr">
        <is>
          <t>Interest income on loans, advances and financing</t>
        </is>
      </c>
    </row>
    <row r="28">
      <c r="A28" t="inlineStr">
        <is>
          <t>Interest income on other financial assets</t>
        </is>
      </c>
    </row>
    <row r="29">
      <c r="A29" s="1" t="inlineStr">
        <is>
          <t>*Total interest income</t>
        </is>
      </c>
      <c r="B29">
        <f>1*B27+1*B28</f>
        <v/>
      </c>
      <c r="C29">
        <f>1*C27+1*C28</f>
        <v/>
      </c>
      <c r="D29">
        <f>1*D27+1*D28</f>
        <v/>
      </c>
      <c r="E29">
        <f>1*E27+1*E28</f>
        <v/>
      </c>
    </row>
    <row r="30">
      <c r="A30" t="inlineStr">
        <is>
          <t>Other fee and commission income</t>
        </is>
      </c>
    </row>
    <row r="31">
      <c r="A31" t="inlineStr">
        <is>
          <t>Gross brokerage and other charges</t>
        </is>
      </c>
    </row>
    <row r="32">
      <c r="A32" t="inlineStr">
        <is>
          <t>Underwriting commissions and fund management income</t>
        </is>
      </c>
    </row>
    <row r="33">
      <c r="A33" t="inlineStr">
        <is>
          <t>Other fee and commission</t>
        </is>
      </c>
    </row>
    <row r="34">
      <c r="A34" s="1" t="inlineStr">
        <is>
          <t>*Total other fee and commission income</t>
        </is>
      </c>
      <c r="B34">
        <f>1*B31+1*B32+1*B33</f>
        <v/>
      </c>
      <c r="C34">
        <f>1*C31+1*C32+1*C33</f>
        <v/>
      </c>
      <c r="D34">
        <f>1*D31+1*D32+1*D33</f>
        <v/>
      </c>
      <c r="E34">
        <f>1*E31+1*E32+1*E33</f>
        <v/>
      </c>
    </row>
    <row r="35">
      <c r="A35" t="inlineStr">
        <is>
          <t>Dividend income</t>
        </is>
      </c>
    </row>
    <row r="36">
      <c r="A36" t="inlineStr">
        <is>
          <t>Rental income</t>
        </is>
      </c>
    </row>
    <row r="37">
      <c r="A37" t="inlineStr">
        <is>
          <t>Royalty income</t>
        </is>
      </c>
    </row>
    <row r="38">
      <c r="A38" t="inlineStr">
        <is>
          <t>Other revenue</t>
        </is>
      </c>
    </row>
    <row r="39">
      <c r="A39" s="1" t="inlineStr">
        <is>
          <t>*Total revenue</t>
        </is>
      </c>
      <c r="B39">
        <f>1*B15+1*B25+1*B29+1*B34+1*B35+1*B36+1*B37+1*B38</f>
        <v/>
      </c>
      <c r="C39">
        <f>1*C15+1*C25+1*C29+1*C34+1*C35+1*C36+1*C37+1*C38</f>
        <v/>
      </c>
      <c r="D39">
        <f>1*D15+1*D25+1*D29+1*D34+1*D35+1*D36+1*D37+1*D38</f>
        <v/>
      </c>
      <c r="E39">
        <f>1*E15+1*E25+1*E29+1*E34+1*E35+1*E36+1*E37+1*E38</f>
        <v/>
      </c>
    </row>
    <row r="40">
      <c r="A40" t="inlineStr">
        <is>
          <t>Other income</t>
        </is>
      </c>
    </row>
    <row r="41">
      <c r="A41" t="inlineStr">
        <is>
          <t>Deferred income</t>
        </is>
      </c>
    </row>
    <row r="42">
      <c r="A42" t="inlineStr">
        <is>
          <t>Bad debts recovered</t>
        </is>
      </c>
    </row>
    <row r="43">
      <c r="A43" t="inlineStr">
        <is>
          <t>Dividend, other income</t>
        </is>
      </c>
    </row>
    <row r="44">
      <c r="A44" t="inlineStr">
        <is>
          <t>Foreign exchange gain</t>
        </is>
      </c>
    </row>
    <row r="45">
      <c r="A45" t="inlineStr">
        <is>
          <t>Realised foreign currencies exchange gain transferred from equity</t>
        </is>
      </c>
    </row>
    <row r="46">
      <c r="A46" t="inlineStr">
        <is>
          <t>Unrealised gain on foreign exchange</t>
        </is>
      </c>
    </row>
    <row r="47">
      <c r="A47" s="1" t="inlineStr">
        <is>
          <t>*Total foreign exchange gain</t>
        </is>
      </c>
      <c r="B47">
        <f>1*B45+1*B46</f>
        <v/>
      </c>
      <c r="C47">
        <f>1*C45+1*C46</f>
        <v/>
      </c>
      <c r="D47">
        <f>1*D45+1*D46</f>
        <v/>
      </c>
      <c r="E47">
        <f>1*E45+1*E46</f>
        <v/>
      </c>
    </row>
    <row r="48">
      <c r="A48" t="inlineStr">
        <is>
          <t>Gain on disposal of subsidiaries, associates and joint ventures</t>
        </is>
      </c>
    </row>
    <row r="49">
      <c r="A49" t="inlineStr">
        <is>
          <t>Gain on disposal of subsidiaries</t>
        </is>
      </c>
    </row>
    <row r="50">
      <c r="A50" t="inlineStr">
        <is>
          <t>Gain on disposal of associates</t>
        </is>
      </c>
    </row>
    <row r="51">
      <c r="A51" t="inlineStr">
        <is>
          <t>Gain on disposal of joint ventures</t>
        </is>
      </c>
    </row>
    <row r="52">
      <c r="A52" s="1" t="inlineStr">
        <is>
          <t>*Total gain on disposal of subsidiaries, associates and joint ventures</t>
        </is>
      </c>
      <c r="B52">
        <f>1*B49+1*B50+1*B51</f>
        <v/>
      </c>
      <c r="C52">
        <f>1*C49+1*C50+1*C51</f>
        <v/>
      </c>
      <c r="D52">
        <f>1*D49+1*D50+1*D51</f>
        <v/>
      </c>
      <c r="E52">
        <f>1*E49+1*E50+1*E51</f>
        <v/>
      </c>
    </row>
    <row r="53">
      <c r="A53" t="inlineStr">
        <is>
          <t>Gain on disposal from other investments</t>
        </is>
      </c>
    </row>
    <row r="54">
      <c r="A54" t="inlineStr">
        <is>
          <t>Gain on disposals of property, plant and equipment</t>
        </is>
      </c>
    </row>
    <row r="55">
      <c r="A55" t="inlineStr">
        <is>
          <t>Gains on disposal of other non-current assets</t>
        </is>
      </c>
    </row>
    <row r="56">
      <c r="A56" t="inlineStr">
        <is>
          <t>Gain on revaluation</t>
        </is>
      </c>
    </row>
    <row r="57">
      <c r="A57" t="inlineStr">
        <is>
          <t>Interest income</t>
        </is>
      </c>
    </row>
    <row r="58">
      <c r="A58" t="inlineStr">
        <is>
          <t>Management fees, other income</t>
        </is>
      </c>
    </row>
    <row r="59">
      <c r="A59" t="inlineStr">
        <is>
          <t>Net fair value gain on derivatives</t>
        </is>
      </c>
    </row>
    <row r="60">
      <c r="A60" t="inlineStr">
        <is>
          <t>Net fair value gain on recycle of forex reserve upon disposal of subsidiaries</t>
        </is>
      </c>
    </row>
    <row r="61">
      <c r="A61" t="inlineStr">
        <is>
          <t>Other fee and commission, other income</t>
        </is>
      </c>
    </row>
    <row r="62">
      <c r="A62" t="inlineStr">
        <is>
          <t>Other rental income</t>
        </is>
      </c>
    </row>
    <row r="63">
      <c r="A63" t="inlineStr">
        <is>
          <t>Rental income on land and buildings</t>
        </is>
      </c>
    </row>
    <row r="64">
      <c r="A64" t="inlineStr">
        <is>
          <t>Reversal of impairment loss recognised in profit or loss</t>
        </is>
      </c>
    </row>
    <row r="65">
      <c r="A65" t="inlineStr">
        <is>
          <t>Reversal of impairment loss on receivables</t>
        </is>
      </c>
    </row>
    <row r="66">
      <c r="A66" t="inlineStr">
        <is>
          <t>(Reversal of)/Impairment loss on inventories</t>
        </is>
      </c>
    </row>
    <row r="67">
      <c r="A67" t="inlineStr">
        <is>
          <t>Reversal of impairment loss on intangible assets other than goodwill</t>
        </is>
      </c>
    </row>
    <row r="68">
      <c r="A68" t="inlineStr">
        <is>
          <t>Reversal of impairment loss on goodwill</t>
        </is>
      </c>
    </row>
    <row r="69">
      <c r="A69" t="inlineStr">
        <is>
          <t>Reversal of impairment loss on property, plant and equipment</t>
        </is>
      </c>
    </row>
    <row r="70">
      <c r="A70" t="inlineStr">
        <is>
          <t>Reversal of impairment loss on investment in associates</t>
        </is>
      </c>
    </row>
    <row r="71">
      <c r="A71" t="inlineStr">
        <is>
          <t>Reversal of impairment loss on investment in joint ventures</t>
        </is>
      </c>
    </row>
    <row r="72">
      <c r="A72" t="inlineStr">
        <is>
          <t>Reversal of impairment loss on other assets</t>
        </is>
      </c>
    </row>
    <row r="73">
      <c r="A73" s="1" t="inlineStr">
        <is>
          <t>*Total reversal of impairment loss recognised in profit or loss</t>
        </is>
      </c>
      <c r="B73">
        <f>1*B65+1*B66+1*B67+1*B69+1*B70+1*B71+1*B72+1*B68</f>
        <v/>
      </c>
      <c r="C73">
        <f>1*C65+1*C66+1*C67+1*C69+1*C70+1*C71+1*C72+1*C68</f>
        <v/>
      </c>
      <c r="D73">
        <f>1*D65+1*D66+1*D67+1*D69+1*D70+1*D71+1*D72+1*D68</f>
        <v/>
      </c>
      <c r="E73">
        <f>1*E65+1*E66+1*E67+1*E69+1*E70+1*E71+1*E72+1*E68</f>
        <v/>
      </c>
    </row>
    <row r="74">
      <c r="A74" t="inlineStr">
        <is>
          <t>Royalty/franchise income</t>
        </is>
      </c>
    </row>
    <row r="75">
      <c r="A75" t="inlineStr">
        <is>
          <t>Grant or incentives by Malaysian government or it's agencies</t>
        </is>
      </c>
    </row>
    <row r="76">
      <c r="A76" t="inlineStr">
        <is>
          <t>Grant or incentives by foreign government or it's agencies</t>
        </is>
      </c>
    </row>
    <row r="77">
      <c r="A77" t="inlineStr">
        <is>
          <t>Contributions or donations by local contributor</t>
        </is>
      </c>
    </row>
    <row r="78">
      <c r="A78" t="inlineStr">
        <is>
          <t>Contributions or donations by foreign contributor</t>
        </is>
      </c>
    </row>
    <row r="79">
      <c r="A79" t="inlineStr">
        <is>
          <t>Contributions or donations by unknown contributor</t>
        </is>
      </c>
    </row>
    <row r="80">
      <c r="A80" t="inlineStr">
        <is>
          <t>Miscellaneous other operating income</t>
        </is>
      </c>
    </row>
    <row r="81">
      <c r="A81" s="1" t="inlineStr">
        <is>
          <t>*Total other income</t>
        </is>
      </c>
      <c r="B81">
        <f>1*B41+1*B42+1*B43+1*B47+1*B52+1*B53+1*B54+1*B55+1*B56+1*B57+1*B58+1*B61+1*B62+1*B63+1*B73+1*B74+1*B75+1*B76+1*B77+1*B78+1*B79+1*B80+1*B59+1*B60</f>
        <v/>
      </c>
      <c r="C81">
        <f>1*C41+1*C42+1*C43+1*C47+1*C52+1*C53+1*C54+1*C55+1*C56+1*C57+1*C58+1*C61+1*C62+1*C63+1*C73+1*C74+1*C75+1*C76+1*C77+1*C78+1*C79+1*C80+1*C59+1*C60</f>
        <v/>
      </c>
      <c r="D81">
        <f>1*D41+1*D42+1*D43+1*D47+1*D52+1*D53+1*D54+1*D55+1*D56+1*D57+1*D58+1*D61+1*D62+1*D63+1*D73+1*D74+1*D75+1*D76+1*D77+1*D78+1*D79+1*D80+1*D59+1*D60</f>
        <v/>
      </c>
      <c r="E81">
        <f>1*E41+1*E42+1*E43+1*E47+1*E52+1*E53+1*E54+1*E55+1*E56+1*E57+1*E58+1*E61+1*E62+1*E63+1*E73+1*E74+1*E75+1*E76+1*E77+1*E78+1*E79+1*E80+1*E59+1*E60</f>
        <v/>
      </c>
    </row>
    <row r="82">
      <c r="A82" t="inlineStr">
        <is>
          <t>Employee benefits expense</t>
        </is>
      </c>
    </row>
    <row r="83">
      <c r="A83" t="inlineStr">
        <is>
          <t>Wages, salaries and others</t>
        </is>
      </c>
    </row>
    <row r="84">
      <c r="A84" t="inlineStr">
        <is>
          <t>Bonus</t>
        </is>
      </c>
    </row>
    <row r="85">
      <c r="A85" t="inlineStr">
        <is>
          <t>Share-based compensation expense</t>
        </is>
      </c>
    </row>
    <row r="86">
      <c r="A86" t="inlineStr">
        <is>
          <t>Share option expenses</t>
        </is>
      </c>
    </row>
    <row r="87">
      <c r="A87" t="inlineStr">
        <is>
          <t>Social security contributions</t>
        </is>
      </c>
    </row>
    <row r="88">
      <c r="A88" t="inlineStr">
        <is>
          <t>Termination benefits</t>
        </is>
      </c>
    </row>
    <row r="89">
      <c r="A89" t="inlineStr">
        <is>
          <t>Defined contribution plans</t>
        </is>
      </c>
    </row>
    <row r="90">
      <c r="A90" t="inlineStr">
        <is>
          <t>Defined benefit plans</t>
        </is>
      </c>
    </row>
    <row r="91">
      <c r="A91" t="inlineStr">
        <is>
          <t>Other long-term employee benefits</t>
        </is>
      </c>
    </row>
    <row r="92">
      <c r="A92" t="inlineStr">
        <is>
          <t>Other short-term employee benefits</t>
        </is>
      </c>
    </row>
    <row r="93">
      <c r="A93" t="inlineStr">
        <is>
          <t>Other employee benefit expenses</t>
        </is>
      </c>
    </row>
    <row r="94">
      <c r="A94" s="1" t="inlineStr">
        <is>
          <t>*Total employee benefits expense</t>
        </is>
      </c>
      <c r="B94">
        <f>1*B83+1*B84+1*B85+1*B86+1*B87+1*B88+1*B90+1*B89+1*B91+1*B92+1*B93</f>
        <v/>
      </c>
      <c r="C94">
        <f>1*C83+1*C84+1*C85+1*C86+1*C87+1*C88+1*C90+1*C89+1*C91+1*C92+1*C93</f>
        <v/>
      </c>
      <c r="D94">
        <f>1*D83+1*D84+1*D85+1*D86+1*D87+1*D88+1*D90+1*D89+1*D91+1*D92+1*D93</f>
        <v/>
      </c>
      <c r="E94">
        <f>1*E83+1*E84+1*E85+1*E86+1*E87+1*E88+1*E90+1*E89+1*E91+1*E92+1*E93</f>
        <v/>
      </c>
    </row>
    <row r="95">
      <c r="A95" t="inlineStr">
        <is>
          <t>Other expenses</t>
        </is>
      </c>
    </row>
    <row r="96">
      <c r="A96" t="inlineStr">
        <is>
          <t>Auditor's remuneration</t>
        </is>
      </c>
    </row>
    <row r="97">
      <c r="A97" t="inlineStr">
        <is>
          <t>Auditor's remuneration for audit services</t>
        </is>
      </c>
    </row>
    <row r="98">
      <c r="A98" t="inlineStr">
        <is>
          <t>Auditor's remuneration for other services</t>
        </is>
      </c>
    </row>
    <row r="99">
      <c r="A99" s="1" t="inlineStr">
        <is>
          <t>*Total auditor's remuneration</t>
        </is>
      </c>
      <c r="B99">
        <f>1*B97+1*B98</f>
        <v/>
      </c>
      <c r="C99">
        <f>1*C97+1*C98</f>
        <v/>
      </c>
      <c r="D99">
        <f>1*D97+1*D98</f>
        <v/>
      </c>
      <c r="E99">
        <f>1*E97+1*E98</f>
        <v/>
      </c>
    </row>
    <row r="100">
      <c r="A100" t="inlineStr">
        <is>
          <t>Amortisation expense</t>
        </is>
      </c>
    </row>
    <row r="101">
      <c r="A101" t="inlineStr">
        <is>
          <t>Depreciation of property, plant and equipment</t>
        </is>
      </c>
    </row>
    <row r="102">
      <c r="A102" t="inlineStr">
        <is>
          <t>Natural disaster related expenses</t>
        </is>
      </c>
    </row>
    <row r="103">
      <c r="A103" t="inlineStr">
        <is>
          <t>Loss on disposal of subsidiaries, associates and joint ventures</t>
        </is>
      </c>
    </row>
    <row r="104">
      <c r="A104" t="inlineStr">
        <is>
          <t>Loss on disposal of subsidiaries</t>
        </is>
      </c>
    </row>
    <row r="105">
      <c r="A105" t="inlineStr">
        <is>
          <t>Loss on disposal of associates</t>
        </is>
      </c>
    </row>
    <row r="106">
      <c r="A106" t="inlineStr">
        <is>
          <t>Loss on disposal of joint ventures</t>
        </is>
      </c>
    </row>
    <row r="107">
      <c r="A107" s="1" t="inlineStr">
        <is>
          <t>*Total loss on disposal of subsidiaries, associates and joint ventures</t>
        </is>
      </c>
      <c r="B107">
        <f>1*B104+1*B105+1*B106</f>
        <v/>
      </c>
      <c r="C107">
        <f>1*C104+1*C105+1*C106</f>
        <v/>
      </c>
      <c r="D107">
        <f>1*D104+1*D105+1*D106</f>
        <v/>
      </c>
      <c r="E107">
        <f>1*E104+1*E105+1*E106</f>
        <v/>
      </c>
    </row>
    <row r="108">
      <c r="A108" t="inlineStr">
        <is>
          <t>Loss on disposal from other investments</t>
        </is>
      </c>
    </row>
    <row r="109">
      <c r="A109" t="inlineStr">
        <is>
          <t>Loss on disposal of property, plant and equipment</t>
        </is>
      </c>
    </row>
    <row r="110">
      <c r="A110" t="inlineStr">
        <is>
          <t>Loss on disposal of other non-current assets</t>
        </is>
      </c>
    </row>
    <row r="111">
      <c r="A111" t="inlineStr">
        <is>
          <t>Loss on revaluation</t>
        </is>
      </c>
    </row>
    <row r="112">
      <c r="A112" t="inlineStr">
        <is>
          <t>Provision for liabilities and charges</t>
        </is>
      </c>
    </row>
    <row r="113">
      <c r="A113" t="inlineStr">
        <is>
          <t>Provision of warranties and guarantees</t>
        </is>
      </c>
    </row>
    <row r="114">
      <c r="A114" t="inlineStr">
        <is>
          <t>Rental expenses</t>
        </is>
      </c>
    </row>
    <row r="115">
      <c r="A115" t="inlineStr">
        <is>
          <t>Royalty expenses</t>
        </is>
      </c>
    </row>
    <row r="116">
      <c r="A116" t="inlineStr">
        <is>
          <t>Director's remuneration</t>
        </is>
      </c>
    </row>
    <row r="117">
      <c r="A117" t="inlineStr">
        <is>
          <t>Salaries and other emoluments</t>
        </is>
      </c>
    </row>
    <row r="118">
      <c r="A118" t="inlineStr">
        <is>
          <t>Bonus</t>
        </is>
      </c>
    </row>
    <row r="119">
      <c r="A119" t="inlineStr">
        <is>
          <t>Share option expenses</t>
        </is>
      </c>
    </row>
    <row r="120">
      <c r="A120" t="inlineStr">
        <is>
          <t>Benefits-in-kind</t>
        </is>
      </c>
    </row>
    <row r="121">
      <c r="A121" t="inlineStr">
        <is>
          <t>Fees</t>
        </is>
      </c>
    </row>
    <row r="122">
      <c r="A122" t="inlineStr">
        <is>
          <t>Performance incentives</t>
        </is>
      </c>
    </row>
    <row r="123">
      <c r="A123" t="inlineStr">
        <is>
          <t>Defined contribution plans</t>
        </is>
      </c>
    </row>
    <row r="124">
      <c r="A124" t="inlineStr">
        <is>
          <t>Defined benefit plans</t>
        </is>
      </c>
    </row>
    <row r="125">
      <c r="A125" t="inlineStr">
        <is>
          <t>Other emoluments</t>
        </is>
      </c>
    </row>
    <row r="126">
      <c r="A126" s="1" t="inlineStr">
        <is>
          <t>*Total Director's remuneration</t>
        </is>
      </c>
      <c r="B126">
        <f>1*B117+1*B118+1*B119+1*B120+1*B121+1*B122+1*B124+1*B123+1*B125</f>
        <v/>
      </c>
      <c r="C126">
        <f>1*C117+1*C118+1*C119+1*C120+1*C121+1*C122+1*C124+1*C123+1*C125</f>
        <v/>
      </c>
      <c r="D126">
        <f>1*D117+1*D118+1*D119+1*D120+1*D121+1*D122+1*D124+1*D123+1*D125</f>
        <v/>
      </c>
      <c r="E126">
        <f>1*E117+1*E118+1*E119+1*E120+1*E121+1*E122+1*E124+1*E123+1*E125</f>
        <v/>
      </c>
    </row>
    <row r="127">
      <c r="A127" t="inlineStr">
        <is>
          <t>Other miscellaneous expenses</t>
        </is>
      </c>
    </row>
    <row r="128">
      <c r="A128" s="1" t="inlineStr">
        <is>
          <t>*Total other expenses</t>
        </is>
      </c>
      <c r="B128">
        <f>1*B99+1*B100+1*B101+1*B102+1*B107+1*B108+1*B109+1*B110+1*B111+1*B112+1*B113+1*B114+1*B115+1*B126+1*B127</f>
        <v/>
      </c>
      <c r="C128">
        <f>1*C99+1*C100+1*C101+1*C102+1*C107+1*C108+1*C109+1*C110+1*C111+1*C112+1*C113+1*C114+1*C115+1*C126+1*C127</f>
        <v/>
      </c>
      <c r="D128">
        <f>1*D99+1*D100+1*D101+1*D102+1*D107+1*D108+1*D109+1*D110+1*D111+1*D112+1*D113+1*D114+1*D115+1*D126+1*D127</f>
        <v/>
      </c>
      <c r="E128">
        <f>1*E99+1*E100+1*E101+1*E102+1*E107+1*E108+1*E109+1*E110+1*E111+1*E112+1*E113+1*E114+1*E115+1*E126+1*E127</f>
        <v/>
      </c>
    </row>
    <row r="129">
      <c r="A129" t="inlineStr">
        <is>
          <t>Finance income</t>
        </is>
      </c>
    </row>
    <row r="130">
      <c r="A130" t="inlineStr">
        <is>
          <t>Finance income due from related parties</t>
        </is>
      </c>
    </row>
    <row r="131">
      <c r="A131" t="inlineStr">
        <is>
          <t>Other finance income</t>
        </is>
      </c>
    </row>
    <row r="132">
      <c r="A132" s="1" t="inlineStr">
        <is>
          <t>*Total finance income</t>
        </is>
      </c>
      <c r="B132">
        <f>1*B130+1*B131</f>
        <v/>
      </c>
      <c r="C132">
        <f>1*C130+1*C131</f>
        <v/>
      </c>
      <c r="D132">
        <f>1*D130+1*D131</f>
        <v/>
      </c>
      <c r="E132">
        <f>1*E130+1*E131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2026-04-23T07:24:57Z</dcterms:created>
  <dcterms:modified xmlns:dcterms="http://purl.org/dc/terms/" xmlns:xsi="http://www.w3.org/2001/XMLSchema-instance" xsi:type="dcterms:W3CDTF">2026-04-23T07:24:57Z</dcterms:modified>
</cp:coreProperties>
</file>