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F-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cash flows</t>
        </is>
      </c>
    </row>
    <row r="4">
      <c r="A4" t="inlineStr">
        <is>
          <t>Statement of cash flows</t>
        </is>
      </c>
    </row>
    <row r="5">
      <c r="A5" t="inlineStr">
        <is>
          <t>Statement of cash flows</t>
        </is>
      </c>
    </row>
    <row r="6">
      <c r="A6" t="inlineStr">
        <is>
          <t>Cash flows from (used in) operating activities</t>
        </is>
      </c>
    </row>
    <row r="7">
      <c r="A7" t="inlineStr">
        <is>
          <t>Classes of cash receipts from operating activities</t>
        </is>
      </c>
    </row>
    <row r="8">
      <c r="A8" t="inlineStr">
        <is>
          <t>Receipts from sales of goods and rendering of services</t>
        </is>
      </c>
    </row>
    <row r="9">
      <c r="A9" t="inlineStr">
        <is>
          <t>Receipts from royalties, fees, commissions and other revenue</t>
        </is>
      </c>
    </row>
    <row r="10">
      <c r="A10" t="inlineStr">
        <is>
          <t>Other cash receipts from operating activities</t>
        </is>
      </c>
    </row>
    <row r="11">
      <c r="A11" t="inlineStr">
        <is>
          <t>Classes of cash payments from operating activities</t>
        </is>
      </c>
    </row>
    <row r="12">
      <c r="A12" t="inlineStr">
        <is>
          <t>Payments to suppliers for goods and services</t>
        </is>
      </c>
    </row>
    <row r="13">
      <c r="A13" t="inlineStr">
        <is>
          <t>Payments to and on behalf of employees</t>
        </is>
      </c>
    </row>
    <row r="14">
      <c r="A14" t="inlineStr">
        <is>
          <t>Other cash payments from operating activities</t>
        </is>
      </c>
    </row>
    <row r="15">
      <c r="A15" t="inlineStr">
        <is>
          <t>Cash generated from (used in) operating activities</t>
        </is>
      </c>
    </row>
    <row r="16">
      <c r="A16" t="inlineStr">
        <is>
          <t>Dividends paid</t>
        </is>
      </c>
    </row>
    <row r="17">
      <c r="A17" t="inlineStr">
        <is>
          <t>Dividends received</t>
        </is>
      </c>
    </row>
    <row r="18">
      <c r="A18" t="inlineStr">
        <is>
          <t>Interest paid</t>
        </is>
      </c>
    </row>
    <row r="19">
      <c r="A19" t="inlineStr">
        <is>
          <t>Interest received</t>
        </is>
      </c>
    </row>
    <row r="20">
      <c r="A20" t="inlineStr">
        <is>
          <t>Income taxes refund (paid)</t>
        </is>
      </c>
    </row>
    <row r="21">
      <c r="A21" t="inlineStr">
        <is>
          <t>Other cash inflows (outflows) from operating activities</t>
        </is>
      </c>
    </row>
    <row r="22">
      <c r="A22" s="1" t="inlineStr">
        <is>
          <t>*Net cash flows from (used in) operating activities</t>
        </is>
      </c>
      <c r="B22">
        <f>1*B8+1*B9+1*B10+1*B12+1*B13+1*B14+1*B16+1*B17+1*B18+1*B19+1*B20+1*B21+1*B15</f>
        <v/>
      </c>
      <c r="C22">
        <f>1*C8+1*C9+1*C10+1*C12+1*C13+1*C14+1*C16+1*C17+1*C18+1*C19+1*C20+1*C21+1*C15</f>
        <v/>
      </c>
      <c r="D22">
        <f>1*D8+1*D9+1*D10+1*D12+1*D13+1*D14+1*D16+1*D17+1*D18+1*D19+1*D20+1*D21+1*D15</f>
        <v/>
      </c>
      <c r="E22">
        <f>1*E8+1*E9+1*E10+1*E12+1*E13+1*E14+1*E16+1*E17+1*E18+1*E19+1*E20+1*E21+1*E15</f>
        <v/>
      </c>
    </row>
    <row r="23">
      <c r="A23" t="inlineStr">
        <is>
          <t>Cash flows from (used in) investing activities</t>
        </is>
      </c>
    </row>
    <row r="24">
      <c r="A24" t="inlineStr">
        <is>
          <t>Proceeds from disposal of subsidiaries</t>
        </is>
      </c>
    </row>
    <row r="25">
      <c r="A25" t="inlineStr">
        <is>
          <t>Acquisition and subscription of shares in subsidiaries</t>
        </is>
      </c>
    </row>
    <row r="26">
      <c r="A26" t="inlineStr">
        <is>
          <t>Proceeds from disposal of joint ventures</t>
        </is>
      </c>
    </row>
    <row r="27">
      <c r="A27" t="inlineStr">
        <is>
          <t>Acquisition and subscription of shares in joint ventures</t>
        </is>
      </c>
    </row>
    <row r="28">
      <c r="A28" t="inlineStr">
        <is>
          <t>Other cash receipts from sales of equity or debt instruments of other entities</t>
        </is>
      </c>
    </row>
    <row r="29">
      <c r="A29" t="inlineStr">
        <is>
          <t>Other cash payments to acquire equity or debt instruments of other entities</t>
        </is>
      </c>
    </row>
    <row r="30">
      <c r="A30" t="inlineStr">
        <is>
          <t>Proceeds from sales of property, plant and equipment</t>
        </is>
      </c>
    </row>
    <row r="31">
      <c r="A31" t="inlineStr">
        <is>
          <t>Purchase of property, plant and equipment</t>
        </is>
      </c>
    </row>
    <row r="32">
      <c r="A32" t="inlineStr">
        <is>
          <t>Proceeds from sales of intangible assets</t>
        </is>
      </c>
    </row>
    <row r="33">
      <c r="A33" t="inlineStr">
        <is>
          <t>Purchase of intangible assets</t>
        </is>
      </c>
    </row>
    <row r="34">
      <c r="A34" t="inlineStr">
        <is>
          <t>Proceeds from sales of other long-term assets</t>
        </is>
      </c>
    </row>
    <row r="35">
      <c r="A35" t="inlineStr">
        <is>
          <t>Purchase of other long-term assets</t>
        </is>
      </c>
    </row>
    <row r="36">
      <c r="A36" t="inlineStr">
        <is>
          <t>Cash advances and loans made to other parties</t>
        </is>
      </c>
    </row>
    <row r="37">
      <c r="A37" t="inlineStr">
        <is>
          <t>Cash receipts from repayment of advances and loans made to other parties</t>
        </is>
      </c>
    </row>
    <row r="38">
      <c r="A38" t="inlineStr">
        <is>
          <t>Cash payments for futures contracts, forward contracts, option contracts and swap contracts</t>
        </is>
      </c>
    </row>
    <row r="39">
      <c r="A39" t="inlineStr">
        <is>
          <t>Cash receipts from futures contracts, forward contracts, option contracts and swap contracts</t>
        </is>
      </c>
    </row>
    <row r="40">
      <c r="A40" t="inlineStr">
        <is>
          <t>Dividends received</t>
        </is>
      </c>
    </row>
    <row r="41">
      <c r="A41" t="inlineStr">
        <is>
          <t>Interest received</t>
        </is>
      </c>
    </row>
    <row r="42">
      <c r="A42" t="inlineStr">
        <is>
          <t>Other cash inflows (outflows) from investing activities</t>
        </is>
      </c>
    </row>
    <row r="43">
      <c r="A43" s="1" t="inlineStr">
        <is>
          <t>*Net cash flows from (used in) investing activities</t>
        </is>
      </c>
      <c r="B43">
        <f>1*B24+-1*B25+1*B28+-1*B29+1*B26+-1*B27+1*B30+-1*B31+1*B32+-1*B33+1*B34+-1*B35+-1*B36+1*B37+-1*B38+1*B39+1*B40+1*B41+1*B42</f>
        <v/>
      </c>
      <c r="C43">
        <f>1*C24+-1*C25+1*C28+-1*C29+1*C26+-1*C27+1*C30+-1*C31+1*C32+-1*C33+1*C34+-1*C35+-1*C36+1*C37+-1*C38+1*C39+1*C40+1*C41+1*C42</f>
        <v/>
      </c>
      <c r="D43">
        <f>1*D24+-1*D25+1*D28+-1*D29+1*D26+-1*D27+1*D30+-1*D31+1*D32+-1*D33+1*D34+-1*D35+-1*D36+1*D37+-1*D38+1*D39+1*D40+1*D41+1*D42</f>
        <v/>
      </c>
      <c r="E43">
        <f>1*E24+-1*E25+1*E28+-1*E29+1*E26+-1*E27+1*E30+-1*E31+1*E32+-1*E33+1*E34+-1*E35+-1*E36+1*E37+-1*E38+1*E39+1*E40+1*E41+1*E42</f>
        <v/>
      </c>
    </row>
    <row r="44">
      <c r="A44" t="inlineStr">
        <is>
          <t>Cash flows from (used in) financing activities</t>
        </is>
      </c>
    </row>
    <row r="45">
      <c r="A45" t="inlineStr">
        <is>
          <t>Proceeds from issuing shares</t>
        </is>
      </c>
    </row>
    <row r="46">
      <c r="A46" t="inlineStr">
        <is>
          <t>Proceeds from issuing other equity instruments</t>
        </is>
      </c>
    </row>
    <row r="47">
      <c r="A47" t="inlineStr">
        <is>
          <t>Payments to acquire or redeem entity's shares</t>
        </is>
      </c>
    </row>
    <row r="48">
      <c r="A48" t="inlineStr">
        <is>
          <t>Payments to acquire other equity instruments</t>
        </is>
      </c>
    </row>
    <row r="49">
      <c r="A49" t="inlineStr">
        <is>
          <t>Proceeds from borrowings</t>
        </is>
      </c>
    </row>
    <row r="50">
      <c r="A50" t="inlineStr">
        <is>
          <t>Repayments of borrowings</t>
        </is>
      </c>
    </row>
    <row r="51">
      <c r="A51" t="inlineStr">
        <is>
          <t>Repayment of loan from associate</t>
        </is>
      </c>
    </row>
    <row r="52">
      <c r="A52" t="inlineStr">
        <is>
          <t>Payments of finance lease liabilities</t>
        </is>
      </c>
    </row>
    <row r="53">
      <c r="A53" t="inlineStr">
        <is>
          <t>Dividends paid</t>
        </is>
      </c>
    </row>
    <row r="54">
      <c r="A54" t="inlineStr">
        <is>
          <t>Interest paid</t>
        </is>
      </c>
    </row>
    <row r="55">
      <c r="A55" t="inlineStr">
        <is>
          <t>Other cash inflows (outflows) from financing activities</t>
        </is>
      </c>
    </row>
    <row r="56">
      <c r="A56" s="1" t="inlineStr">
        <is>
          <t>*Net cash flows from (used in) financing activities</t>
        </is>
      </c>
      <c r="B56">
        <f>1*B45+1*B46+-1*B47+-1*B48+1*B49+-1*B50+-1*B51+-1*B52+-1*B53+-1*B54+1*B55</f>
        <v/>
      </c>
      <c r="C56">
        <f>1*C45+1*C46+-1*C47+-1*C48+1*C49+-1*C50+-1*C51+-1*C52+-1*C53+-1*C54+1*C55</f>
        <v/>
      </c>
      <c r="D56">
        <f>1*D45+1*D46+-1*D47+-1*D48+1*D49+-1*D50+-1*D51+-1*D52+-1*D53+-1*D54+1*D55</f>
        <v/>
      </c>
      <c r="E56">
        <f>1*E45+1*E46+-1*E47+-1*E48+1*E49+-1*E50+-1*E51+-1*E52+-1*E53+-1*E54+1*E55</f>
        <v/>
      </c>
    </row>
    <row r="57">
      <c r="A57" s="1" t="inlineStr">
        <is>
          <t>*Net increase (decrease) in cash and cash equivalents before effect of exchange rate changes</t>
        </is>
      </c>
      <c r="B57">
        <f>1*B22+1*B43+1*B56</f>
        <v/>
      </c>
      <c r="C57">
        <f>1*C22+1*C43+1*C56</f>
        <v/>
      </c>
      <c r="D57">
        <f>1*D22+1*D43+1*D56</f>
        <v/>
      </c>
      <c r="E57">
        <f>1*E22+1*E43+1*E56</f>
        <v/>
      </c>
    </row>
    <row r="58">
      <c r="A58" t="inlineStr">
        <is>
          <t>Effect of exchange rate changes on cash and cash equivalents</t>
        </is>
      </c>
    </row>
    <row r="59">
      <c r="A59" s="1" t="inlineStr">
        <is>
          <t>*Net increase (decrease) in cash and cash equivalents</t>
        </is>
      </c>
      <c r="B59">
        <f>1*B57+1*B58</f>
        <v/>
      </c>
      <c r="C59">
        <f>1*C57+1*C58</f>
        <v/>
      </c>
      <c r="D59">
        <f>1*D57+1*D58</f>
        <v/>
      </c>
      <c r="E59">
        <f>1*E57+1*E58</f>
        <v/>
      </c>
    </row>
    <row r="60">
      <c r="A60" t="inlineStr">
        <is>
          <t>Cash and cash equivalents at beginning of period</t>
        </is>
      </c>
    </row>
    <row r="61">
      <c r="A61" t="inlineStr">
        <is>
          <t>Cash and cash equivalents at end of period</t>
        </is>
      </c>
    </row>
    <row r="62">
      <c r="A62" t="inlineStr">
        <is>
          <t>Details of cash flows</t>
        </is>
      </c>
    </row>
    <row r="63">
      <c r="A63" t="inlineStr">
        <is>
          <t>Cash and cash equivalents</t>
        </is>
      </c>
    </row>
    <row r="64">
      <c r="A64" t="inlineStr">
        <is>
          <t>Bank overdrafts</t>
        </is>
      </c>
    </row>
    <row r="65">
      <c r="A65" t="inlineStr">
        <is>
          <t>Other adjustments to reconcile cash and cash equivalents</t>
        </is>
      </c>
    </row>
    <row r="66">
      <c r="A66" s="1" t="inlineStr">
        <is>
          <t>*Cash and cash equivalents at end of period</t>
        </is>
      </c>
      <c r="B66">
        <f>1*B63+-1*B64+1*B65</f>
        <v/>
      </c>
      <c r="C66">
        <f>1*C63+-1*C64+1*C65</f>
        <v/>
      </c>
      <c r="D66">
        <f>1*D63+-1*D64+1*D65</f>
        <v/>
      </c>
      <c r="E66">
        <f>1*E63+-1*E64+1*E65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2026-04-23T07:24:57Z</dcterms:created>
  <dcterms:modified xmlns:dcterms="http://purl.org/dc/terms/" xmlns:xsi="http://www.w3.org/2001/XMLSchema-instance" xsi:type="dcterms:W3CDTF">2026-04-23T07:24:57Z</dcterms:modified>
</cp:coreProperties>
</file>