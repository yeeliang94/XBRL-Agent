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Statement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Continuing operations [abstract]</t>
        </is>
      </c>
    </row>
    <row r="11">
      <c r="A11" t="inlineStr">
        <is>
          <t>Revenue</t>
        </is>
      </c>
    </row>
    <row r="12">
      <c r="A12" t="inlineStr">
        <is>
          <t>Other income</t>
        </is>
      </c>
    </row>
    <row r="13">
      <c r="A13" t="inlineStr">
        <is>
          <t>Increase (decrease) in inventories of finished goods and work in progress</t>
        </is>
      </c>
    </row>
    <row r="14">
      <c r="A14" t="inlineStr">
        <is>
          <t>Raw materials and consumables used</t>
        </is>
      </c>
    </row>
    <row r="15">
      <c r="A15" t="inlineStr">
        <is>
          <t>Employee benefits expense</t>
        </is>
      </c>
    </row>
    <row r="16">
      <c r="A16" t="inlineStr">
        <is>
          <t>Depreciation and amortisation expense</t>
        </is>
      </c>
    </row>
    <row r="17">
      <c r="A17" t="inlineStr">
        <is>
          <t>Other expenses</t>
        </is>
      </c>
    </row>
    <row r="18">
      <c r="A18" s="1" t="inlineStr">
        <is>
          <t>*Profit (loss) from operating activities</t>
        </is>
      </c>
      <c r="B18">
        <f>1*B11+1*B12+-1*B13+-1*B14+-1*B15+-1*B16+-1*B17</f>
        <v/>
      </c>
      <c r="C18">
        <f>1*C11+1*C12+-1*C13+-1*C14+-1*C15+-1*C16+-1*C17</f>
        <v/>
      </c>
    </row>
    <row r="19">
      <c r="A19" t="inlineStr">
        <is>
          <t>Finance income</t>
        </is>
      </c>
    </row>
    <row r="20">
      <c r="A20" t="inlineStr">
        <is>
          <t>Finance costs</t>
        </is>
      </c>
    </row>
    <row r="21">
      <c r="A21" t="inlineStr">
        <is>
          <t>Share of profit (loss) of associates and joint ventures accounted for using equity method</t>
        </is>
      </c>
    </row>
    <row r="22">
      <c r="A22" s="1" t="inlineStr">
        <is>
          <t>*Profit (loss) before tax</t>
        </is>
      </c>
      <c r="B22">
        <f>1*B11+1*B12+1*B19+-1*B20+1*B21+-1*B13+-1*B14+-1*B15+-1*B16+-1*B17</f>
        <v/>
      </c>
      <c r="C22">
        <f>1*C11+1*C12+1*C19+-1*C20+1*C21+-1*C13+-1*C14+-1*C15+-1*C16+-1*C17</f>
        <v/>
      </c>
    </row>
    <row r="23">
      <c r="A23" t="inlineStr">
        <is>
          <t>Tax expense</t>
        </is>
      </c>
    </row>
    <row r="24">
      <c r="A24" t="inlineStr">
        <is>
          <t>Contribution to zakat</t>
        </is>
      </c>
    </row>
    <row r="25">
      <c r="A25" s="1" t="inlineStr">
        <is>
          <t>*Profit (loss) from continuing operations</t>
        </is>
      </c>
      <c r="B25">
        <f>1*B22+-1*B23+-1*B24</f>
        <v/>
      </c>
      <c r="C25">
        <f>1*C22+-1*C23+-1*C24</f>
        <v/>
      </c>
    </row>
    <row r="26">
      <c r="A26" t="inlineStr">
        <is>
          <t>Discontinued operations [abstract]</t>
        </is>
      </c>
    </row>
    <row r="27">
      <c r="A27" t="inlineStr">
        <is>
          <t>Profit (loss) before tax, from discontinued operation</t>
        </is>
      </c>
    </row>
    <row r="28">
      <c r="A28" t="inlineStr">
        <is>
          <t>Profit (loss)</t>
        </is>
      </c>
    </row>
    <row r="29">
      <c r="A29" t="inlineStr">
        <is>
          <t>Profit (loss), attributable to [abstract]</t>
        </is>
      </c>
    </row>
    <row r="30">
      <c r="A30" t="inlineStr">
        <is>
          <t>Profit (loss), attributable to owners of parent</t>
        </is>
      </c>
    </row>
    <row r="31">
      <c r="A31" t="inlineStr">
        <is>
          <t>Profit (loss), attributable to equity other components</t>
        </is>
      </c>
    </row>
    <row r="32">
      <c r="A32" t="inlineStr">
        <is>
          <t>Profit (loss), attributable to non-controlling interests</t>
        </is>
      </c>
    </row>
    <row r="33">
      <c r="A33" s="1" t="inlineStr">
        <is>
          <t>*Total Profit (Loss)</t>
        </is>
      </c>
      <c r="B33">
        <f>1*B25+1*B30+1*B27+1*B31+1*B32</f>
        <v/>
      </c>
      <c r="C33">
        <f>1*C25+1*C30+1*C27+1*C31+1*C32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profit or loss [abstract]</t>
        </is>
      </c>
    </row>
    <row r="4">
      <c r="A4" t="inlineStr">
        <is>
          <t>Analysis of profit or loss [abstract]</t>
        </is>
      </c>
    </row>
    <row r="5">
      <c r="A5" t="inlineStr">
        <is>
          <t>Statement of profit or loss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profit or loss [line items]</t>
        </is>
      </c>
    </row>
    <row r="10">
      <c r="A10" t="inlineStr">
        <is>
          <t>Revenue [abstract]</t>
        </is>
      </c>
    </row>
    <row r="11">
      <c r="A11" t="inlineStr">
        <is>
          <t>Revenue from sale of goods [abstract]</t>
        </is>
      </c>
    </row>
    <row r="12">
      <c r="A12" t="inlineStr">
        <is>
          <t>Revenue from sale of broadband and telecommunication</t>
        </is>
      </c>
    </row>
    <row r="13">
      <c r="A13" t="inlineStr">
        <is>
          <t>Revenue from property development</t>
        </is>
      </c>
    </row>
    <row r="14">
      <c r="A14" t="inlineStr">
        <is>
          <t>Revenue from construction contracts</t>
        </is>
      </c>
    </row>
    <row r="15">
      <c r="A15" t="inlineStr">
        <is>
          <t>Sale of clean water, treatment and disposal of waste water</t>
        </is>
      </c>
    </row>
    <row r="16">
      <c r="A16" t="inlineStr">
        <is>
          <t>Revenue from sale of food and beverage</t>
        </is>
      </c>
    </row>
    <row r="17">
      <c r="A17" t="inlineStr">
        <is>
          <t>Revenue from sale of agricultural produce</t>
        </is>
      </c>
    </row>
    <row r="18">
      <c r="A18" t="inlineStr">
        <is>
          <t>Revenue from sale of oil and gas products</t>
        </is>
      </c>
    </row>
    <row r="19">
      <c r="A19" t="inlineStr">
        <is>
          <t>Other revenue from sale of goods</t>
        </is>
      </c>
    </row>
    <row r="20">
      <c r="A20" s="1" t="inlineStr">
        <is>
          <t>*Total revenue from sale of goods</t>
        </is>
      </c>
      <c r="B20">
        <f>1*B12+1*B13+1*B14+1*B15+1*B16+1*B17+1*B18+1*B19</f>
        <v/>
      </c>
      <c r="C20">
        <f>1*C12+1*C13+1*C14+1*C15+1*C16+1*C17+1*C18+1*C19</f>
        <v/>
      </c>
    </row>
    <row r="21">
      <c r="A21" t="inlineStr">
        <is>
          <t>Revenue from rendering of services [abstract]</t>
        </is>
      </c>
    </row>
    <row r="22">
      <c r="A22" t="inlineStr">
        <is>
          <t>Income from entertainment operations</t>
        </is>
      </c>
    </row>
    <row r="23">
      <c r="A23" t="inlineStr">
        <is>
          <t>Revenue from rendering of telecommunication services</t>
        </is>
      </c>
    </row>
    <row r="24">
      <c r="A24" t="inlineStr">
        <is>
          <t>Revenue from rendering of transportation services</t>
        </is>
      </c>
    </row>
    <row r="25">
      <c r="A25" t="inlineStr">
        <is>
          <t>Revenue from rendering of information technology services</t>
        </is>
      </c>
    </row>
    <row r="26">
      <c r="A26" t="inlineStr">
        <is>
          <t>Education services income</t>
        </is>
      </c>
    </row>
    <row r="27">
      <c r="A27" t="inlineStr">
        <is>
          <t>Healthcare services income</t>
        </is>
      </c>
    </row>
    <row r="28">
      <c r="A28" t="inlineStr">
        <is>
          <t>Revenue from rendering of shipping and shipping related services</t>
        </is>
      </c>
    </row>
    <row r="29">
      <c r="A29" t="inlineStr">
        <is>
          <t>Other revenue from rendering of services</t>
        </is>
      </c>
    </row>
    <row r="30">
      <c r="A30" s="1" t="inlineStr">
        <is>
          <t>*Total revenue from rendering of services</t>
        </is>
      </c>
      <c r="B30">
        <f>1*B22+1*B23+1*B24+1*B25+1*B26+1*B27+1*B28+1*B29</f>
        <v/>
      </c>
      <c r="C30">
        <f>1*C22+1*C23+1*C24+1*C25+1*C26+1*C27+1*C28+1*C29</f>
        <v/>
      </c>
    </row>
    <row r="31">
      <c r="A31" t="inlineStr">
        <is>
          <t>Interest income [abstract]</t>
        </is>
      </c>
    </row>
    <row r="32">
      <c r="A32" t="inlineStr">
        <is>
          <t>Interest income on loans, advances and financing</t>
        </is>
      </c>
    </row>
    <row r="33">
      <c r="A33" t="inlineStr">
        <is>
          <t>Interest income on other financial assets</t>
        </is>
      </c>
    </row>
    <row r="34">
      <c r="A34" s="1" t="inlineStr">
        <is>
          <t>*Total interest income</t>
        </is>
      </c>
      <c r="B34">
        <f>1*B32+1*B33</f>
        <v/>
      </c>
      <c r="C34">
        <f>1*C32+1*C33</f>
        <v/>
      </c>
    </row>
    <row r="35">
      <c r="A35" t="inlineStr">
        <is>
          <t>Other fee and commission income [abstract]</t>
        </is>
      </c>
    </row>
    <row r="36">
      <c r="A36" t="inlineStr">
        <is>
          <t>Gross brokerage and other charges</t>
        </is>
      </c>
    </row>
    <row r="37">
      <c r="A37" t="inlineStr">
        <is>
          <t>Underwriting commissions and fund management income</t>
        </is>
      </c>
    </row>
    <row r="38">
      <c r="A38" t="inlineStr">
        <is>
          <t>Other fee and commission</t>
        </is>
      </c>
    </row>
    <row r="39">
      <c r="A39" s="1" t="inlineStr">
        <is>
          <t>*Total other fee and commission income</t>
        </is>
      </c>
      <c r="B39">
        <f>1*B36+1*B37+1*B38</f>
        <v/>
      </c>
      <c r="C39">
        <f>1*C36+1*C37+1*C38</f>
        <v/>
      </c>
    </row>
    <row r="40">
      <c r="A40" t="inlineStr">
        <is>
          <t>Dividend income</t>
        </is>
      </c>
    </row>
    <row r="41">
      <c r="A41" t="inlineStr">
        <is>
          <t>Rental income</t>
        </is>
      </c>
    </row>
    <row r="42">
      <c r="A42" t="inlineStr">
        <is>
          <t>Royalty income</t>
        </is>
      </c>
    </row>
    <row r="43">
      <c r="A43" t="inlineStr">
        <is>
          <t>Other revenue</t>
        </is>
      </c>
    </row>
    <row r="44">
      <c r="A44" s="1" t="inlineStr">
        <is>
          <t>*Total revenue</t>
        </is>
      </c>
      <c r="B44">
        <f>1*B20+1*B30+1*B34+1*B39+1*B40+1*B41+1*B42+1*B43</f>
        <v/>
      </c>
      <c r="C44">
        <f>1*C20+1*C30+1*C34+1*C39+1*C40+1*C41+1*C42+1*C43</f>
        <v/>
      </c>
    </row>
    <row r="45">
      <c r="A45" t="inlineStr">
        <is>
          <t>Other income [abstract]</t>
        </is>
      </c>
    </row>
    <row r="46">
      <c r="A46" t="inlineStr">
        <is>
          <t>Deferred income</t>
        </is>
      </c>
    </row>
    <row r="47">
      <c r="A47" t="inlineStr">
        <is>
          <t>Bad debts recovered</t>
        </is>
      </c>
    </row>
    <row r="48">
      <c r="A48" t="inlineStr">
        <is>
          <t>Dividend, other income</t>
        </is>
      </c>
    </row>
    <row r="49">
      <c r="A49" t="inlineStr">
        <is>
          <t>Foreign exchange gain [abstract]</t>
        </is>
      </c>
    </row>
    <row r="50">
      <c r="A50" t="inlineStr">
        <is>
          <t>Realised foreign currencies exchange gain transferred from equity</t>
        </is>
      </c>
    </row>
    <row r="51">
      <c r="A51" t="inlineStr">
        <is>
          <t>Unrealised gain on foreign exchange</t>
        </is>
      </c>
    </row>
    <row r="52">
      <c r="A52" s="1" t="inlineStr">
        <is>
          <t>*Total foreign exchange gain</t>
        </is>
      </c>
      <c r="B52">
        <f>1*B50+1*B51</f>
        <v/>
      </c>
      <c r="C52">
        <f>1*C50+1*C51</f>
        <v/>
      </c>
    </row>
    <row r="53">
      <c r="A53" t="inlineStr">
        <is>
          <t>Gain on disposal of subsidiaries, associates and joint ventures [abstract]</t>
        </is>
      </c>
    </row>
    <row r="54">
      <c r="A54" t="inlineStr">
        <is>
          <t>Gain on disposal of subsidiaries</t>
        </is>
      </c>
    </row>
    <row r="55">
      <c r="A55" t="inlineStr">
        <is>
          <t>Gain on disposal of associates</t>
        </is>
      </c>
    </row>
    <row r="56">
      <c r="A56" t="inlineStr">
        <is>
          <t>Gain on disposal of joint ventures</t>
        </is>
      </c>
    </row>
    <row r="57">
      <c r="A57" s="1" t="inlineStr">
        <is>
          <t>*Total gain on disposal of subsidiaries, associates and joint ventures</t>
        </is>
      </c>
      <c r="B57">
        <f>1*B54+1*B55+1*B56</f>
        <v/>
      </c>
      <c r="C57">
        <f>1*C54+1*C55+1*C56</f>
        <v/>
      </c>
    </row>
    <row r="58">
      <c r="A58" t="inlineStr">
        <is>
          <t>Gain on disposal from other investments</t>
        </is>
      </c>
    </row>
    <row r="59">
      <c r="A59" t="inlineStr">
        <is>
          <t>Gain on disposals of property, plant and equipment</t>
        </is>
      </c>
    </row>
    <row r="60">
      <c r="A60" t="inlineStr">
        <is>
          <t>Gains on disposal of other non-current assets</t>
        </is>
      </c>
    </row>
    <row r="61">
      <c r="A61" t="inlineStr">
        <is>
          <t>Gain on revaluation</t>
        </is>
      </c>
    </row>
    <row r="62">
      <c r="A62" t="inlineStr">
        <is>
          <t>Interest income</t>
        </is>
      </c>
    </row>
    <row r="63">
      <c r="A63" t="inlineStr">
        <is>
          <t>Management fees, other income</t>
        </is>
      </c>
    </row>
    <row r="64">
      <c r="A64" t="inlineStr">
        <is>
          <t>Net fair value gain on derivatives</t>
        </is>
      </c>
    </row>
    <row r="65">
      <c r="A65" t="inlineStr">
        <is>
          <t>Net fair value gain on recycle of forex reserve upon disposal of subsidiaries</t>
        </is>
      </c>
    </row>
    <row r="66">
      <c r="A66" t="inlineStr">
        <is>
          <t>Other fee and commission, other income</t>
        </is>
      </c>
    </row>
    <row r="67">
      <c r="A67" t="inlineStr">
        <is>
          <t>Other rental income</t>
        </is>
      </c>
    </row>
    <row r="68">
      <c r="A68" t="inlineStr">
        <is>
          <t>Rental income on land and buildings</t>
        </is>
      </c>
    </row>
    <row r="69">
      <c r="A69" t="inlineStr">
        <is>
          <t>Reversal of impairment loss recognised in profit or loss [abstract]</t>
        </is>
      </c>
    </row>
    <row r="70">
      <c r="A70" t="inlineStr">
        <is>
          <t>Reversal of impairment loss on receivables</t>
        </is>
      </c>
    </row>
    <row r="71">
      <c r="A71" t="inlineStr">
        <is>
          <t>(Reversal of)/Impairment loss on inventories</t>
        </is>
      </c>
    </row>
    <row r="72">
      <c r="A72" t="inlineStr">
        <is>
          <t>Reversal of impairment loss on intangible assets other than goodwill</t>
        </is>
      </c>
    </row>
    <row r="73">
      <c r="A73" t="inlineStr">
        <is>
          <t>Reversal of impairment loss on goodwill</t>
        </is>
      </c>
    </row>
    <row r="74">
      <c r="A74" t="inlineStr">
        <is>
          <t>Reversal of impairment loss on property, plant and equipment</t>
        </is>
      </c>
    </row>
    <row r="75">
      <c r="A75" t="inlineStr">
        <is>
          <t>Reversal of impairment loss on investment in associates</t>
        </is>
      </c>
    </row>
    <row r="76">
      <c r="A76" t="inlineStr">
        <is>
          <t>Reversal of impairment loss on investment in joint ventures</t>
        </is>
      </c>
    </row>
    <row r="77">
      <c r="A77" t="inlineStr">
        <is>
          <t>Reversal of impairment loss on other assets</t>
        </is>
      </c>
    </row>
    <row r="78">
      <c r="A78" s="1" t="inlineStr">
        <is>
          <t>*Total reversal of impairment loss recognised in profit or loss</t>
        </is>
      </c>
      <c r="B78">
        <f>1*B70+1*B71+1*B72+1*B74+1*B75+1*B76+1*B77+1*B73</f>
        <v/>
      </c>
      <c r="C78">
        <f>1*C70+1*C71+1*C72+1*C74+1*C75+1*C76+1*C77+1*C73</f>
        <v/>
      </c>
    </row>
    <row r="79">
      <c r="A79" t="inlineStr">
        <is>
          <t>Royalty/franchise income</t>
        </is>
      </c>
    </row>
    <row r="80">
      <c r="A80" t="inlineStr">
        <is>
          <t>Grant or incentives by Malaysian government or it's agencies</t>
        </is>
      </c>
    </row>
    <row r="81">
      <c r="A81" t="inlineStr">
        <is>
          <t>Grant or incentives by foreign government or it's agencies</t>
        </is>
      </c>
    </row>
    <row r="82">
      <c r="A82" t="inlineStr">
        <is>
          <t>Contributions or donations by local contributor</t>
        </is>
      </c>
    </row>
    <row r="83">
      <c r="A83" t="inlineStr">
        <is>
          <t>Contributions or donations by foreign contributor</t>
        </is>
      </c>
    </row>
    <row r="84">
      <c r="A84" t="inlineStr">
        <is>
          <t>Contributions or donations by unknown contributor</t>
        </is>
      </c>
    </row>
    <row r="85">
      <c r="A85" t="inlineStr">
        <is>
          <t>Miscellaneous other operating income</t>
        </is>
      </c>
    </row>
    <row r="86">
      <c r="A86" s="1" t="inlineStr">
        <is>
          <t>*Total other income</t>
        </is>
      </c>
      <c r="B86">
        <f>1*B46+1*B47+1*B48+1*B52+1*B57+1*B58+1*B59+1*B60+1*B61+1*B62+1*B63+1*B66+1*B67+1*B68+1*B78+1*B79+1*B80+1*B81+1*B82+1*B83+1*B84+1*B85+1*B64+1*B65</f>
        <v/>
      </c>
      <c r="C86">
        <f>1*C46+1*C47+1*C48+1*C52+1*C57+1*C58+1*C59+1*C60+1*C61+1*C62+1*C63+1*C66+1*C67+1*C68+1*C78+1*C79+1*C80+1*C81+1*C82+1*C83+1*C84+1*C85+1*C64+1*C65</f>
        <v/>
      </c>
    </row>
    <row r="87">
      <c r="A87" t="inlineStr">
        <is>
          <t>Employee benefits expense [abstract]</t>
        </is>
      </c>
    </row>
    <row r="88">
      <c r="A88" t="inlineStr">
        <is>
          <t>Wages, salaries and others</t>
        </is>
      </c>
    </row>
    <row r="89">
      <c r="A89" t="inlineStr">
        <is>
          <t>Bonus</t>
        </is>
      </c>
    </row>
    <row r="90">
      <c r="A90" t="inlineStr">
        <is>
          <t>Share-based compensation expense</t>
        </is>
      </c>
    </row>
    <row r="91">
      <c r="A91" t="inlineStr">
        <is>
          <t>Share option expenses</t>
        </is>
      </c>
    </row>
    <row r="92">
      <c r="A92" t="inlineStr">
        <is>
          <t>Social security contributions</t>
        </is>
      </c>
    </row>
    <row r="93">
      <c r="A93" t="inlineStr">
        <is>
          <t>Termination benefits</t>
        </is>
      </c>
    </row>
    <row r="94">
      <c r="A94" t="inlineStr">
        <is>
          <t>Defined contribution plans</t>
        </is>
      </c>
    </row>
    <row r="95">
      <c r="A95" t="inlineStr">
        <is>
          <t>Defined benefit plans</t>
        </is>
      </c>
    </row>
    <row r="96">
      <c r="A96" t="inlineStr">
        <is>
          <t>Other long-term employee benefits</t>
        </is>
      </c>
    </row>
    <row r="97">
      <c r="A97" t="inlineStr">
        <is>
          <t>Other short-term employee benefits</t>
        </is>
      </c>
    </row>
    <row r="98">
      <c r="A98" t="inlineStr">
        <is>
          <t>Other employee benefit expenses</t>
        </is>
      </c>
    </row>
    <row r="99">
      <c r="A99" s="1" t="inlineStr">
        <is>
          <t>*Total employee benefits expense</t>
        </is>
      </c>
      <c r="B99">
        <f>1*B88+1*B89+1*B90+1*B91+1*B92+1*B93+1*B95+1*B94+1*B96+1*B97+1*B98</f>
        <v/>
      </c>
      <c r="C99">
        <f>1*C88+1*C89+1*C90+1*C91+1*C92+1*C93+1*C95+1*C94+1*C96+1*C97+1*C98</f>
        <v/>
      </c>
    </row>
    <row r="100">
      <c r="A100" t="inlineStr">
        <is>
          <t>Other expenses [abstract]</t>
        </is>
      </c>
    </row>
    <row r="101">
      <c r="A101" t="inlineStr">
        <is>
          <t>Auditor's remuneration [abstract]</t>
        </is>
      </c>
    </row>
    <row r="102">
      <c r="A102" t="inlineStr">
        <is>
          <t>Auditor's remuneration for audit services</t>
        </is>
      </c>
    </row>
    <row r="103">
      <c r="A103" t="inlineStr">
        <is>
          <t>Auditor's remuneration for other services</t>
        </is>
      </c>
    </row>
    <row r="104">
      <c r="A104" s="1" t="inlineStr">
        <is>
          <t>*Total auditor's remuneration</t>
        </is>
      </c>
      <c r="B104">
        <f>1*B102+1*B102+1*B103+1*B103</f>
        <v/>
      </c>
      <c r="C104">
        <f>1*C102+1*C102+1*C103+1*C103</f>
        <v/>
      </c>
    </row>
    <row r="105">
      <c r="A105" t="inlineStr">
        <is>
          <t>Amortisation expense</t>
        </is>
      </c>
    </row>
    <row r="106">
      <c r="A106" t="inlineStr">
        <is>
          <t>Depreciation of property, plant and equipment</t>
        </is>
      </c>
    </row>
    <row r="107">
      <c r="A107" t="inlineStr">
        <is>
          <t>Natural disaster related expenses</t>
        </is>
      </c>
    </row>
    <row r="108">
      <c r="A108" t="inlineStr">
        <is>
          <t>Loss on disposal of subsidiaries, associates and joint ventures [abstract]</t>
        </is>
      </c>
    </row>
    <row r="109">
      <c r="A109" t="inlineStr">
        <is>
          <t>Loss on disposal of subsidiaries</t>
        </is>
      </c>
    </row>
    <row r="110">
      <c r="A110" t="inlineStr">
        <is>
          <t>Loss on disposal of associates</t>
        </is>
      </c>
    </row>
    <row r="111">
      <c r="A111" t="inlineStr">
        <is>
          <t>Loss on disposal of joint ventures</t>
        </is>
      </c>
    </row>
    <row r="112">
      <c r="A112" s="1" t="inlineStr">
        <is>
          <t>*Total loss on disposal of subsidiaries, associates and joint ventures</t>
        </is>
      </c>
      <c r="B112">
        <f>1*B109+1*B109+1*B110+1*B110+1*B111+1*B111</f>
        <v/>
      </c>
      <c r="C112">
        <f>1*C109+1*C109+1*C110+1*C110+1*C111+1*C111</f>
        <v/>
      </c>
    </row>
    <row r="113">
      <c r="A113" t="inlineStr">
        <is>
          <t>Loss on disposal from other investments</t>
        </is>
      </c>
    </row>
    <row r="114">
      <c r="A114" t="inlineStr">
        <is>
          <t>Loss on disposal of property, plant and equipment</t>
        </is>
      </c>
    </row>
    <row r="115">
      <c r="A115" t="inlineStr">
        <is>
          <t>Loss on disposal of other non-current assets</t>
        </is>
      </c>
    </row>
    <row r="116">
      <c r="A116" t="inlineStr">
        <is>
          <t>Loss on revaluation</t>
        </is>
      </c>
    </row>
    <row r="117">
      <c r="A117" t="inlineStr">
        <is>
          <t>Provision for liabilities and charges</t>
        </is>
      </c>
    </row>
    <row r="118">
      <c r="A118" t="inlineStr">
        <is>
          <t>Provision of warranties and guarantees</t>
        </is>
      </c>
    </row>
    <row r="119">
      <c r="A119" t="inlineStr">
        <is>
          <t>Rental expenses</t>
        </is>
      </c>
    </row>
    <row r="120">
      <c r="A120" t="inlineStr">
        <is>
          <t>Royalty expenses</t>
        </is>
      </c>
    </row>
    <row r="121">
      <c r="A121" t="inlineStr">
        <is>
          <t>Director's remuneration [abstract]</t>
        </is>
      </c>
    </row>
    <row r="122">
      <c r="A122" t="inlineStr">
        <is>
          <t>Salaries and other emoluments</t>
        </is>
      </c>
    </row>
    <row r="123">
      <c r="A123" t="inlineStr">
        <is>
          <t>Bonus</t>
        </is>
      </c>
    </row>
    <row r="124">
      <c r="A124" t="inlineStr">
        <is>
          <t>Share option expenses</t>
        </is>
      </c>
    </row>
    <row r="125">
      <c r="A125" t="inlineStr">
        <is>
          <t>Benefits-in-kind</t>
        </is>
      </c>
    </row>
    <row r="126">
      <c r="A126" t="inlineStr">
        <is>
          <t>Fees</t>
        </is>
      </c>
    </row>
    <row r="127">
      <c r="A127" t="inlineStr">
        <is>
          <t>Performance incentives</t>
        </is>
      </c>
    </row>
    <row r="128">
      <c r="A128" t="inlineStr">
        <is>
          <t>Defined contribution plans</t>
        </is>
      </c>
    </row>
    <row r="129">
      <c r="A129" t="inlineStr">
        <is>
          <t>Defined benefit plans</t>
        </is>
      </c>
    </row>
    <row r="130">
      <c r="A130" t="inlineStr">
        <is>
          <t>Other emoluments</t>
        </is>
      </c>
    </row>
    <row r="131">
      <c r="A131" s="1" t="inlineStr">
        <is>
          <t>*Total Director's remuneration</t>
        </is>
      </c>
      <c r="B131">
        <f>1*B122+1*B122+1*B123+1*B123+1*B124+1*B124+1*B125+1*B125+1*B126+1*B126+1*B127+1*B127+1*B129+1*B129+1*B128+1*B128+1*B130+1*B130</f>
        <v/>
      </c>
      <c r="C131">
        <f>1*C122+1*C122+1*C123+1*C123+1*C124+1*C124+1*C125+1*C125+1*C126+1*C126+1*C127+1*C127+1*C129+1*C129+1*C128+1*C128+1*C130+1*C130</f>
        <v/>
      </c>
    </row>
    <row r="132">
      <c r="A132" t="inlineStr">
        <is>
          <t>Other miscellaneous expenses</t>
        </is>
      </c>
    </row>
    <row r="133">
      <c r="A133" s="1" t="inlineStr">
        <is>
          <t>*Total other expenses</t>
        </is>
      </c>
      <c r="B133">
        <f>1*B104+1*B105+1*B106+1*B107+1*B112+1*B113+1*B114+1*B115+1*B116+1*B117+1*B118+1*B119+1*B120+1*B131+1*B132</f>
        <v/>
      </c>
      <c r="C133">
        <f>1*C104+1*C105+1*C106+1*C107+1*C112+1*C113+1*C114+1*C115+1*C116+1*C117+1*C118+1*C119+1*C120+1*C131+1*C132</f>
        <v/>
      </c>
    </row>
    <row r="134">
      <c r="A134" t="inlineStr">
        <is>
          <t>Finance income [abstract]</t>
        </is>
      </c>
    </row>
    <row r="135">
      <c r="A135" t="inlineStr">
        <is>
          <t>Finance income due from related parties</t>
        </is>
      </c>
    </row>
    <row r="136">
      <c r="A136" t="inlineStr">
        <is>
          <t>Other finance income</t>
        </is>
      </c>
    </row>
    <row r="137">
      <c r="A137" s="1" t="inlineStr">
        <is>
          <t>*Total finance income</t>
        </is>
      </c>
      <c r="B137">
        <f>1*B135+1*B136</f>
        <v/>
      </c>
      <c r="C137">
        <f>1*C135+1*C136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