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cash flows [abstract]</t>
        </is>
      </c>
    </row>
    <row r="4">
      <c r="A4" t="inlineStr">
        <is>
          <t>Statement of cash flows [abstract]</t>
        </is>
      </c>
    </row>
    <row r="5">
      <c r="A5" t="inlineStr">
        <is>
          <t>Statement of cash flows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cash flows [line items]</t>
        </is>
      </c>
    </row>
    <row r="10">
      <c r="A10" t="inlineStr">
        <is>
          <t>Statement of cash flows [abstract]</t>
        </is>
      </c>
    </row>
    <row r="11">
      <c r="A11" t="inlineStr">
        <is>
          <t>Cash flows from (used in) operating activities [abstract]</t>
        </is>
      </c>
    </row>
    <row r="12">
      <c r="A12" t="inlineStr">
        <is>
          <t>Profit (loss) before tax, from continuing operations</t>
        </is>
      </c>
    </row>
    <row r="13">
      <c r="A13" t="inlineStr">
        <is>
          <t>Profit (loss) before tax, from discontinued operation</t>
        </is>
      </c>
    </row>
    <row r="14">
      <c r="A14" s="1" t="inlineStr">
        <is>
          <t>*Total profit(loss) before tax</t>
        </is>
      </c>
      <c r="B14">
        <f>1*B12+1*B13</f>
        <v/>
      </c>
      <c r="C14">
        <f>1*C12+1*C13</f>
        <v/>
      </c>
    </row>
    <row r="15">
      <c r="A15" t="inlineStr">
        <is>
          <t>Adjustments to reconcile profit (loss) [abstract]</t>
        </is>
      </c>
    </row>
    <row r="16">
      <c r="A16" t="inlineStr">
        <is>
          <t>Adjustments for non-cash income tax expense</t>
        </is>
      </c>
    </row>
    <row r="17">
      <c r="A17" t="inlineStr">
        <is>
          <t>Adjustments for non-cash finance costs</t>
        </is>
      </c>
    </row>
    <row r="18">
      <c r="A18" t="inlineStr">
        <is>
          <t>Adjustments for income tax expense</t>
        </is>
      </c>
    </row>
    <row r="19">
      <c r="A19" t="inlineStr">
        <is>
          <t>Adjustments for finance costs</t>
        </is>
      </c>
    </row>
    <row r="20">
      <c r="A20" t="inlineStr">
        <is>
          <t>Adjustments for finance income</t>
        </is>
      </c>
    </row>
    <row r="21">
      <c r="A21" t="inlineStr">
        <is>
          <t>Adjustments for decrease (increase) in inventories</t>
        </is>
      </c>
    </row>
    <row r="22">
      <c r="A22" t="inlineStr">
        <is>
          <t>Adjustments for decrease (increase) in trade accounts receivable</t>
        </is>
      </c>
    </row>
    <row r="23">
      <c r="A23" t="inlineStr">
        <is>
          <t>Adjustments for decrease (increase) in other operating receivables</t>
        </is>
      </c>
    </row>
    <row r="24">
      <c r="A24" t="inlineStr">
        <is>
          <t>Adjustments for increase (decrease) in trade accounts payable</t>
        </is>
      </c>
    </row>
    <row r="25">
      <c r="A25" t="inlineStr">
        <is>
          <t>Adjustments for increase (decrease) in other operating payables</t>
        </is>
      </c>
    </row>
    <row r="26">
      <c r="A26" t="inlineStr">
        <is>
          <t>Adjustments for dividend income</t>
        </is>
      </c>
    </row>
    <row r="27">
      <c r="A27" t="inlineStr">
        <is>
          <t>Adjustment for depreciation</t>
        </is>
      </c>
    </row>
    <row r="28">
      <c r="A28" t="inlineStr">
        <is>
          <t>Adjustments for amortisation</t>
        </is>
      </c>
    </row>
    <row r="29">
      <c r="A29" t="inlineStr">
        <is>
          <t>(Reversal of)/Impairment loss on intangible assets</t>
        </is>
      </c>
    </row>
    <row r="30">
      <c r="A30" t="inlineStr">
        <is>
          <t>(Reversal of)/Impairment loss on property, plant and equipment</t>
        </is>
      </c>
    </row>
    <row r="31">
      <c r="A31" t="inlineStr">
        <is>
          <t>(Reversal of)/Impairment loss on inventories</t>
        </is>
      </c>
    </row>
    <row r="32">
      <c r="A32" t="inlineStr">
        <is>
          <t>Adjustments for provisions</t>
        </is>
      </c>
    </row>
    <row r="33">
      <c r="A33" t="inlineStr">
        <is>
          <t>Adjustments for unrealised foreign exchange losses (gains)</t>
        </is>
      </c>
    </row>
    <row r="34">
      <c r="A34" t="inlineStr">
        <is>
          <t>Adjustments for share-based payments</t>
        </is>
      </c>
    </row>
    <row r="35">
      <c r="A35" t="inlineStr">
        <is>
          <t>Adjustments for fair value losses (gains)</t>
        </is>
      </c>
    </row>
    <row r="36">
      <c r="A36" t="inlineStr">
        <is>
          <t>Adjustments for share of profit of equity-accounted associates and joint ventures, net of tax</t>
        </is>
      </c>
    </row>
    <row r="37">
      <c r="A37" t="inlineStr">
        <is>
          <t>Adjustments for accrued expenses (income) not yet paid (received)</t>
        </is>
      </c>
    </row>
    <row r="38">
      <c r="A38" t="inlineStr">
        <is>
          <t>Other adjustments for non-cash items</t>
        </is>
      </c>
    </row>
    <row r="39">
      <c r="A39" t="inlineStr">
        <is>
          <t>(Gain) loss on disposal of property, plant and equipment</t>
        </is>
      </c>
    </row>
    <row r="40">
      <c r="A40" t="inlineStr">
        <is>
          <t>(Gain) loss on disposal of investment properties</t>
        </is>
      </c>
    </row>
    <row r="41">
      <c r="A41" t="inlineStr">
        <is>
          <t>(Gain) loss on disposal of other investments</t>
        </is>
      </c>
    </row>
    <row r="42">
      <c r="A42" t="inlineStr">
        <is>
          <t>Other adjustments for which cash effects are investing or financing cash flow</t>
        </is>
      </c>
    </row>
    <row r="43">
      <c r="A43" t="inlineStr">
        <is>
          <t>Other adjustments to reconcile profit (loss)</t>
        </is>
      </c>
    </row>
    <row r="44">
      <c r="A44" s="1" t="inlineStr">
        <is>
          <t>*Total adjustments to reconcile profit (loss)</t>
        </is>
      </c>
      <c r="B44">
        <f>1*B16+1*B17+1*B18+1*B19+-1*B20+1*B21+1*B22+1*B23+1*B24+1*B25+-1*B26+1*B27+1*B28+1*B29+1*B30+1*B31+1*B32+1*B33+1*B34+1*B35+-1*B36+-1*B37+1*B38+-1*B39+-1*B40+-1*B41+1*B42+1*B43</f>
        <v/>
      </c>
      <c r="C44">
        <f>1*C16+1*C17+1*C18+1*C19+-1*C20+1*C21+1*C22+1*C23+1*C24+1*C25+-1*C26+1*C27+1*C28+1*C29+1*C30+1*C31+1*C32+1*C33+1*C34+1*C35+-1*C36+-1*C37+1*C38+-1*C39+-1*C40+-1*C41+1*C42+1*C43</f>
        <v/>
      </c>
    </row>
    <row r="45">
      <c r="A45" s="1" t="inlineStr">
        <is>
          <t>*Cash generated from (used in) operating activities</t>
        </is>
      </c>
      <c r="B45">
        <f>1*B14+1*B44</f>
        <v/>
      </c>
      <c r="C45">
        <f>1*C14+1*C44</f>
        <v/>
      </c>
    </row>
    <row r="46">
      <c r="A46" t="inlineStr">
        <is>
          <t>Dividends paid</t>
        </is>
      </c>
    </row>
    <row r="47">
      <c r="A47" t="inlineStr">
        <is>
          <t>Dividends received</t>
        </is>
      </c>
    </row>
    <row r="48">
      <c r="A48" t="inlineStr">
        <is>
          <t>Interest paid</t>
        </is>
      </c>
    </row>
    <row r="49">
      <c r="A49" t="inlineStr">
        <is>
          <t>Interest received</t>
        </is>
      </c>
    </row>
    <row r="50">
      <c r="A50" t="inlineStr">
        <is>
          <t>Income taxes refund (paid)</t>
        </is>
      </c>
    </row>
    <row r="51">
      <c r="A51" t="inlineStr">
        <is>
          <t>Other cash inflows (outflows) from operating activities</t>
        </is>
      </c>
    </row>
    <row r="52">
      <c r="A52" s="1" t="inlineStr">
        <is>
          <t>*Net cash flows from (used in) operating activities</t>
        </is>
      </c>
      <c r="B52">
        <f>1*B46+1*B47+1*B48+1*B49+1*B50+1*B51+1*B45</f>
        <v/>
      </c>
      <c r="C52">
        <f>1*C46+1*C47+1*C48+1*C49+1*C50+1*C51+1*C45</f>
        <v/>
      </c>
    </row>
    <row r="53">
      <c r="A53" t="inlineStr">
        <is>
          <t>Cash flows from (used in) investing activities [abstract]</t>
        </is>
      </c>
    </row>
    <row r="54">
      <c r="A54" t="inlineStr">
        <is>
          <t>Proceeds from disposal of subsidiaries</t>
        </is>
      </c>
    </row>
    <row r="55">
      <c r="A55" t="inlineStr">
        <is>
          <t>Acquisition and subscription of shares in subsidiaries</t>
        </is>
      </c>
    </row>
    <row r="56">
      <c r="A56" t="inlineStr">
        <is>
          <t>Proceeds from disposal of joint ventures</t>
        </is>
      </c>
    </row>
    <row r="57">
      <c r="A57" t="inlineStr">
        <is>
          <t>Acquisition and subscription of shares in joint ventures</t>
        </is>
      </c>
    </row>
    <row r="58">
      <c r="A58" t="inlineStr">
        <is>
          <t>Other cash receipts from sales of equity or debt instruments of other entities</t>
        </is>
      </c>
    </row>
    <row r="59">
      <c r="A59" t="inlineStr">
        <is>
          <t>Other cash payments to acquire equity or debt instruments of other entities</t>
        </is>
      </c>
    </row>
    <row r="60">
      <c r="A60" t="inlineStr">
        <is>
          <t>Proceeds from sales of property, plant and equipment</t>
        </is>
      </c>
    </row>
    <row r="61">
      <c r="A61" t="inlineStr">
        <is>
          <t>Purchase of property, plant and equipment</t>
        </is>
      </c>
    </row>
    <row r="62">
      <c r="A62" t="inlineStr">
        <is>
          <t>Proceeds from sales of intangible assets</t>
        </is>
      </c>
    </row>
    <row r="63">
      <c r="A63" t="inlineStr">
        <is>
          <t>Purchase of intangible assets</t>
        </is>
      </c>
    </row>
    <row r="64">
      <c r="A64" t="inlineStr">
        <is>
          <t>Proceeds from sales of other long-term assets</t>
        </is>
      </c>
    </row>
    <row r="65">
      <c r="A65" t="inlineStr">
        <is>
          <t>Purchase of other long-term assets</t>
        </is>
      </c>
    </row>
    <row r="66">
      <c r="A66" t="inlineStr">
        <is>
          <t>Cash advances and loans made to other parties</t>
        </is>
      </c>
    </row>
    <row r="67">
      <c r="A67" t="inlineStr">
        <is>
          <t>Cash receipts from repayment of advances and loans made to other parties</t>
        </is>
      </c>
    </row>
    <row r="68">
      <c r="A68" t="inlineStr">
        <is>
          <t>Cash payments for futures contracts, forward contracts, option contracts and swap contracts</t>
        </is>
      </c>
    </row>
    <row r="69">
      <c r="A69" t="inlineStr">
        <is>
          <t>Cash receipts from futures contracts, forward contracts, option contracts and swap contracts</t>
        </is>
      </c>
    </row>
    <row r="70">
      <c r="A70" t="inlineStr">
        <is>
          <t>Dividends received</t>
        </is>
      </c>
    </row>
    <row r="71">
      <c r="A71" t="inlineStr">
        <is>
          <t>Interest received</t>
        </is>
      </c>
    </row>
    <row r="72">
      <c r="A72" t="inlineStr">
        <is>
          <t>Other cash inflows (outflows) from investing activities</t>
        </is>
      </c>
    </row>
    <row r="73">
      <c r="A73" s="1" t="inlineStr">
        <is>
          <t>*Net cash flows from (used in) investing activities</t>
        </is>
      </c>
      <c r="B73">
        <f>1*B54+-1*B55+1*B58+-1*B59+1*B56+-1*B57+1*B60+-1*B61+1*B62+-1*B63+1*B64+-1*B65+-1*B66+1*B67+-1*B68+1*B69+1*B70+1*B71+1*B72</f>
        <v/>
      </c>
      <c r="C73">
        <f>1*C54+-1*C55+1*C58+-1*C59+1*C56+-1*C57+1*C60+-1*C61+1*C62+-1*C63+1*C64+-1*C65+-1*C66+1*C67+-1*C68+1*C69+1*C70+1*C71+1*C72</f>
        <v/>
      </c>
    </row>
    <row r="74">
      <c r="A74" t="inlineStr">
        <is>
          <t>Cash flows from (used in) financing activities [abstract]</t>
        </is>
      </c>
    </row>
    <row r="75">
      <c r="A75" t="inlineStr">
        <is>
          <t>Proceeds from issuing shares</t>
        </is>
      </c>
    </row>
    <row r="76">
      <c r="A76" t="inlineStr">
        <is>
          <t>Proceeds from issuing other equity instruments</t>
        </is>
      </c>
    </row>
    <row r="77">
      <c r="A77" t="inlineStr">
        <is>
          <t>Payments to acquire or redeem entity's shares</t>
        </is>
      </c>
    </row>
    <row r="78">
      <c r="A78" t="inlineStr">
        <is>
          <t>Payments to acquire other equity instruments</t>
        </is>
      </c>
    </row>
    <row r="79">
      <c r="A79" t="inlineStr">
        <is>
          <t>Proceeds from borrowings</t>
        </is>
      </c>
    </row>
    <row r="80">
      <c r="A80" t="inlineStr">
        <is>
          <t>Repayments of borrowings</t>
        </is>
      </c>
    </row>
    <row r="81">
      <c r="A81" t="inlineStr">
        <is>
          <t>Repayment of loan from associate</t>
        </is>
      </c>
    </row>
    <row r="82">
      <c r="A82" t="inlineStr">
        <is>
          <t>Payments of finance lease liabilities</t>
        </is>
      </c>
    </row>
    <row r="83">
      <c r="A83" t="inlineStr">
        <is>
          <t>Dividends paid</t>
        </is>
      </c>
    </row>
    <row r="84">
      <c r="A84" t="inlineStr">
        <is>
          <t>Interest paid</t>
        </is>
      </c>
    </row>
    <row r="85">
      <c r="A85" t="inlineStr">
        <is>
          <t>Other cash inflows (outflows) from financing activities</t>
        </is>
      </c>
    </row>
    <row r="86">
      <c r="A86" s="1" t="inlineStr">
        <is>
          <t>*Net cash flows from (used in) financing activities</t>
        </is>
      </c>
      <c r="B86">
        <f>1*B75+1*B76+-1*B77+-1*B78+1*B79+-1*B80+-1*B81+-1*B82+-1*B83+-1*B84+1*B85</f>
        <v/>
      </c>
      <c r="C86">
        <f>1*C75+1*C76+-1*C77+-1*C78+1*C79+-1*C80+-1*C81+-1*C82+-1*C83+-1*C84+1*C85</f>
        <v/>
      </c>
    </row>
    <row r="87">
      <c r="A87" s="1" t="inlineStr">
        <is>
          <t>*Net increase (decrease) in cash and cash equivalents before effect of exchange rate changes</t>
        </is>
      </c>
      <c r="B87">
        <f>1*B52+1*B73+1*B86</f>
        <v/>
      </c>
      <c r="C87">
        <f>1*C52+1*C73+1*C86</f>
        <v/>
      </c>
    </row>
    <row r="88">
      <c r="A88" t="inlineStr">
        <is>
          <t>Effect of exchange rate changes on cash and cash equivalents</t>
        </is>
      </c>
    </row>
    <row r="89">
      <c r="A89" s="1" t="inlineStr">
        <is>
          <t>*Net increase (decrease) in cash and cash equivalents</t>
        </is>
      </c>
      <c r="B89">
        <f>1*B87+1*B88</f>
        <v/>
      </c>
      <c r="C89">
        <f>1*C87+1*C88</f>
        <v/>
      </c>
    </row>
    <row r="90">
      <c r="A90" t="inlineStr">
        <is>
          <t>Cash and cash equivalents at beginning of period</t>
        </is>
      </c>
    </row>
    <row r="91">
      <c r="A91" t="inlineStr">
        <is>
          <t>Cash and cash equivalents at end of period</t>
        </is>
      </c>
    </row>
    <row r="92">
      <c r="A92" t="inlineStr">
        <is>
          <t>Details of cash flows [abstract]</t>
        </is>
      </c>
    </row>
    <row r="93">
      <c r="A93" t="inlineStr">
        <is>
          <t>Cash and cash equivalents</t>
        </is>
      </c>
    </row>
    <row r="94">
      <c r="A94" t="inlineStr">
        <is>
          <t>Bank overdrafts</t>
        </is>
      </c>
    </row>
    <row r="95">
      <c r="A95" t="inlineStr">
        <is>
          <t>Other adjustments to reconcile cash and cash equivalents</t>
        </is>
      </c>
    </row>
    <row r="96">
      <c r="A96" s="1" t="inlineStr">
        <is>
          <t>*Cash and cash equivalents at end of period</t>
        </is>
      </c>
      <c r="B96">
        <f>1*B93+-1*B94+1*B95</f>
        <v/>
      </c>
      <c r="C96">
        <f>1*C93+-1*C94+1*C95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