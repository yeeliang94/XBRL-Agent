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CuNonCu" sheetId="1" state="visible" r:id="rId1"/>
    <sheet xmlns:r="http://schemas.openxmlformats.org/officeDocument/2006/relationships"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Non-current assets [abstract]</t>
        </is>
      </c>
    </row>
    <row r="12">
      <c r="A12" t="inlineStr">
        <is>
          <t>Property, plant and equipment</t>
        </is>
      </c>
    </row>
    <row r="13">
      <c r="A13" t="inlineStr">
        <is>
          <t>Investment properties</t>
        </is>
      </c>
    </row>
    <row r="14">
      <c r="A14" t="inlineStr">
        <is>
          <t>Biological assets</t>
        </is>
      </c>
    </row>
    <row r="15">
      <c r="A15" t="inlineStr">
        <is>
          <t>Intangible assets</t>
        </is>
      </c>
    </row>
    <row r="16">
      <c r="A16" t="inlineStr">
        <is>
          <t>Investments in subsidiaries</t>
        </is>
      </c>
    </row>
    <row r="17">
      <c r="A17" t="inlineStr">
        <is>
          <t>Investments in associates</t>
        </is>
      </c>
    </row>
    <row r="18">
      <c r="A18" t="inlineStr">
        <is>
          <t>Investments in joint ventures</t>
        </is>
      </c>
    </row>
    <row r="19">
      <c r="A19" t="inlineStr">
        <is>
          <t>Other investments</t>
        </is>
      </c>
    </row>
    <row r="20">
      <c r="A20" t="inlineStr">
        <is>
          <t>Trade and other non-current receivables</t>
        </is>
      </c>
    </row>
    <row r="21">
      <c r="A21" t="inlineStr">
        <is>
          <t>Deferred tax assets</t>
        </is>
      </c>
    </row>
    <row r="22">
      <c r="A22" t="inlineStr">
        <is>
          <t>Other non-current assets</t>
        </is>
      </c>
    </row>
    <row r="23">
      <c r="A23" s="1" t="inlineStr">
        <is>
          <t>*Total non-current assets</t>
        </is>
      </c>
      <c r="B23">
        <f>1*B12+1*B13+1*B14+1*B15+1*B16+1*B17+1*B18+1*B19+1*B20+1*B21+1*B22</f>
        <v/>
      </c>
      <c r="C23">
        <f>1*C12+1*C13+1*C14+1*C15+1*C16+1*C17+1*C18+1*C19+1*C20+1*C21+1*C22</f>
        <v/>
      </c>
      <c r="D23">
        <f>1*D12+1*D13+1*D14+1*D15+1*D16+1*D17+1*D18+1*D19+1*D20+1*D21+1*D22</f>
        <v/>
      </c>
      <c r="E23">
        <f>1*E12+1*E13+1*E14+1*E15+1*E16+1*E17+1*E18+1*E19+1*E20+1*E21+1*E22</f>
        <v/>
      </c>
    </row>
    <row r="24">
      <c r="A24" t="inlineStr">
        <is>
          <t>Current assets [abstract]</t>
        </is>
      </c>
    </row>
    <row r="25">
      <c r="A25" t="inlineStr">
        <is>
          <t>Inventories</t>
        </is>
      </c>
    </row>
    <row r="26">
      <c r="A26" t="inlineStr">
        <is>
          <t>Biological assets</t>
        </is>
      </c>
    </row>
    <row r="27">
      <c r="A27" t="inlineStr">
        <is>
          <t>Other investments</t>
        </is>
      </c>
    </row>
    <row r="28">
      <c r="A28" t="inlineStr">
        <is>
          <t>Trade and other current receivables</t>
        </is>
      </c>
    </row>
    <row r="29">
      <c r="A29" t="inlineStr">
        <is>
          <t>Current tax assets</t>
        </is>
      </c>
    </row>
    <row r="30">
      <c r="A30" t="inlineStr">
        <is>
          <t>Derivative financial assets</t>
        </is>
      </c>
    </row>
    <row r="31">
      <c r="A31" t="inlineStr">
        <is>
          <t>Cash and cash equivalents</t>
        </is>
      </c>
    </row>
    <row r="32">
      <c r="A32" t="inlineStr">
        <is>
          <t>Other current assets</t>
        </is>
      </c>
    </row>
    <row r="33">
      <c r="A33" s="1" t="inlineStr">
        <is>
          <t>*Total current assets</t>
        </is>
      </c>
      <c r="B33">
        <f>1*B25+1*B26+1*B27+1*B28+1*B29+1*B30+1*B31+1*B32</f>
        <v/>
      </c>
      <c r="C33">
        <f>1*C25+1*C26+1*C27+1*C28+1*C29+1*C30+1*C31+1*C32</f>
        <v/>
      </c>
      <c r="D33">
        <f>1*D25+1*D26+1*D27+1*D28+1*D29+1*D30+1*D31+1*D32</f>
        <v/>
      </c>
      <c r="E33">
        <f>1*E25+1*E26+1*E27+1*E28+1*E29+1*E30+1*E31+1*E32</f>
        <v/>
      </c>
    </row>
    <row r="34">
      <c r="A34" s="1" t="inlineStr">
        <is>
          <t>*Total assets</t>
        </is>
      </c>
      <c r="B34">
        <f>1*B12+1*B13+1*B16+1*B17+1*B18+1*B19+1*B20+1*B21+1*B22+1*B25+1*B27+1*B28+1*B29+1*B30+1*B31+1*B32+1*B15+1*B14+1*B26</f>
        <v/>
      </c>
      <c r="C34">
        <f>1*C12+1*C13+1*C16+1*C17+1*C18+1*C19+1*C20+1*C21+1*C22+1*C25+1*C27+1*C28+1*C29+1*C30+1*C31+1*C32+1*C15+1*C14+1*C26</f>
        <v/>
      </c>
      <c r="D34">
        <f>1*D12+1*D13+1*D16+1*D17+1*D18+1*D19+1*D20+1*D21+1*D22+1*D25+1*D27+1*D28+1*D29+1*D30+1*D31+1*D32+1*D15+1*D14+1*D26</f>
        <v/>
      </c>
      <c r="E34">
        <f>1*E12+1*E13+1*E16+1*E17+1*E18+1*E19+1*E20+1*E21+1*E22+1*E25+1*E27+1*E28+1*E29+1*E30+1*E31+1*E32+1*E15+1*E14+1*E26</f>
        <v/>
      </c>
    </row>
    <row r="35">
      <c r="A35" t="inlineStr">
        <is>
          <t>Equity and liabilities [abstract]</t>
        </is>
      </c>
    </row>
    <row r="36">
      <c r="A36" t="inlineStr">
        <is>
          <t>Equity [abstract]</t>
        </is>
      </c>
    </row>
    <row r="37">
      <c r="A37" t="inlineStr">
        <is>
          <t>Issued capital</t>
        </is>
      </c>
    </row>
    <row r="38">
      <c r="A38" t="inlineStr">
        <is>
          <t>Retained earnings</t>
        </is>
      </c>
    </row>
    <row r="39">
      <c r="A39" t="inlineStr">
        <is>
          <t>Treasury shares</t>
        </is>
      </c>
    </row>
    <row r="40">
      <c r="A40" t="inlineStr">
        <is>
          <t>Reserves</t>
        </is>
      </c>
    </row>
    <row r="41">
      <c r="A41" s="1" t="inlineStr">
        <is>
          <t>*Total equity attributable to owners</t>
        </is>
      </c>
      <c r="B41">
        <f>1*B37+1*B38+-1*B39+1*B40</f>
        <v/>
      </c>
      <c r="C41">
        <f>1*C37+1*C38+-1*C39+1*C40</f>
        <v/>
      </c>
      <c r="D41">
        <f>1*D37+1*D38+-1*D39+1*D40</f>
        <v/>
      </c>
      <c r="E41">
        <f>1*E37+1*E38+-1*E39+1*E40</f>
        <v/>
      </c>
    </row>
    <row r="42">
      <c r="A42" t="inlineStr">
        <is>
          <t>Equity - other components</t>
        </is>
      </c>
    </row>
    <row r="43">
      <c r="A43" t="inlineStr">
        <is>
          <t>Non-controlling interests</t>
        </is>
      </c>
    </row>
    <row r="44">
      <c r="A44" s="1" t="inlineStr">
        <is>
          <t>*Total equity</t>
        </is>
      </c>
      <c r="B44">
        <f>1*B37+1*B38+-1*B39+1*B40+1*B42+1*B43</f>
        <v/>
      </c>
      <c r="C44">
        <f>1*C37+1*C38+-1*C39+1*C40+1*C42+1*C43</f>
        <v/>
      </c>
      <c r="D44">
        <f>1*D37+1*D38+-1*D39+1*D40+1*D42+1*D43</f>
        <v/>
      </c>
      <c r="E44">
        <f>1*E37+1*E38+-1*E39+1*E40+1*E42+1*E43</f>
        <v/>
      </c>
    </row>
    <row r="45">
      <c r="A45" t="inlineStr">
        <is>
          <t>Liabilities [abstract]</t>
        </is>
      </c>
    </row>
    <row r="46">
      <c r="A46" t="inlineStr">
        <is>
          <t>Non-current liabilities [abstract]</t>
        </is>
      </c>
    </row>
    <row r="47">
      <c r="A47" t="inlineStr">
        <is>
          <t>Loans and borrowings</t>
        </is>
      </c>
    </row>
    <row r="48">
      <c r="A48" t="inlineStr">
        <is>
          <t>Employee benefits</t>
        </is>
      </c>
    </row>
    <row r="49">
      <c r="A49" t="inlineStr">
        <is>
          <t>Provisions</t>
        </is>
      </c>
    </row>
    <row r="50">
      <c r="A50" t="inlineStr">
        <is>
          <t>Deferred tax liabilities</t>
        </is>
      </c>
    </row>
    <row r="51">
      <c r="A51" t="inlineStr">
        <is>
          <t>Trade and other non-current payables</t>
        </is>
      </c>
    </row>
    <row r="52">
      <c r="A52" t="inlineStr">
        <is>
          <t>Other non-current liabilities</t>
        </is>
      </c>
    </row>
    <row r="53">
      <c r="A53" s="1" t="inlineStr">
        <is>
          <t>*Total non-current liabilities</t>
        </is>
      </c>
      <c r="B53">
        <f>1*B47+1*B48+1*B49+1*B50+1*B51+1*B52</f>
        <v/>
      </c>
      <c r="C53">
        <f>1*C47+1*C48+1*C49+1*C50+1*C51+1*C52</f>
        <v/>
      </c>
      <c r="D53">
        <f>1*D47+1*D48+1*D49+1*D50+1*D51+1*D52</f>
        <v/>
      </c>
      <c r="E53">
        <f>1*E47+1*E48+1*E49+1*E50+1*E51+1*E52</f>
        <v/>
      </c>
    </row>
    <row r="54">
      <c r="A54" t="inlineStr">
        <is>
          <t>Current liabilities [abstract]</t>
        </is>
      </c>
    </row>
    <row r="55">
      <c r="A55" t="inlineStr">
        <is>
          <t>Loans and borrowings</t>
        </is>
      </c>
    </row>
    <row r="56">
      <c r="A56" t="inlineStr">
        <is>
          <t>Employee benefits</t>
        </is>
      </c>
    </row>
    <row r="57">
      <c r="A57" t="inlineStr">
        <is>
          <t>Provisions</t>
        </is>
      </c>
    </row>
    <row r="58">
      <c r="A58" t="inlineStr">
        <is>
          <t>Trade and other current payables</t>
        </is>
      </c>
    </row>
    <row r="59">
      <c r="A59" t="inlineStr">
        <is>
          <t>Current tax liabilities</t>
        </is>
      </c>
    </row>
    <row r="60">
      <c r="A60" t="inlineStr">
        <is>
          <t>Derivative financial liabilities</t>
        </is>
      </c>
    </row>
    <row r="61">
      <c r="A61" t="inlineStr">
        <is>
          <t>Other current liabilities</t>
        </is>
      </c>
    </row>
    <row r="62">
      <c r="A62" s="1" t="inlineStr">
        <is>
          <t>*Total current liabilities</t>
        </is>
      </c>
      <c r="B62">
        <f>1*B55+1*B56+1*B57+1*B58+1*B59+1*B60+1*B61</f>
        <v/>
      </c>
      <c r="C62">
        <f>1*C55+1*C56+1*C57+1*C58+1*C59+1*C60+1*C61</f>
        <v/>
      </c>
      <c r="D62">
        <f>1*D55+1*D56+1*D57+1*D58+1*D59+1*D60+1*D61</f>
        <v/>
      </c>
      <c r="E62">
        <f>1*E55+1*E56+1*E57+1*E58+1*E59+1*E60+1*E61</f>
        <v/>
      </c>
    </row>
    <row r="63">
      <c r="A63" s="1" t="inlineStr">
        <is>
          <t>*Total liabilities</t>
        </is>
      </c>
      <c r="B63">
        <f>1*B55+1*B56+1*B57+1*B58+1*B59+1*B60+1*B61+1*B47+1*B48+1*B49+1*B50+1*B51+1*B52</f>
        <v/>
      </c>
      <c r="C63">
        <f>1*C55+1*C56+1*C57+1*C58+1*C59+1*C60+1*C61+1*C47+1*C48+1*C49+1*C50+1*C51+1*C52</f>
        <v/>
      </c>
      <c r="D63">
        <f>1*D55+1*D56+1*D57+1*D58+1*D59+1*D60+1*D61+1*D47+1*D48+1*D49+1*D50+1*D51+1*D52</f>
        <v/>
      </c>
      <c r="E63">
        <f>1*E55+1*E56+1*E57+1*E58+1*E59+1*E60+1*E61+1*E47+1*E48+1*E49+1*E50+1*E51+1*E52</f>
        <v/>
      </c>
    </row>
    <row r="64">
      <c r="A64" s="1" t="inlineStr">
        <is>
          <t>*Total equity and liabilities</t>
        </is>
      </c>
      <c r="B64">
        <f>1*B44+1*B63</f>
        <v/>
      </c>
      <c r="C64">
        <f>1*C44+1*C63</f>
        <v/>
      </c>
      <c r="D64">
        <f>1*D44+1*D63</f>
        <v/>
      </c>
      <c r="E64">
        <f>1*E44+1*E63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  <c r="D17">
        <f>1*D14+1*D15+1*D16</f>
        <v/>
      </c>
      <c r="E17">
        <f>1*E14+1*E15+1*E16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  <c r="D23">
        <f>1*D19+1*D20+1*D21+1*D22</f>
        <v/>
      </c>
      <c r="E23">
        <f>1*E19+1*E20+1*E21+1*E22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  <c r="D24">
        <f>1*D17+1*D23</f>
        <v/>
      </c>
      <c r="E24">
        <f>1*E17+1*E23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  <c r="D31">
        <f>1*D24+1*D25+1*D26+1*D27+1*D28+1*D29+1*D30</f>
        <v/>
      </c>
      <c r="E31">
        <f>1*E24+1*E25+1*E26+1*E27+1*E28+1*E29+1*E30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  <c r="D38">
        <f>1*D33+1*D34+1*D35+1*D36+1*D37</f>
        <v/>
      </c>
      <c r="E38">
        <f>1*E33+1*E34+1*E35+1*E36+1*E37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  <c r="D43">
        <f>1*D41+1*D42</f>
        <v/>
      </c>
      <c r="E43">
        <f>1*E41+1*E42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  <c r="D45">
        <f>1*D44+1*D43</f>
        <v/>
      </c>
      <c r="E45">
        <f>1*E44+1*E43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  <c r="D51">
        <f>1*D47+1*D48+1*D49+1*D50</f>
        <v/>
      </c>
      <c r="E51">
        <f>1*E47+1*E48+1*E49+1*E50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  <c r="D58">
        <f>1*D53+1*D54+1*D55+1*D56+1*D57</f>
        <v/>
      </c>
      <c r="E58">
        <f>1*E53+1*E54+1*E55+1*E56+1*E57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  <c r="D65">
        <f>1*D60+1*D61+1*D62+1*D63+1*D64</f>
        <v/>
      </c>
      <c r="E65">
        <f>1*E60+1*E61+1*E62+1*E63+1*E64</f>
        <v/>
      </c>
    </row>
    <row r="66">
      <c r="A66" t="inlineStr">
        <is>
          <t>Trade and other non-current receivables [abstract]</t>
        </is>
      </c>
    </row>
    <row r="67">
      <c r="A67" t="inlineStr">
        <is>
          <t>Non-current trade receivables [abstract]</t>
        </is>
      </c>
    </row>
    <row r="68">
      <c r="A68" t="inlineStr">
        <is>
          <t>Trade receivables due from holding company</t>
        </is>
      </c>
    </row>
    <row r="69">
      <c r="A69" t="inlineStr">
        <is>
          <t>Trade receivables due from subsidiaries</t>
        </is>
      </c>
    </row>
    <row r="70">
      <c r="A70" t="inlineStr">
        <is>
          <t>Trade receivables from associates</t>
        </is>
      </c>
    </row>
    <row r="71">
      <c r="A71" t="inlineStr">
        <is>
          <t>Trade receivables due from joint ventures</t>
        </is>
      </c>
    </row>
    <row r="72">
      <c r="A72" t="inlineStr">
        <is>
          <t>Trade receivables due from other related parties</t>
        </is>
      </c>
    </row>
    <row r="73">
      <c r="A73" t="inlineStr">
        <is>
          <t>Other non-current trade receivables</t>
        </is>
      </c>
    </row>
    <row r="74">
      <c r="A74" s="1" t="inlineStr">
        <is>
          <t>*Total non-current trade receivables</t>
        </is>
      </c>
      <c r="B74">
        <f>1*B68+1*B69+1*B70+1*B71+1*B72+1*B73</f>
        <v/>
      </c>
      <c r="C74">
        <f>1*C68+1*C69+1*C70+1*C71+1*C72+1*C73</f>
        <v/>
      </c>
      <c r="D74">
        <f>1*D68+1*D69+1*D70+1*D71+1*D72+1*D73</f>
        <v/>
      </c>
      <c r="E74">
        <f>1*E68+1*E69+1*E70+1*E71+1*E72+1*E73</f>
        <v/>
      </c>
    </row>
    <row r="75">
      <c r="A75" t="inlineStr">
        <is>
          <t>Other non-current receivables [abstract]</t>
        </is>
      </c>
    </row>
    <row r="76">
      <c r="A76" t="inlineStr">
        <is>
          <t>Other non-current receivables due from related parties [abstract]</t>
        </is>
      </c>
    </row>
    <row r="77">
      <c r="A77" t="inlineStr">
        <is>
          <t>Other receivables due from holding company</t>
        </is>
      </c>
    </row>
    <row r="78">
      <c r="A78" t="inlineStr">
        <is>
          <t>Other receivables due from subsidiaries</t>
        </is>
      </c>
    </row>
    <row r="79">
      <c r="A79" t="inlineStr">
        <is>
          <t>Other receivables due from associates</t>
        </is>
      </c>
    </row>
    <row r="80">
      <c r="A80" t="inlineStr">
        <is>
          <t>Other receivables due from joint ventures</t>
        </is>
      </c>
    </row>
    <row r="81">
      <c r="A81" t="inlineStr">
        <is>
          <t>Other receivables due from other related parties</t>
        </is>
      </c>
    </row>
    <row r="82">
      <c r="A82" s="1" t="inlineStr">
        <is>
          <t>*Total other non-current receivables due from related parties</t>
        </is>
      </c>
      <c r="B82">
        <f>1*B77+1*B78+1*B79+1*B80+1*B81</f>
        <v/>
      </c>
      <c r="C82">
        <f>1*C77+1*C78+1*C79+1*C80+1*C81</f>
        <v/>
      </c>
      <c r="D82">
        <f>1*D77+1*D78+1*D79+1*D80+1*D81</f>
        <v/>
      </c>
      <c r="E82">
        <f>1*E77+1*E78+1*E79+1*E80+1*E81</f>
        <v/>
      </c>
    </row>
    <row r="83">
      <c r="A83" t="inlineStr">
        <is>
          <t>Non-current non-trade receivables [abstract]</t>
        </is>
      </c>
    </row>
    <row r="84">
      <c r="A84" t="inlineStr">
        <is>
          <t>Accrued income</t>
        </is>
      </c>
    </row>
    <row r="85">
      <c r="A85" t="inlineStr">
        <is>
          <t>Lease and hire purchase receivables</t>
        </is>
      </c>
    </row>
    <row r="86">
      <c r="A86" t="inlineStr">
        <is>
          <t>Other non-current non-trade receivables</t>
        </is>
      </c>
    </row>
    <row r="87">
      <c r="A87" s="1" t="inlineStr">
        <is>
          <t>*Total other non-current non-trade receivables</t>
        </is>
      </c>
      <c r="B87">
        <f>1*B84+1*B85+1*B86</f>
        <v/>
      </c>
      <c r="C87">
        <f>1*C84+1*C85+1*C86</f>
        <v/>
      </c>
      <c r="D87">
        <f>1*D84+1*D85+1*D86</f>
        <v/>
      </c>
      <c r="E87">
        <f>1*E84+1*E85+1*E86</f>
        <v/>
      </c>
    </row>
    <row r="88">
      <c r="A88" s="1" t="inlineStr">
        <is>
          <t>*Total other non-current receivables</t>
        </is>
      </c>
      <c r="B88">
        <f>1*B87</f>
        <v/>
      </c>
      <c r="C88">
        <f>1*C87</f>
        <v/>
      </c>
      <c r="D88">
        <f>1*D87</f>
        <v/>
      </c>
      <c r="E88">
        <f>1*E87</f>
        <v/>
      </c>
    </row>
    <row r="89">
      <c r="A89" s="1" t="inlineStr">
        <is>
          <t>*Total trade and other non-current receivables</t>
        </is>
      </c>
      <c r="B89">
        <f>1*B74+1*B88+1*B82</f>
        <v/>
      </c>
      <c r="C89">
        <f>1*C74+1*C88+1*C82</f>
        <v/>
      </c>
      <c r="D89">
        <f>1*D74+1*D88+1*D82</f>
        <v/>
      </c>
      <c r="E89">
        <f>1*E74+1*E88+1*E82</f>
        <v/>
      </c>
    </row>
    <row r="90">
      <c r="A90" t="inlineStr">
        <is>
          <t>Inventories [abstract]</t>
        </is>
      </c>
    </row>
    <row r="91">
      <c r="A91" t="inlineStr">
        <is>
          <t>Raw materials</t>
        </is>
      </c>
    </row>
    <row r="92">
      <c r="A92" t="inlineStr">
        <is>
          <t>Work in progress</t>
        </is>
      </c>
    </row>
    <row r="93">
      <c r="A93" t="inlineStr">
        <is>
          <t>Finished goods</t>
        </is>
      </c>
    </row>
    <row r="94">
      <c r="A94" t="inlineStr">
        <is>
          <t>Spare parts</t>
        </is>
      </c>
    </row>
    <row r="95">
      <c r="A95" t="inlineStr">
        <is>
          <t>Other inventories</t>
        </is>
      </c>
    </row>
    <row r="96">
      <c r="A96" s="1" t="inlineStr">
        <is>
          <t>*Total inventories</t>
        </is>
      </c>
      <c r="B96">
        <f>1*B91+1*B92+1*B93+1*B94+1*B95</f>
        <v/>
      </c>
      <c r="C96">
        <f>1*C91+1*C92+1*C93+1*C94+1*C95</f>
        <v/>
      </c>
      <c r="D96">
        <f>1*D91+1*D92+1*D93+1*D94+1*D95</f>
        <v/>
      </c>
      <c r="E96">
        <f>1*E91+1*E92+1*E93+1*E94+1*E95</f>
        <v/>
      </c>
    </row>
    <row r="97">
      <c r="A97" t="inlineStr">
        <is>
          <t>Trade and other current receivables [abstract]</t>
        </is>
      </c>
    </row>
    <row r="98">
      <c r="A98" t="inlineStr">
        <is>
          <t>Current trade receivables [abstract]</t>
        </is>
      </c>
    </row>
    <row r="99">
      <c r="A99" t="inlineStr">
        <is>
          <t>Trade receivables due from contract customers</t>
        </is>
      </c>
    </row>
    <row r="100">
      <c r="A100" t="inlineStr">
        <is>
          <t>Trade receivables due from holding company</t>
        </is>
      </c>
    </row>
    <row r="101">
      <c r="A101" t="inlineStr">
        <is>
          <t>Trade receivables due from subsidiaries</t>
        </is>
      </c>
    </row>
    <row r="102">
      <c r="A102" t="inlineStr">
        <is>
          <t>Trade receivables due from associates</t>
        </is>
      </c>
    </row>
    <row r="103">
      <c r="A103" t="inlineStr">
        <is>
          <t>Trade receivables due from joint ventures</t>
        </is>
      </c>
    </row>
    <row r="104">
      <c r="A104" t="inlineStr">
        <is>
          <t>Trade receivables due from other related parties</t>
        </is>
      </c>
    </row>
    <row r="105">
      <c r="A105" t="inlineStr">
        <is>
          <t>Other current trade receivables</t>
        </is>
      </c>
    </row>
    <row r="106">
      <c r="A106" s="1" t="inlineStr">
        <is>
          <t>*Total current trade receivables</t>
        </is>
      </c>
      <c r="B106">
        <f>1*B99+1*B100+1*B101+1*B102+1*B103+1*B104+1*B105</f>
        <v/>
      </c>
      <c r="C106">
        <f>1*C99+1*C100+1*C101+1*C102+1*C103+1*C104+1*C105</f>
        <v/>
      </c>
      <c r="D106">
        <f>1*D99+1*D100+1*D101+1*D102+1*D103+1*D104+1*D105</f>
        <v/>
      </c>
      <c r="E106">
        <f>1*E99+1*E100+1*E101+1*E102+1*E103+1*E104+1*E105</f>
        <v/>
      </c>
    </row>
    <row r="107">
      <c r="A107" t="inlineStr">
        <is>
          <t>Other current receivables [abstract]</t>
        </is>
      </c>
    </row>
    <row r="108">
      <c r="A108" t="inlineStr">
        <is>
          <t>Current other receivables due from related parties [abstract]</t>
        </is>
      </c>
    </row>
    <row r="109">
      <c r="A109" t="inlineStr">
        <is>
          <t>Other receivables due from holding company</t>
        </is>
      </c>
    </row>
    <row r="110">
      <c r="A110" t="inlineStr">
        <is>
          <t>Other receivables due from subsidiaries</t>
        </is>
      </c>
    </row>
    <row r="111">
      <c r="A111" t="inlineStr">
        <is>
          <t>Other receivables due from associates</t>
        </is>
      </c>
    </row>
    <row r="112">
      <c r="A112" t="inlineStr">
        <is>
          <t>Other receivables due from joint ventures</t>
        </is>
      </c>
    </row>
    <row r="113">
      <c r="A113" t="inlineStr">
        <is>
          <t>Other receivables due from other related parties</t>
        </is>
      </c>
    </row>
    <row r="114">
      <c r="A114" s="1" t="inlineStr">
        <is>
          <t>*Total current other receivables due from related parties</t>
        </is>
      </c>
      <c r="B114">
        <f>1*B109+1*B110+1*B111+1*B112+1*B113</f>
        <v/>
      </c>
      <c r="C114">
        <f>1*C109+1*C110+1*C111+1*C112+1*C113</f>
        <v/>
      </c>
      <c r="D114">
        <f>1*D109+1*D110+1*D111+1*D112+1*D113</f>
        <v/>
      </c>
      <c r="E114">
        <f>1*E109+1*E110+1*E111+1*E112+1*E113</f>
        <v/>
      </c>
    </row>
    <row r="115">
      <c r="A115" t="inlineStr">
        <is>
          <t>Current prepayments and current accrued income [abstract]</t>
        </is>
      </c>
    </row>
    <row r="116">
      <c r="A116" t="inlineStr">
        <is>
          <t>Prepayments</t>
        </is>
      </c>
    </row>
    <row r="117">
      <c r="A117" t="inlineStr">
        <is>
          <t>Accrued income</t>
        </is>
      </c>
    </row>
    <row r="118">
      <c r="A118" s="1" t="inlineStr">
        <is>
          <t>*Total current prepayments and current accrued income</t>
        </is>
      </c>
      <c r="B118">
        <f>1*B116+1*B117</f>
        <v/>
      </c>
      <c r="C118">
        <f>1*C116+1*C117</f>
        <v/>
      </c>
      <c r="D118">
        <f>1*D116+1*D117</f>
        <v/>
      </c>
      <c r="E118">
        <f>1*E116+1*E117</f>
        <v/>
      </c>
    </row>
    <row r="119">
      <c r="A119" t="inlineStr">
        <is>
          <t>Current non-trade receivables [abstract]</t>
        </is>
      </c>
    </row>
    <row r="120">
      <c r="A120" t="inlineStr">
        <is>
          <t>Interest receivables</t>
        </is>
      </c>
    </row>
    <row r="121">
      <c r="A121" t="inlineStr">
        <is>
          <t>Deposits</t>
        </is>
      </c>
    </row>
    <row r="122">
      <c r="A122" t="inlineStr">
        <is>
          <t>Dividend receivables</t>
        </is>
      </c>
    </row>
    <row r="123">
      <c r="A123" t="inlineStr">
        <is>
          <t>Lease and hire purchase receivables</t>
        </is>
      </c>
    </row>
    <row r="124">
      <c r="A124" t="inlineStr">
        <is>
          <t>Other current non-trade receivables</t>
        </is>
      </c>
    </row>
    <row r="125">
      <c r="A125" s="1" t="inlineStr">
        <is>
          <t>*Total non trade receivables</t>
        </is>
      </c>
      <c r="B125">
        <f>1*B120+1*B121+1*B122+1*B123+1*B124</f>
        <v/>
      </c>
      <c r="C125">
        <f>1*C120+1*C121+1*C122+1*C123+1*C124</f>
        <v/>
      </c>
      <c r="D125">
        <f>1*D120+1*D121+1*D122+1*D123+1*D124</f>
        <v/>
      </c>
      <c r="E125">
        <f>1*E120+1*E121+1*E122+1*E123+1*E124</f>
        <v/>
      </c>
    </row>
    <row r="126">
      <c r="A126" s="1" t="inlineStr">
        <is>
          <t>*Total other current receivables</t>
        </is>
      </c>
      <c r="B126">
        <f>1*B114+1*B118+1*B125</f>
        <v/>
      </c>
      <c r="C126">
        <f>1*C114+1*C118+1*C125</f>
        <v/>
      </c>
      <c r="D126">
        <f>1*D114+1*D118+1*D125</f>
        <v/>
      </c>
      <c r="E126">
        <f>1*E114+1*E118+1*E125</f>
        <v/>
      </c>
    </row>
    <row r="127">
      <c r="A127" s="1" t="inlineStr">
        <is>
          <t>*Total trade and other current receivables</t>
        </is>
      </c>
      <c r="B127">
        <f>1*B106+1*B126</f>
        <v/>
      </c>
      <c r="C127">
        <f>1*C106+1*C126</f>
        <v/>
      </c>
      <c r="D127">
        <f>1*D106+1*D126</f>
        <v/>
      </c>
      <c r="E127">
        <f>1*E106+1*E126</f>
        <v/>
      </c>
    </row>
    <row r="128">
      <c r="A128" t="inlineStr">
        <is>
          <t>Cash and cash equivalents [abstract]</t>
        </is>
      </c>
    </row>
    <row r="129">
      <c r="A129" t="inlineStr">
        <is>
          <t>Cash [abstract]</t>
        </is>
      </c>
    </row>
    <row r="130">
      <c r="A130" t="inlineStr">
        <is>
          <t>Cash in hand</t>
        </is>
      </c>
    </row>
    <row r="131">
      <c r="A131" t="inlineStr">
        <is>
          <t>Balances with banks</t>
        </is>
      </c>
    </row>
    <row r="132">
      <c r="A132" s="1" t="inlineStr">
        <is>
          <t>*Total cash</t>
        </is>
      </c>
      <c r="B132">
        <f>1*B130+1*B131</f>
        <v/>
      </c>
      <c r="C132">
        <f>1*C130+1*C131</f>
        <v/>
      </c>
      <c r="D132">
        <f>1*D130+1*D131</f>
        <v/>
      </c>
      <c r="E132">
        <f>1*E130+1*E131</f>
        <v/>
      </c>
    </row>
    <row r="133">
      <c r="A133" t="inlineStr">
        <is>
          <t>Cash equivalents [abstract]</t>
        </is>
      </c>
    </row>
    <row r="134">
      <c r="A134" t="inlineStr">
        <is>
          <t>Deposits placed with licensed banks</t>
        </is>
      </c>
    </row>
    <row r="135">
      <c r="A135" t="inlineStr">
        <is>
          <t>Deposit placed with other corporations</t>
        </is>
      </c>
    </row>
    <row r="136">
      <c r="A136" t="inlineStr">
        <is>
          <t>Fixed deposits with financial institutions</t>
        </is>
      </c>
    </row>
    <row r="137">
      <c r="A137" t="inlineStr">
        <is>
          <t>Cash equivalents with other financial institutions</t>
        </is>
      </c>
    </row>
    <row r="138">
      <c r="A138" t="inlineStr">
        <is>
          <t>Short-term deposits</t>
        </is>
      </c>
    </row>
    <row r="139">
      <c r="A139" t="inlineStr">
        <is>
          <t>Short-term investments</t>
        </is>
      </c>
    </row>
    <row r="140">
      <c r="A140" t="inlineStr">
        <is>
          <t>Other banking arrangements</t>
        </is>
      </c>
    </row>
    <row r="141">
      <c r="A141" s="1" t="inlineStr">
        <is>
          <t>*Total cash equivalents</t>
        </is>
      </c>
      <c r="B141">
        <f>1*B134+1*B135+1*B136+1*B137+1*B138+1*B139+1*B140</f>
        <v/>
      </c>
      <c r="C141">
        <f>1*C134+1*C135+1*C136+1*C137+1*C138+1*C139+1*C140</f>
        <v/>
      </c>
      <c r="D141">
        <f>1*D134+1*D135+1*D136+1*D137+1*D138+1*D139+1*D140</f>
        <v/>
      </c>
      <c r="E141">
        <f>1*E134+1*E135+1*E136+1*E137+1*E138+1*E139+1*E140</f>
        <v/>
      </c>
    </row>
    <row r="142">
      <c r="A142" t="inlineStr">
        <is>
          <t>Other cash and cash equivalents</t>
        </is>
      </c>
    </row>
    <row r="143">
      <c r="A143" s="1" t="inlineStr">
        <is>
          <t>*Total cash and cash equivalents</t>
        </is>
      </c>
      <c r="B143">
        <f>1*B132+1*B141+1*B142</f>
        <v/>
      </c>
      <c r="C143">
        <f>1*C132+1*C141+1*C142</f>
        <v/>
      </c>
      <c r="D143">
        <f>1*D132+1*D141+1*D142</f>
        <v/>
      </c>
      <c r="E143">
        <f>1*E132+1*E141+1*E142</f>
        <v/>
      </c>
    </row>
    <row r="144">
      <c r="A144" t="inlineStr">
        <is>
          <t>Issued capital [abstract]</t>
        </is>
      </c>
    </row>
    <row r="145">
      <c r="A145" t="inlineStr">
        <is>
          <t>Capital from ordinary shares</t>
        </is>
      </c>
    </row>
    <row r="146">
      <c r="A146" t="inlineStr">
        <is>
          <t>Capital from redeemable preference shares</t>
        </is>
      </c>
    </row>
    <row r="147">
      <c r="A147" t="inlineStr">
        <is>
          <t>Capital from non-redeemable preference shares</t>
        </is>
      </c>
    </row>
    <row r="148">
      <c r="A148" s="1" t="inlineStr">
        <is>
          <t>*Total issued capital</t>
        </is>
      </c>
      <c r="B148">
        <f>1*B145+1*B146+1*B147</f>
        <v/>
      </c>
      <c r="C148">
        <f>1*C145+1*C146+1*C147</f>
        <v/>
      </c>
      <c r="D148">
        <f>1*D145+1*D146+1*D147</f>
        <v/>
      </c>
      <c r="E148">
        <f>1*E145+1*E146+1*E147</f>
        <v/>
      </c>
    </row>
    <row r="149">
      <c r="A149" t="inlineStr">
        <is>
          <t>Reserves [abstract]</t>
        </is>
      </c>
    </row>
    <row r="150">
      <c r="A150" t="inlineStr">
        <is>
          <t>Non-distributable [abstract]</t>
        </is>
      </c>
    </row>
    <row r="151">
      <c r="A151" t="inlineStr">
        <is>
          <t>Capital reserve</t>
        </is>
      </c>
    </row>
    <row r="152">
      <c r="A152" t="inlineStr">
        <is>
          <t>Foreign currency translation reserve</t>
        </is>
      </c>
    </row>
    <row r="153">
      <c r="A153" t="inlineStr">
        <is>
          <t>Revaluation surplus</t>
        </is>
      </c>
    </row>
    <row r="154">
      <c r="A154" t="inlineStr">
        <is>
          <t>Other non-distributable reserves</t>
        </is>
      </c>
    </row>
    <row r="155">
      <c r="A155" s="1" t="inlineStr">
        <is>
          <t>*Total non-distributable reserves</t>
        </is>
      </c>
      <c r="B155">
        <f>1*B151+1*B152+1*B153+1*B154</f>
        <v/>
      </c>
      <c r="C155">
        <f>1*C151+1*C152+1*C153+1*C154</f>
        <v/>
      </c>
      <c r="D155">
        <f>1*D151+1*D152+1*D153+1*D154</f>
        <v/>
      </c>
      <c r="E155">
        <f>1*E151+1*E152+1*E153+1*E154</f>
        <v/>
      </c>
    </row>
    <row r="156">
      <c r="A156" t="inlineStr">
        <is>
          <t>Distributable [abstract]</t>
        </is>
      </c>
    </row>
    <row r="157">
      <c r="A157" t="inlineStr">
        <is>
          <t>Other distributable reserves</t>
        </is>
      </c>
    </row>
    <row r="158">
      <c r="A158" s="1" t="inlineStr">
        <is>
          <t>*Total distributable reserves</t>
        </is>
      </c>
      <c r="B158">
        <f>1*B157</f>
        <v/>
      </c>
      <c r="C158">
        <f>1*C157</f>
        <v/>
      </c>
      <c r="D158">
        <f>1*D157</f>
        <v/>
      </c>
      <c r="E158">
        <f>1*E157</f>
        <v/>
      </c>
    </row>
    <row r="159">
      <c r="A159" s="1" t="inlineStr">
        <is>
          <t>*Total reserves</t>
        </is>
      </c>
      <c r="B159">
        <f>1*B155+1*B158</f>
        <v/>
      </c>
      <c r="C159">
        <f>1*C155+1*C158</f>
        <v/>
      </c>
      <c r="D159">
        <f>1*D155+1*D158</f>
        <v/>
      </c>
      <c r="E159">
        <f>1*E155+1*E158</f>
        <v/>
      </c>
    </row>
    <row r="160">
      <c r="A160" t="inlineStr">
        <is>
          <t>Equity - others components [abstract]</t>
        </is>
      </c>
    </row>
    <row r="161">
      <c r="A161" t="inlineStr">
        <is>
          <t>Perpetual Sukuk</t>
        </is>
      </c>
    </row>
    <row r="162">
      <c r="A162" t="inlineStr">
        <is>
          <t>Equity component of Irredeemable Convertible Unsecured Loan Stocks (ICULS)</t>
        </is>
      </c>
    </row>
    <row r="163">
      <c r="A163" t="inlineStr">
        <is>
          <t>Equity component of preference shares</t>
        </is>
      </c>
    </row>
    <row r="164">
      <c r="A164" t="inlineStr">
        <is>
          <t>Equity components of other financial instruments</t>
        </is>
      </c>
    </row>
    <row r="165">
      <c r="A165" s="1" t="inlineStr">
        <is>
          <t>*Total equity - other components</t>
        </is>
      </c>
      <c r="B165">
        <f>1*B161+1*B162+1*B163+1*B164</f>
        <v/>
      </c>
      <c r="C165">
        <f>1*C161+1*C162+1*C163+1*C164</f>
        <v/>
      </c>
      <c r="D165">
        <f>1*D161+1*D162+1*D163+1*D164</f>
        <v/>
      </c>
      <c r="E165">
        <f>1*E161+1*E162+1*E163+1*E164</f>
        <v/>
      </c>
    </row>
    <row r="166">
      <c r="A166" t="inlineStr">
        <is>
          <t>Non-current loans and borrowings [abstract]</t>
        </is>
      </c>
    </row>
    <row r="167">
      <c r="A167" t="inlineStr">
        <is>
          <t>Secured bank loans</t>
        </is>
      </c>
    </row>
    <row r="168">
      <c r="A168" t="inlineStr">
        <is>
          <t>Unsecured bank loans</t>
        </is>
      </c>
    </row>
    <row r="169">
      <c r="A169" t="inlineStr">
        <is>
          <t>Secured convertible notes</t>
        </is>
      </c>
    </row>
    <row r="170">
      <c r="A170" t="inlineStr">
        <is>
          <t>Unsecured convertible notes</t>
        </is>
      </c>
    </row>
    <row r="171">
      <c r="A171" t="inlineStr">
        <is>
          <t>Redeemable preference shares</t>
        </is>
      </c>
    </row>
    <row r="172">
      <c r="A172" t="inlineStr">
        <is>
          <t>Finance lease liabilities</t>
        </is>
      </c>
    </row>
    <row r="173">
      <c r="A173" t="inlineStr">
        <is>
          <t>Loan from holding company</t>
        </is>
      </c>
    </row>
    <row r="174">
      <c r="A174" t="inlineStr">
        <is>
          <t>Loan from subsidiaries</t>
        </is>
      </c>
    </row>
    <row r="175">
      <c r="A175" t="inlineStr">
        <is>
          <t>Loan from associates</t>
        </is>
      </c>
    </row>
    <row r="176">
      <c r="A176" t="inlineStr">
        <is>
          <t>Loan from joint ventures</t>
        </is>
      </c>
    </row>
    <row r="177">
      <c r="A177" t="inlineStr">
        <is>
          <t>Loan from other related companies</t>
        </is>
      </c>
    </row>
    <row r="178">
      <c r="A178" t="inlineStr">
        <is>
          <t>Other secured bank facilities</t>
        </is>
      </c>
    </row>
    <row r="179">
      <c r="A179" t="inlineStr">
        <is>
          <t>Other unsecured bank facilities</t>
        </is>
      </c>
    </row>
    <row r="180">
      <c r="A180" t="inlineStr">
        <is>
          <t>Other non-current borrowings</t>
        </is>
      </c>
    </row>
    <row r="181">
      <c r="A181" s="1" t="inlineStr">
        <is>
          <t>*Total non-current borrowings</t>
        </is>
      </c>
      <c r="B181">
        <f>1*B167+1*B168+1*B169+1*B170+1*B171+1*B172+1*B173+1*B174+1*B175+1*B176+1*B177+1*B178+1*B179+1*B180</f>
        <v/>
      </c>
      <c r="C181">
        <f>1*C167+1*C168+1*C169+1*C170+1*C171+1*C172+1*C173+1*C174+1*C175+1*C176+1*C177+1*C178+1*C179+1*C180</f>
        <v/>
      </c>
      <c r="D181">
        <f>1*D167+1*D168+1*D169+1*D170+1*D171+1*D172+1*D173+1*D174+1*D175+1*D176+1*D177+1*D178+1*D179+1*D180</f>
        <v/>
      </c>
      <c r="E181">
        <f>1*E167+1*E168+1*E169+1*E170+1*E171+1*E172+1*E173+1*E174+1*E175+1*E176+1*E177+1*E178+1*E179+1*E180</f>
        <v/>
      </c>
    </row>
    <row r="182">
      <c r="A182" t="inlineStr">
        <is>
          <t>Non-current employee benefits [abstract]</t>
        </is>
      </c>
    </row>
    <row r="183">
      <c r="A183" t="inlineStr">
        <is>
          <t>Cash-settled share-based payment liability</t>
        </is>
      </c>
    </row>
    <row r="184">
      <c r="A184" t="inlineStr">
        <is>
          <t>Employment termination benefits</t>
        </is>
      </c>
    </row>
    <row r="185">
      <c r="A185" t="inlineStr">
        <is>
          <t>Provision for unconsumed leave</t>
        </is>
      </c>
    </row>
    <row r="186">
      <c r="A186" t="inlineStr">
        <is>
          <t>Defined contribution plan</t>
        </is>
      </c>
    </row>
    <row r="187">
      <c r="A187" t="inlineStr">
        <is>
          <t>Defined benefit plan</t>
        </is>
      </c>
    </row>
    <row r="188">
      <c r="A188" t="inlineStr">
        <is>
          <t>Other non-current employee benefits</t>
        </is>
      </c>
    </row>
    <row r="189">
      <c r="A189" s="1" t="inlineStr">
        <is>
          <t>*Total non-current employee benefits</t>
        </is>
      </c>
      <c r="B189">
        <f>1*B183+1*B184+1*B185+1*B186+1*B187+1*B188</f>
        <v/>
      </c>
      <c r="C189">
        <f>1*C183+1*C184+1*C185+1*C186+1*C187+1*C188</f>
        <v/>
      </c>
      <c r="D189">
        <f>1*D183+1*D184+1*D185+1*D186+1*D187+1*D188</f>
        <v/>
      </c>
      <c r="E189">
        <f>1*E183+1*E184+1*E185+1*E186+1*E187+1*E188</f>
        <v/>
      </c>
    </row>
    <row r="190">
      <c r="A190" t="inlineStr">
        <is>
          <t>Non-current provisions [abstract]</t>
        </is>
      </c>
    </row>
    <row r="191">
      <c r="A191" t="inlineStr">
        <is>
          <t>Warranty provision</t>
        </is>
      </c>
    </row>
    <row r="192">
      <c r="A192" t="inlineStr">
        <is>
          <t>Restructuring provision</t>
        </is>
      </c>
    </row>
    <row r="193">
      <c r="A193" t="inlineStr">
        <is>
          <t>Legal proceedings provision</t>
        </is>
      </c>
    </row>
    <row r="194">
      <c r="A194" t="inlineStr">
        <is>
          <t>Onerous contracts provision</t>
        </is>
      </c>
    </row>
    <row r="195">
      <c r="A195" t="inlineStr">
        <is>
          <t>Provision for decommissioning, restoration and rehabilitation costs</t>
        </is>
      </c>
    </row>
    <row r="196">
      <c r="A196" t="inlineStr">
        <is>
          <t>Other non-current provisions</t>
        </is>
      </c>
    </row>
    <row r="197">
      <c r="A197" s="1" t="inlineStr">
        <is>
          <t>*Total non-current provisions</t>
        </is>
      </c>
      <c r="B197">
        <f>1*B191+1*B192+1*B193+1*B194+1*B195+1*B196</f>
        <v/>
      </c>
      <c r="C197">
        <f>1*C191+1*C192+1*C193+1*C194+1*C195+1*C196</f>
        <v/>
      </c>
      <c r="D197">
        <f>1*D191+1*D192+1*D193+1*D194+1*D195+1*D196</f>
        <v/>
      </c>
      <c r="E197">
        <f>1*E191+1*E192+1*E193+1*E194+1*E195+1*E196</f>
        <v/>
      </c>
    </row>
    <row r="198">
      <c r="A198" t="inlineStr">
        <is>
          <t>Trade and other non-current payables [abstract]</t>
        </is>
      </c>
    </row>
    <row r="199">
      <c r="A199" t="inlineStr">
        <is>
          <t>Non-current trade payables [abstract]</t>
        </is>
      </c>
    </row>
    <row r="200">
      <c r="A200" t="inlineStr">
        <is>
          <t>Trade payables due to holding company</t>
        </is>
      </c>
    </row>
    <row r="201">
      <c r="A201" t="inlineStr">
        <is>
          <t>Trade payables due to subsidiaries</t>
        </is>
      </c>
    </row>
    <row r="202">
      <c r="A202" t="inlineStr">
        <is>
          <t>Trade payables due to associates</t>
        </is>
      </c>
    </row>
    <row r="203">
      <c r="A203" t="inlineStr">
        <is>
          <t>Trade payables due to joint ventures</t>
        </is>
      </c>
    </row>
    <row r="204">
      <c r="A204" t="inlineStr">
        <is>
          <t>Trade payables due to other related parties</t>
        </is>
      </c>
    </row>
    <row r="205">
      <c r="A205" t="inlineStr">
        <is>
          <t>Other non-current trade payables</t>
        </is>
      </c>
    </row>
    <row r="206">
      <c r="A206" s="1" t="inlineStr">
        <is>
          <t>*Total non-current trade payables</t>
        </is>
      </c>
      <c r="B206">
        <f>1*B200+1*B201+1*B202+1*B203+1*B204+1*B205</f>
        <v/>
      </c>
      <c r="C206">
        <f>1*C200+1*C201+1*C202+1*C203+1*C204+1*C205</f>
        <v/>
      </c>
      <c r="D206">
        <f>1*D200+1*D201+1*D202+1*D203+1*D204+1*D205</f>
        <v/>
      </c>
      <c r="E206">
        <f>1*E200+1*E201+1*E202+1*E203+1*E204+1*E205</f>
        <v/>
      </c>
    </row>
    <row r="207">
      <c r="A207" t="inlineStr">
        <is>
          <t>Other non-current payables [abstract]</t>
        </is>
      </c>
    </row>
    <row r="208">
      <c r="A208" t="inlineStr">
        <is>
          <t>Other non-current payables due to related parties [abstract]</t>
        </is>
      </c>
    </row>
    <row r="209">
      <c r="A209" t="inlineStr">
        <is>
          <t>Other payables due to holding company</t>
        </is>
      </c>
    </row>
    <row r="210">
      <c r="A210" t="inlineStr">
        <is>
          <t>Other payables due to subsidiaries</t>
        </is>
      </c>
    </row>
    <row r="211">
      <c r="A211" t="inlineStr">
        <is>
          <t>Other payables due to associates</t>
        </is>
      </c>
    </row>
    <row r="212">
      <c r="A212" t="inlineStr">
        <is>
          <t>Other payables due to joint ventures</t>
        </is>
      </c>
    </row>
    <row r="213">
      <c r="A213" t="inlineStr">
        <is>
          <t>Other payables due to other related parties</t>
        </is>
      </c>
    </row>
    <row r="214">
      <c r="A214" s="1" t="inlineStr">
        <is>
          <t>*Total other non-current payables due to related parties</t>
        </is>
      </c>
      <c r="B214">
        <f>1*B209+1*B210+1*B211+1*B212+1*B213</f>
        <v/>
      </c>
      <c r="C214">
        <f>1*C209+1*C210+1*C211+1*C212+1*C213</f>
        <v/>
      </c>
      <c r="D214">
        <f>1*D209+1*D210+1*D211+1*D212+1*D213</f>
        <v/>
      </c>
      <c r="E214">
        <f>1*E209+1*E210+1*E211+1*E212+1*E213</f>
        <v/>
      </c>
    </row>
    <row r="215">
      <c r="A215" t="inlineStr">
        <is>
          <t>Non-current non-trade payables [abstract]</t>
        </is>
      </c>
    </row>
    <row r="216">
      <c r="A216" t="inlineStr">
        <is>
          <t>Deferred income</t>
        </is>
      </c>
    </row>
    <row r="217">
      <c r="A217" t="inlineStr">
        <is>
          <t>Accruals</t>
        </is>
      </c>
    </row>
    <row r="218">
      <c r="A218" t="inlineStr">
        <is>
          <t>Retention payable</t>
        </is>
      </c>
    </row>
    <row r="219">
      <c r="A219" t="inlineStr">
        <is>
          <t>Other non-current non-trade payables</t>
        </is>
      </c>
    </row>
    <row r="220">
      <c r="A220" s="1" t="inlineStr">
        <is>
          <t>*Total non-current non-trade payables</t>
        </is>
      </c>
      <c r="B220">
        <f>1*B216+1*B217+1*B218+1*B219</f>
        <v/>
      </c>
      <c r="C220">
        <f>1*C216+1*C217+1*C218+1*C219</f>
        <v/>
      </c>
      <c r="D220">
        <f>1*D216+1*D217+1*D218+1*D219</f>
        <v/>
      </c>
      <c r="E220">
        <f>1*E216+1*E217+1*E218+1*E219</f>
        <v/>
      </c>
    </row>
    <row r="221">
      <c r="A221" s="1" t="inlineStr">
        <is>
          <t>*Total other non-current payables</t>
        </is>
      </c>
      <c r="B221">
        <f>1*B214+1*B220</f>
        <v/>
      </c>
      <c r="C221">
        <f>1*C214+1*C220</f>
        <v/>
      </c>
      <c r="D221">
        <f>1*D214+1*D220</f>
        <v/>
      </c>
      <c r="E221">
        <f>1*E214+1*E220</f>
        <v/>
      </c>
    </row>
    <row r="222">
      <c r="A222" s="1" t="inlineStr">
        <is>
          <t>*Total trade and other non-current payables</t>
        </is>
      </c>
      <c r="B222">
        <f>1*B206+1*B221</f>
        <v/>
      </c>
      <c r="C222">
        <f>1*C206+1*C221</f>
        <v/>
      </c>
      <c r="D222">
        <f>1*D206+1*D221</f>
        <v/>
      </c>
      <c r="E222">
        <f>1*E206+1*E221</f>
        <v/>
      </c>
    </row>
    <row r="223">
      <c r="A223" t="inlineStr">
        <is>
          <t>Current loans and borrowings [abstract]</t>
        </is>
      </c>
    </row>
    <row r="224">
      <c r="A224" t="inlineStr">
        <is>
          <t>Secured bank loans</t>
        </is>
      </c>
    </row>
    <row r="225">
      <c r="A225" t="inlineStr">
        <is>
          <t>Unsecured bank loans</t>
        </is>
      </c>
    </row>
    <row r="226">
      <c r="A226" t="inlineStr">
        <is>
          <t>Secured convertible notes</t>
        </is>
      </c>
    </row>
    <row r="227">
      <c r="A227" t="inlineStr">
        <is>
          <t>Unsecured convertible notes</t>
        </is>
      </c>
    </row>
    <row r="228">
      <c r="A228" t="inlineStr">
        <is>
          <t>Secured bank overdrafts</t>
        </is>
      </c>
    </row>
    <row r="229">
      <c r="A229" t="inlineStr">
        <is>
          <t>Unsecured bank overdrafts</t>
        </is>
      </c>
    </row>
    <row r="230">
      <c r="A230" t="inlineStr">
        <is>
          <t>Redeemable preference shares</t>
        </is>
      </c>
    </row>
    <row r="231">
      <c r="A231" t="inlineStr">
        <is>
          <t>Finance lease liabilities</t>
        </is>
      </c>
    </row>
    <row r="232">
      <c r="A232" t="inlineStr">
        <is>
          <t>Loan from holding company</t>
        </is>
      </c>
    </row>
    <row r="233">
      <c r="A233" t="inlineStr">
        <is>
          <t>Loan from subsidiaries</t>
        </is>
      </c>
    </row>
    <row r="234">
      <c r="A234" t="inlineStr">
        <is>
          <t>Loan from associates</t>
        </is>
      </c>
    </row>
    <row r="235">
      <c r="A235" t="inlineStr">
        <is>
          <t>Loan from joint venture</t>
        </is>
      </c>
    </row>
    <row r="236">
      <c r="A236" t="inlineStr">
        <is>
          <t>Loan from other related companies</t>
        </is>
      </c>
    </row>
    <row r="237">
      <c r="A237" t="inlineStr">
        <is>
          <t>Other secured bank facilities</t>
        </is>
      </c>
    </row>
    <row r="238">
      <c r="A238" t="inlineStr">
        <is>
          <t>Other unsecured bank facilities</t>
        </is>
      </c>
    </row>
    <row r="239">
      <c r="A239" t="inlineStr">
        <is>
          <t>Other current borrowings</t>
        </is>
      </c>
    </row>
    <row r="240">
      <c r="A240" s="1" t="inlineStr">
        <is>
          <t>*Total current loans and borrowings</t>
        </is>
      </c>
      <c r="B240">
        <f>1*B224+1*B225+1*B226+1*B227+1*B228+1*B229+1*B230+1*B231+1*B232+1*B233+1*B234+1*B235+1*B236+1*B237+1*B238+1*B239</f>
        <v/>
      </c>
      <c r="C240">
        <f>1*C224+1*C225+1*C226+1*C227+1*C228+1*C229+1*C230+1*C231+1*C232+1*C233+1*C234+1*C235+1*C236+1*C237+1*C238+1*C239</f>
        <v/>
      </c>
      <c r="D240">
        <f>1*D224+1*D225+1*D226+1*D227+1*D228+1*D229+1*D230+1*D231+1*D232+1*D233+1*D234+1*D235+1*D236+1*D237+1*D238+1*D239</f>
        <v/>
      </c>
      <c r="E240">
        <f>1*E224+1*E225+1*E226+1*E227+1*E228+1*E229+1*E230+1*E231+1*E232+1*E233+1*E234+1*E235+1*E236+1*E237+1*E238+1*E239</f>
        <v/>
      </c>
    </row>
    <row r="241">
      <c r="A241" t="inlineStr">
        <is>
          <t>Current employee benefits [abstract]</t>
        </is>
      </c>
    </row>
    <row r="242">
      <c r="A242" t="inlineStr">
        <is>
          <t>Cash-settled share-based payment liability</t>
        </is>
      </c>
    </row>
    <row r="243">
      <c r="A243" t="inlineStr">
        <is>
          <t>Employment termination benefits</t>
        </is>
      </c>
    </row>
    <row r="244">
      <c r="A244" t="inlineStr">
        <is>
          <t>Provision for unconsumed leave</t>
        </is>
      </c>
    </row>
    <row r="245">
      <c r="A245" t="inlineStr">
        <is>
          <t>Defined contribution plan</t>
        </is>
      </c>
    </row>
    <row r="246">
      <c r="A246" t="inlineStr">
        <is>
          <t>Defined benefit plan</t>
        </is>
      </c>
    </row>
    <row r="247">
      <c r="A247" t="inlineStr">
        <is>
          <t>Other current employee  benefits</t>
        </is>
      </c>
    </row>
    <row r="248">
      <c r="A248" s="1" t="inlineStr">
        <is>
          <t>*Total current employee benefits</t>
        </is>
      </c>
      <c r="B248">
        <f>1*B242+1*B243+1*B244+1*B245+1*B246+1*B247</f>
        <v/>
      </c>
      <c r="C248">
        <f>1*C242+1*C243+1*C244+1*C245+1*C246+1*C247</f>
        <v/>
      </c>
      <c r="D248">
        <f>1*D242+1*D243+1*D244+1*D245+1*D246+1*D247</f>
        <v/>
      </c>
      <c r="E248">
        <f>1*E242+1*E243+1*E244+1*E245+1*E246+1*E247</f>
        <v/>
      </c>
    </row>
    <row r="249">
      <c r="A249" t="inlineStr">
        <is>
          <t>Current provisions [abstract]</t>
        </is>
      </c>
    </row>
    <row r="250">
      <c r="A250" t="inlineStr">
        <is>
          <t>Warranty provision</t>
        </is>
      </c>
    </row>
    <row r="251">
      <c r="A251" t="inlineStr">
        <is>
          <t>Restructuring provision</t>
        </is>
      </c>
    </row>
    <row r="252">
      <c r="A252" t="inlineStr">
        <is>
          <t>Legal proceedings provision</t>
        </is>
      </c>
    </row>
    <row r="253">
      <c r="A253" t="inlineStr">
        <is>
          <t>Onerous contracts provision</t>
        </is>
      </c>
    </row>
    <row r="254">
      <c r="A254" t="inlineStr">
        <is>
          <t>Provision for decommissioning, restoration and rehabilitation costs</t>
        </is>
      </c>
    </row>
    <row r="255">
      <c r="A255" t="inlineStr">
        <is>
          <t>Other current provisions</t>
        </is>
      </c>
    </row>
    <row r="256">
      <c r="A256" s="1" t="inlineStr">
        <is>
          <t>*Total current provisions</t>
        </is>
      </c>
      <c r="B256">
        <f>1*B250+1*B251+1*B252+1*B253+1*B254+1*B255</f>
        <v/>
      </c>
      <c r="C256">
        <f>1*C250+1*C251+1*C252+1*C253+1*C254+1*C255</f>
        <v/>
      </c>
      <c r="D256">
        <f>1*D250+1*D251+1*D252+1*D253+1*D254+1*D255</f>
        <v/>
      </c>
      <c r="E256">
        <f>1*E250+1*E251+1*E252+1*E253+1*E254+1*E255</f>
        <v/>
      </c>
    </row>
    <row r="257">
      <c r="A257" t="inlineStr">
        <is>
          <t>Trade and other current payables [abstract]</t>
        </is>
      </c>
    </row>
    <row r="258">
      <c r="A258" t="inlineStr">
        <is>
          <t>Current trade payables [abstract]</t>
        </is>
      </c>
    </row>
    <row r="259">
      <c r="A259" t="inlineStr">
        <is>
          <t>Trade payable due to contract suppliers</t>
        </is>
      </c>
    </row>
    <row r="260">
      <c r="A260" t="inlineStr">
        <is>
          <t>Trade payables due to holding company</t>
        </is>
      </c>
    </row>
    <row r="261">
      <c r="A261" t="inlineStr">
        <is>
          <t>Trade payables due to subsidiaries</t>
        </is>
      </c>
    </row>
    <row r="262">
      <c r="A262" t="inlineStr">
        <is>
          <t>Trade payables due to associates</t>
        </is>
      </c>
    </row>
    <row r="263">
      <c r="A263" t="inlineStr">
        <is>
          <t>Trade payables due to joint ventures</t>
        </is>
      </c>
    </row>
    <row r="264">
      <c r="A264" t="inlineStr">
        <is>
          <t>Trade payables due to other related parties</t>
        </is>
      </c>
    </row>
    <row r="265">
      <c r="A265" t="inlineStr">
        <is>
          <t>Other current trade payables</t>
        </is>
      </c>
    </row>
    <row r="266">
      <c r="A266" s="1" t="inlineStr">
        <is>
          <t>*Total current trade payables</t>
        </is>
      </c>
      <c r="B266">
        <f>1*B259+1*B260+1*B261+1*B262+1*B263+1*B264+1*B265</f>
        <v/>
      </c>
      <c r="C266">
        <f>1*C259+1*C260+1*C261+1*C262+1*C263+1*C264+1*C265</f>
        <v/>
      </c>
      <c r="D266">
        <f>1*D259+1*D260+1*D261+1*D262+1*D263+1*D264+1*D265</f>
        <v/>
      </c>
      <c r="E266">
        <f>1*E259+1*E260+1*E261+1*E262+1*E263+1*E264+1*E265</f>
        <v/>
      </c>
    </row>
    <row r="267">
      <c r="A267" t="inlineStr">
        <is>
          <t>Other current payables [abstract]</t>
        </is>
      </c>
    </row>
    <row r="268">
      <c r="A268" t="inlineStr">
        <is>
          <t>Other current payables due to related parties [abstract]</t>
        </is>
      </c>
    </row>
    <row r="269">
      <c r="A269" t="inlineStr">
        <is>
          <t>Other payables due to holding company</t>
        </is>
      </c>
    </row>
    <row r="270">
      <c r="A270" t="inlineStr">
        <is>
          <t>Other payables due to subsidiaries</t>
        </is>
      </c>
    </row>
    <row r="271">
      <c r="A271" t="inlineStr">
        <is>
          <t>Other payables due to associates</t>
        </is>
      </c>
    </row>
    <row r="272">
      <c r="A272" t="inlineStr">
        <is>
          <t>Other payables due to joint ventures</t>
        </is>
      </c>
    </row>
    <row r="273">
      <c r="A273" t="inlineStr">
        <is>
          <t>Other payables due to other related parties</t>
        </is>
      </c>
    </row>
    <row r="274">
      <c r="A274" s="1" t="inlineStr">
        <is>
          <t>*Total other current payables due to related parties</t>
        </is>
      </c>
      <c r="B274">
        <f>1*B269+1*B270+1*B271+1*B272+1*B273</f>
        <v/>
      </c>
      <c r="C274">
        <f>1*C269+1*C270+1*C271+1*C272+1*C273</f>
        <v/>
      </c>
      <c r="D274">
        <f>1*D269+1*D270+1*D271+1*D272+1*D273</f>
        <v/>
      </c>
      <c r="E274">
        <f>1*E269+1*E270+1*E271+1*E272+1*E273</f>
        <v/>
      </c>
    </row>
    <row r="275">
      <c r="A275" t="inlineStr">
        <is>
          <t>Current non-trade payables [abstract]</t>
        </is>
      </c>
    </row>
    <row r="276">
      <c r="A276" t="inlineStr">
        <is>
          <t>Deferred income</t>
        </is>
      </c>
    </row>
    <row r="277">
      <c r="A277" t="inlineStr">
        <is>
          <t>Accruals</t>
        </is>
      </c>
    </row>
    <row r="278">
      <c r="A278" t="inlineStr">
        <is>
          <t>Retention payable</t>
        </is>
      </c>
    </row>
    <row r="279">
      <c r="A279" t="inlineStr">
        <is>
          <t>Other current non-trade payables</t>
        </is>
      </c>
    </row>
    <row r="280">
      <c r="A280" s="1" t="inlineStr">
        <is>
          <t>*Total current non-trade payables</t>
        </is>
      </c>
      <c r="B280">
        <f>1*B276+1*B277+1*B278+1*B279</f>
        <v/>
      </c>
      <c r="C280">
        <f>1*C276+1*C277+1*C278+1*C279</f>
        <v/>
      </c>
      <c r="D280">
        <f>1*D276+1*D277+1*D278+1*D279</f>
        <v/>
      </c>
      <c r="E280">
        <f>1*E276+1*E277+1*E278+1*E279</f>
        <v/>
      </c>
    </row>
    <row r="281">
      <c r="A281" s="1" t="inlineStr">
        <is>
          <t>*Total other current payables</t>
        </is>
      </c>
      <c r="B281">
        <f>1*B274+1*B280</f>
        <v/>
      </c>
      <c r="C281">
        <f>1*C274+1*C280</f>
        <v/>
      </c>
      <c r="D281">
        <f>1*D274+1*D280</f>
        <v/>
      </c>
      <c r="E281">
        <f>1*E274+1*E280</f>
        <v/>
      </c>
    </row>
    <row r="282">
      <c r="A282" s="1" t="inlineStr">
        <is>
          <t>*Total trade and other current payables</t>
        </is>
      </c>
      <c r="B282">
        <f>1*B266+1*B281</f>
        <v/>
      </c>
      <c r="C282">
        <f>1*C266+1*C281</f>
        <v/>
      </c>
      <c r="D282">
        <f>1*D266+1*D281</f>
        <v/>
      </c>
      <c r="E282">
        <f>1*E266+1*E281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2026-04-22T03:26:15Z</dcterms:created>
  <dcterms:modified xmlns:dcterms="http://purl.org/dc/terms/" xmlns:xsi="http://www.w3.org/2001/XMLSchema-instance" xsi:type="dcterms:W3CDTF">2026-04-22T03:26:15Z</dcterms:modified>
</cp:coreProperties>
</file>