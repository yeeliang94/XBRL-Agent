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F-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cash flows [abstract]</t>
        </is>
      </c>
    </row>
    <row r="4">
      <c r="A4" t="inlineStr">
        <is>
          <t>Statement of cash flows [abstract]</t>
        </is>
      </c>
    </row>
    <row r="5">
      <c r="A5" t="inlineStr">
        <is>
          <t>Statement of cash flows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cash flows [line items]</t>
        </is>
      </c>
    </row>
    <row r="10">
      <c r="A10" t="inlineStr">
        <is>
          <t>Statement of cash flows [abstract]</t>
        </is>
      </c>
    </row>
    <row r="11">
      <c r="A11" t="inlineStr">
        <is>
          <t>Cash flows from (used in) operating activities [abstract]</t>
        </is>
      </c>
    </row>
    <row r="12">
      <c r="A12" t="inlineStr">
        <is>
          <t>Classes of cash receipts from operating activities [abstract]</t>
        </is>
      </c>
    </row>
    <row r="13">
      <c r="A13" t="inlineStr">
        <is>
          <t>Receipts from sales of goods and rendering of services</t>
        </is>
      </c>
    </row>
    <row r="14">
      <c r="A14" t="inlineStr">
        <is>
          <t>Receipts from royalties, fees, commissions and other revenue</t>
        </is>
      </c>
    </row>
    <row r="15">
      <c r="A15" t="inlineStr">
        <is>
          <t>Other cash receipts from operating activities</t>
        </is>
      </c>
    </row>
    <row r="16">
      <c r="A16" t="inlineStr">
        <is>
          <t>Classes of cash payments from operating activities [abstract]</t>
        </is>
      </c>
    </row>
    <row r="17">
      <c r="A17" t="inlineStr">
        <is>
          <t>Payments to suppliers for goods and services</t>
        </is>
      </c>
    </row>
    <row r="18">
      <c r="A18" t="inlineStr">
        <is>
          <t>Payments to and on behalf of employees</t>
        </is>
      </c>
    </row>
    <row r="19">
      <c r="A19" t="inlineStr">
        <is>
          <t>Other cash payments from operating activities</t>
        </is>
      </c>
    </row>
    <row r="20">
      <c r="A20" t="inlineStr">
        <is>
          <t>Cash generated from (used in) operating activities</t>
        </is>
      </c>
    </row>
    <row r="21">
      <c r="A21" t="inlineStr">
        <is>
          <t>Dividends paid</t>
        </is>
      </c>
    </row>
    <row r="22">
      <c r="A22" t="inlineStr">
        <is>
          <t>Dividends received</t>
        </is>
      </c>
    </row>
    <row r="23">
      <c r="A23" t="inlineStr">
        <is>
          <t>Interest paid</t>
        </is>
      </c>
    </row>
    <row r="24">
      <c r="A24" t="inlineStr">
        <is>
          <t>Interest received</t>
        </is>
      </c>
    </row>
    <row r="25">
      <c r="A25" t="inlineStr">
        <is>
          <t>Income taxes refund (paid)</t>
        </is>
      </c>
    </row>
    <row r="26">
      <c r="A26" t="inlineStr">
        <is>
          <t>Other cash inflows (outflows) from operating activities</t>
        </is>
      </c>
    </row>
    <row r="27">
      <c r="A27" s="1" t="inlineStr">
        <is>
          <t>*Net cash flows from (used in) operating activities</t>
        </is>
      </c>
      <c r="B27">
        <f>1*B13+1*B14+1*B15+1*B17+1*B18+1*B19+1*B21+1*B22+1*B23+1*B24+1*B25+1*B26+1*B20</f>
        <v/>
      </c>
      <c r="C27">
        <f>1*C13+1*C14+1*C15+1*C17+1*C18+1*C19+1*C21+1*C22+1*C23+1*C24+1*C25+1*C26+1*C20</f>
        <v/>
      </c>
      <c r="D27">
        <f>1*D13+1*D14+1*D15+1*D17+1*D18+1*D19+1*D21+1*D22+1*D23+1*D24+1*D25+1*D26+1*D20</f>
        <v/>
      </c>
      <c r="E27">
        <f>1*E13+1*E14+1*E15+1*E17+1*E18+1*E19+1*E21+1*E22+1*E23+1*E24+1*E25+1*E26+1*E20</f>
        <v/>
      </c>
    </row>
    <row r="28">
      <c r="A28" t="inlineStr">
        <is>
          <t>Cash flows from (used in) investing activities [abstract]</t>
        </is>
      </c>
    </row>
    <row r="29">
      <c r="A29" t="inlineStr">
        <is>
          <t>Proceeds from disposal of subsidiaries</t>
        </is>
      </c>
    </row>
    <row r="30">
      <c r="A30" t="inlineStr">
        <is>
          <t>Acquisition and subscription of shares in subsidiaries</t>
        </is>
      </c>
    </row>
    <row r="31">
      <c r="A31" t="inlineStr">
        <is>
          <t>Proceeds from disposal of joint ventures</t>
        </is>
      </c>
    </row>
    <row r="32">
      <c r="A32" t="inlineStr">
        <is>
          <t>Acquisition and subscription of shares in joint ventures</t>
        </is>
      </c>
    </row>
    <row r="33">
      <c r="A33" t="inlineStr">
        <is>
          <t>Other cash receipts from sales of equity or debt instruments of other entities</t>
        </is>
      </c>
    </row>
    <row r="34">
      <c r="A34" t="inlineStr">
        <is>
          <t>Other cash payments to acquire equity or debt instruments of other entities</t>
        </is>
      </c>
    </row>
    <row r="35">
      <c r="A35" t="inlineStr">
        <is>
          <t>Proceeds from sales of property, plant and equipment</t>
        </is>
      </c>
    </row>
    <row r="36">
      <c r="A36" t="inlineStr">
        <is>
          <t>Purchase of property, plant and equipment</t>
        </is>
      </c>
    </row>
    <row r="37">
      <c r="A37" t="inlineStr">
        <is>
          <t>Proceeds from sales of intangible assets</t>
        </is>
      </c>
    </row>
    <row r="38">
      <c r="A38" t="inlineStr">
        <is>
          <t>Purchase of intangible assets</t>
        </is>
      </c>
    </row>
    <row r="39">
      <c r="A39" t="inlineStr">
        <is>
          <t>Proceeds from sales of other long-term assets</t>
        </is>
      </c>
    </row>
    <row r="40">
      <c r="A40" t="inlineStr">
        <is>
          <t>Purchase of other long-term assets</t>
        </is>
      </c>
    </row>
    <row r="41">
      <c r="A41" t="inlineStr">
        <is>
          <t>Cash advances and loans made to other parties</t>
        </is>
      </c>
    </row>
    <row r="42">
      <c r="A42" t="inlineStr">
        <is>
          <t>Cash receipts from repayment of advances and loans made to other parties</t>
        </is>
      </c>
    </row>
    <row r="43">
      <c r="A43" t="inlineStr">
        <is>
          <t>Cash payments for futures contracts, forward contracts, option contracts and swap contracts</t>
        </is>
      </c>
    </row>
    <row r="44">
      <c r="A44" t="inlineStr">
        <is>
          <t>Cash receipts from futures contracts, forward contracts, option contracts and swap contracts</t>
        </is>
      </c>
    </row>
    <row r="45">
      <c r="A45" t="inlineStr">
        <is>
          <t>Dividends received</t>
        </is>
      </c>
    </row>
    <row r="46">
      <c r="A46" t="inlineStr">
        <is>
          <t>Interest received</t>
        </is>
      </c>
    </row>
    <row r="47">
      <c r="A47" t="inlineStr">
        <is>
          <t>Other cash inflows (outflows) from investing activities</t>
        </is>
      </c>
    </row>
    <row r="48">
      <c r="A48" s="1" t="inlineStr">
        <is>
          <t>*Net cash flows from (used in) investing activities</t>
        </is>
      </c>
      <c r="B48">
        <f>1*B29+-1*B30+1*B33+-1*B34+1*B31+-1*B32+1*B35+-1*B36+1*B37+-1*B38+1*B39+-1*B40+-1*B41+1*B42+-1*B43+1*B44+1*B45+1*B46+1*B47</f>
        <v/>
      </c>
      <c r="C48">
        <f>1*C29+-1*C30+1*C33+-1*C34+1*C31+-1*C32+1*C35+-1*C36+1*C37+-1*C38+1*C39+-1*C40+-1*C41+1*C42+-1*C43+1*C44+1*C45+1*C46+1*C47</f>
        <v/>
      </c>
      <c r="D48">
        <f>1*D29+-1*D30+1*D33+-1*D34+1*D31+-1*D32+1*D35+-1*D36+1*D37+-1*D38+1*D39+-1*D40+-1*D41+1*D42+-1*D43+1*D44+1*D45+1*D46+1*D47</f>
        <v/>
      </c>
      <c r="E48">
        <f>1*E29+-1*E30+1*E33+-1*E34+1*E31+-1*E32+1*E35+-1*E36+1*E37+-1*E38+1*E39+-1*E40+-1*E41+1*E42+-1*E43+1*E44+1*E45+1*E46+1*E47</f>
        <v/>
      </c>
    </row>
    <row r="49">
      <c r="A49" t="inlineStr">
        <is>
          <t>Cash flows from (used in) financing activities [abstract]</t>
        </is>
      </c>
    </row>
    <row r="50">
      <c r="A50" t="inlineStr">
        <is>
          <t>Proceeds from issuing shares</t>
        </is>
      </c>
    </row>
    <row r="51">
      <c r="A51" t="inlineStr">
        <is>
          <t>Proceeds from issuing other equity instruments</t>
        </is>
      </c>
    </row>
    <row r="52">
      <c r="A52" t="inlineStr">
        <is>
          <t>Payments to acquire or redeem entity's shares</t>
        </is>
      </c>
    </row>
    <row r="53">
      <c r="A53" t="inlineStr">
        <is>
          <t>Payments to acquire other equity instruments</t>
        </is>
      </c>
    </row>
    <row r="54">
      <c r="A54" t="inlineStr">
        <is>
          <t>Proceeds from borrowings</t>
        </is>
      </c>
    </row>
    <row r="55">
      <c r="A55" t="inlineStr">
        <is>
          <t>Repayments of borrowings</t>
        </is>
      </c>
    </row>
    <row r="56">
      <c r="A56" t="inlineStr">
        <is>
          <t>Repayment of loan from associate</t>
        </is>
      </c>
    </row>
    <row r="57">
      <c r="A57" t="inlineStr">
        <is>
          <t>Payments of finance lease liabilities</t>
        </is>
      </c>
    </row>
    <row r="58">
      <c r="A58" t="inlineStr">
        <is>
          <t>Dividends paid</t>
        </is>
      </c>
    </row>
    <row r="59">
      <c r="A59" t="inlineStr">
        <is>
          <t>Interest paid</t>
        </is>
      </c>
    </row>
    <row r="60">
      <c r="A60" t="inlineStr">
        <is>
          <t>Other cash inflows (outflows) from financing activities</t>
        </is>
      </c>
    </row>
    <row r="61">
      <c r="A61" s="1" t="inlineStr">
        <is>
          <t>*Net cash flows from (used in) financing activities</t>
        </is>
      </c>
      <c r="B61">
        <f>1*B50+1*B51+-1*B52+-1*B53+1*B54+-1*B55+-1*B56+-1*B57+-1*B58+-1*B59+1*B60</f>
        <v/>
      </c>
      <c r="C61">
        <f>1*C50+1*C51+-1*C52+-1*C53+1*C54+-1*C55+-1*C56+-1*C57+-1*C58+-1*C59+1*C60</f>
        <v/>
      </c>
      <c r="D61">
        <f>1*D50+1*D51+-1*D52+-1*D53+1*D54+-1*D55+-1*D56+-1*D57+-1*D58+-1*D59+1*D60</f>
        <v/>
      </c>
      <c r="E61">
        <f>1*E50+1*E51+-1*E52+-1*E53+1*E54+-1*E55+-1*E56+-1*E57+-1*E58+-1*E59+1*E60</f>
        <v/>
      </c>
    </row>
    <row r="62">
      <c r="A62" s="1" t="inlineStr">
        <is>
          <t>*Net increase (decrease) in cash and cash equivalents before effect of exchange rate changes</t>
        </is>
      </c>
      <c r="B62">
        <f>1*B27+1*B48+1*B61</f>
        <v/>
      </c>
      <c r="C62">
        <f>1*C27+1*C48+1*C61</f>
        <v/>
      </c>
      <c r="D62">
        <f>1*D27+1*D48+1*D61</f>
        <v/>
      </c>
      <c r="E62">
        <f>1*E27+1*E48+1*E61</f>
        <v/>
      </c>
    </row>
    <row r="63">
      <c r="A63" t="inlineStr">
        <is>
          <t>Effect of exchange rate changes on cash and cash equivalents</t>
        </is>
      </c>
    </row>
    <row r="64">
      <c r="A64" s="1" t="inlineStr">
        <is>
          <t>*Net increase (decrease) in cash and cash equivalents</t>
        </is>
      </c>
      <c r="B64">
        <f>1*B62+1*B63</f>
        <v/>
      </c>
      <c r="C64">
        <f>1*C62+1*C63</f>
        <v/>
      </c>
      <c r="D64">
        <f>1*D62+1*D63</f>
        <v/>
      </c>
      <c r="E64">
        <f>1*E62+1*E63</f>
        <v/>
      </c>
    </row>
    <row r="65">
      <c r="A65" t="inlineStr">
        <is>
          <t>Cash and cash equivalents at beginning of period</t>
        </is>
      </c>
    </row>
    <row r="66">
      <c r="A66" t="inlineStr">
        <is>
          <t>Cash and cash equivalents at end of period</t>
        </is>
      </c>
    </row>
    <row r="67">
      <c r="A67" t="inlineStr">
        <is>
          <t>Details of cash flows [abstract]</t>
        </is>
      </c>
    </row>
    <row r="68">
      <c r="A68" t="inlineStr">
        <is>
          <t>Cash and cash equivalents</t>
        </is>
      </c>
    </row>
    <row r="69">
      <c r="A69" t="inlineStr">
        <is>
          <t>Bank overdrafts</t>
        </is>
      </c>
    </row>
    <row r="70">
      <c r="A70" t="inlineStr">
        <is>
          <t>Other adjustments to reconcile cash and cash equivalents</t>
        </is>
      </c>
    </row>
    <row r="71">
      <c r="A71" s="1" t="inlineStr">
        <is>
          <t>*Cash and cash equivalents at end of period</t>
        </is>
      </c>
      <c r="B71">
        <f>1*B68+-1*B69+1*B70</f>
        <v/>
      </c>
      <c r="C71">
        <f>1*C68+-1*C69+1*C70</f>
        <v/>
      </c>
      <c r="D71">
        <f>1*D68+-1*D69+1*D70</f>
        <v/>
      </c>
      <c r="E71">
        <f>1*E68+-1*E69+1*E70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2026-04-22T03:26:15Z</dcterms:created>
  <dcterms:modified xmlns:dcterms="http://purl.org/dc/terms/" xmlns:xsi="http://www.w3.org/2001/XMLSchema-instance" xsi:type="dcterms:W3CDTF">2026-04-22T03:26:15Z</dcterms:modified>
</cp:coreProperties>
</file>