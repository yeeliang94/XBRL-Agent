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F-Indir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cash flows</t>
        </is>
      </c>
    </row>
    <row r="4">
      <c r="A4" t="inlineStr">
        <is>
          <t>Statement of cash flows</t>
        </is>
      </c>
    </row>
    <row r="5">
      <c r="A5" t="inlineStr">
        <is>
          <t>Statement of cash flows</t>
        </is>
      </c>
    </row>
    <row r="6">
      <c r="A6" t="inlineStr">
        <is>
          <t>Cash flows from (used in) operating activities</t>
        </is>
      </c>
    </row>
    <row r="7">
      <c r="A7" t="inlineStr">
        <is>
          <t>Profit (loss) before tax, from continuing operations</t>
        </is>
      </c>
    </row>
    <row r="8">
      <c r="A8" t="inlineStr">
        <is>
          <t>Profit (loss) before tax, from discontinued operation</t>
        </is>
      </c>
    </row>
    <row r="9">
      <c r="A9" s="1" t="inlineStr">
        <is>
          <t>*Total profit(loss) before tax</t>
        </is>
      </c>
      <c r="B9">
        <f>1*B7+1*B8</f>
        <v/>
      </c>
      <c r="C9">
        <f>1*C7+1*C8</f>
        <v/>
      </c>
      <c r="D9">
        <f>1*D7+1*D8</f>
        <v/>
      </c>
      <c r="E9">
        <f>1*E7+1*E8</f>
        <v/>
      </c>
    </row>
    <row r="10">
      <c r="A10" t="inlineStr">
        <is>
          <t>Adjustments to reconcile profit (loss)</t>
        </is>
      </c>
    </row>
    <row r="11">
      <c r="A11" t="inlineStr">
        <is>
          <t>Adjustments for non-cash income tax expense</t>
        </is>
      </c>
    </row>
    <row r="12">
      <c r="A12" t="inlineStr">
        <is>
          <t>Adjustments for non-cash finance costs</t>
        </is>
      </c>
    </row>
    <row r="13">
      <c r="A13" t="inlineStr">
        <is>
          <t>Adjustments for income tax expense</t>
        </is>
      </c>
    </row>
    <row r="14">
      <c r="A14" t="inlineStr">
        <is>
          <t>Adjustments for finance costs</t>
        </is>
      </c>
    </row>
    <row r="15">
      <c r="A15" t="inlineStr">
        <is>
          <t>Adjustments for finance income</t>
        </is>
      </c>
    </row>
    <row r="16">
      <c r="A16" t="inlineStr">
        <is>
          <t>Adjustments for decrease (increase) in inventories</t>
        </is>
      </c>
    </row>
    <row r="17">
      <c r="A17" t="inlineStr">
        <is>
          <t>Adjustments for decrease (increase) in trade accounts receivable</t>
        </is>
      </c>
    </row>
    <row r="18">
      <c r="A18" t="inlineStr">
        <is>
          <t>Adjustments for decrease (increase) in other operating receivables</t>
        </is>
      </c>
    </row>
    <row r="19">
      <c r="A19" t="inlineStr">
        <is>
          <t>Adjustments for increase (decrease) in trade accounts payable</t>
        </is>
      </c>
    </row>
    <row r="20">
      <c r="A20" t="inlineStr">
        <is>
          <t>Adjustments for increase (decrease) in other operating payables</t>
        </is>
      </c>
    </row>
    <row r="21">
      <c r="A21" t="inlineStr">
        <is>
          <t>Adjustments for dividend income</t>
        </is>
      </c>
    </row>
    <row r="22">
      <c r="A22" t="inlineStr">
        <is>
          <t>Adjustment for depreciation</t>
        </is>
      </c>
    </row>
    <row r="23">
      <c r="A23" t="inlineStr">
        <is>
          <t>Adjustments for amortisation</t>
        </is>
      </c>
    </row>
    <row r="24">
      <c r="A24" t="inlineStr">
        <is>
          <t>(Reversal of)/Impairment loss on intangible assets</t>
        </is>
      </c>
    </row>
    <row r="25">
      <c r="A25" t="inlineStr">
        <is>
          <t>(Reversal of)/Impairment loss on property, plant and equipment</t>
        </is>
      </c>
    </row>
    <row r="26">
      <c r="A26" t="inlineStr">
        <is>
          <t>(Reversal of)/Impairment loss on inventories</t>
        </is>
      </c>
    </row>
    <row r="27">
      <c r="A27" t="inlineStr">
        <is>
          <t>Adjustments for provisions</t>
        </is>
      </c>
    </row>
    <row r="28">
      <c r="A28" t="inlineStr">
        <is>
          <t>Adjustments for unrealised foreign exchange losses (gains)</t>
        </is>
      </c>
    </row>
    <row r="29">
      <c r="A29" t="inlineStr">
        <is>
          <t>Adjustments for share-based payments</t>
        </is>
      </c>
    </row>
    <row r="30">
      <c r="A30" t="inlineStr">
        <is>
          <t>Adjustments for fair value losses (gains)</t>
        </is>
      </c>
    </row>
    <row r="31">
      <c r="A31" t="inlineStr">
        <is>
          <t>Adjustments for share of profit of equity-accounted associates and joint ventures, net of tax</t>
        </is>
      </c>
    </row>
    <row r="32">
      <c r="A32" t="inlineStr">
        <is>
          <t>Adjustments for accrued expenses (income) not yet paid (received)</t>
        </is>
      </c>
    </row>
    <row r="33">
      <c r="A33" t="inlineStr">
        <is>
          <t>Other adjustments for non-cash items</t>
        </is>
      </c>
    </row>
    <row r="34">
      <c r="A34" t="inlineStr">
        <is>
          <t>(Gain) loss on disposal of property, plant and equipment</t>
        </is>
      </c>
    </row>
    <row r="35">
      <c r="A35" t="inlineStr">
        <is>
          <t>(Gain) loss on disposal of investment properties</t>
        </is>
      </c>
    </row>
    <row r="36">
      <c r="A36" t="inlineStr">
        <is>
          <t>(Gain) loss on disposal of other investments</t>
        </is>
      </c>
    </row>
    <row r="37">
      <c r="A37" t="inlineStr">
        <is>
          <t>Other adjustments for which cash effects are investing or financing cash flow</t>
        </is>
      </c>
    </row>
    <row r="38">
      <c r="A38" t="inlineStr">
        <is>
          <t>Other adjustments to reconcile profit (loss)</t>
        </is>
      </c>
    </row>
    <row r="39">
      <c r="A39" s="1" t="inlineStr">
        <is>
          <t>*Total adjustments to reconcile profit (loss)</t>
        </is>
      </c>
      <c r="B39">
        <f>1*B11+1*B12+1*B13+1*B14+-1*B15+1*B16+1*B17+1*B18+1*B19+1*B20+-1*B21+1*B22+1*B23+1*B24+1*B25+1*B26+1*B27+1*B28+1*B29+1*B30+-1*B31+-1*B32+1*B33+-1*B34+-1*B35+-1*B36+1*B37+1*B38</f>
        <v/>
      </c>
      <c r="C39">
        <f>1*C11+1*C12+1*C13+1*C14+-1*C15+1*C16+1*C17+1*C18+1*C19+1*C20+-1*C21+1*C22+1*C23+1*C24+1*C25+1*C26+1*C27+1*C28+1*C29+1*C30+-1*C31+-1*C32+1*C33+-1*C34+-1*C35+-1*C36+1*C37+1*C38</f>
        <v/>
      </c>
      <c r="D39">
        <f>1*D11+1*D12+1*D13+1*D14+-1*D15+1*D16+1*D17+1*D18+1*D19+1*D20+-1*D21+1*D22+1*D23+1*D24+1*D25+1*D26+1*D27+1*D28+1*D29+1*D30+-1*D31+-1*D32+1*D33+-1*D34+-1*D35+-1*D36+1*D37+1*D38</f>
        <v/>
      </c>
      <c r="E39">
        <f>1*E11+1*E12+1*E13+1*E14+-1*E15+1*E16+1*E17+1*E18+1*E19+1*E20+-1*E21+1*E22+1*E23+1*E24+1*E25+1*E26+1*E27+1*E28+1*E29+1*E30+-1*E31+-1*E32+1*E33+-1*E34+-1*E35+-1*E36+1*E37+1*E38</f>
        <v/>
      </c>
    </row>
    <row r="40">
      <c r="A40" s="1" t="inlineStr">
        <is>
          <t>*Cash generated from (used in) operating activities</t>
        </is>
      </c>
      <c r="B40">
        <f>1*B9+1*B39</f>
        <v/>
      </c>
      <c r="C40">
        <f>1*C9+1*C39</f>
        <v/>
      </c>
      <c r="D40">
        <f>1*D9+1*D39</f>
        <v/>
      </c>
      <c r="E40">
        <f>1*E9+1*E39</f>
        <v/>
      </c>
    </row>
    <row r="41">
      <c r="A41" t="inlineStr">
        <is>
          <t>Dividends paid</t>
        </is>
      </c>
    </row>
    <row r="42">
      <c r="A42" t="inlineStr">
        <is>
          <t>Dividends received</t>
        </is>
      </c>
    </row>
    <row r="43">
      <c r="A43" t="inlineStr">
        <is>
          <t>Interest paid</t>
        </is>
      </c>
    </row>
    <row r="44">
      <c r="A44" t="inlineStr">
        <is>
          <t>Interest received</t>
        </is>
      </c>
    </row>
    <row r="45">
      <c r="A45" t="inlineStr">
        <is>
          <t>Income taxes refund (paid)</t>
        </is>
      </c>
    </row>
    <row r="46">
      <c r="A46" t="inlineStr">
        <is>
          <t>Other cash inflows (outflows) from operating activities</t>
        </is>
      </c>
    </row>
    <row r="47">
      <c r="A47" s="1" t="inlineStr">
        <is>
          <t>*Net cash flows from (used in) operating activities</t>
        </is>
      </c>
      <c r="B47">
        <f>1*B41+1*B42+1*B43+1*B44+1*B45+1*B46+1*B40</f>
        <v/>
      </c>
      <c r="C47">
        <f>1*C41+1*C42+1*C43+1*C44+1*C45+1*C46+1*C40</f>
        <v/>
      </c>
      <c r="D47">
        <f>1*D41+1*D42+1*D43+1*D44+1*D45+1*D46+1*D40</f>
        <v/>
      </c>
      <c r="E47">
        <f>1*E41+1*E42+1*E43+1*E44+1*E45+1*E46+1*E40</f>
        <v/>
      </c>
    </row>
    <row r="48">
      <c r="A48" t="inlineStr">
        <is>
          <t>Cash flows from (used in) investing activities</t>
        </is>
      </c>
    </row>
    <row r="49">
      <c r="A49" t="inlineStr">
        <is>
          <t>Proceeds from disposal of subsidiaries</t>
        </is>
      </c>
    </row>
    <row r="50">
      <c r="A50" t="inlineStr">
        <is>
          <t>Acquisition and subscription of shares in subsidiaries</t>
        </is>
      </c>
    </row>
    <row r="51">
      <c r="A51" t="inlineStr">
        <is>
          <t>Proceeds from disposal of joint ventures</t>
        </is>
      </c>
    </row>
    <row r="52">
      <c r="A52" t="inlineStr">
        <is>
          <t>Acquisition and subscription of shares in joint ventures</t>
        </is>
      </c>
    </row>
    <row r="53">
      <c r="A53" t="inlineStr">
        <is>
          <t>Other cash receipts from sales of equity or debt instruments of other entities</t>
        </is>
      </c>
    </row>
    <row r="54">
      <c r="A54" t="inlineStr">
        <is>
          <t>Other cash payments to acquire equity or debt instruments of other entities</t>
        </is>
      </c>
    </row>
    <row r="55">
      <c r="A55" t="inlineStr">
        <is>
          <t>Proceeds from sales of property, plant and equipment</t>
        </is>
      </c>
    </row>
    <row r="56">
      <c r="A56" t="inlineStr">
        <is>
          <t>Purchase of property, plant and equipment</t>
        </is>
      </c>
    </row>
    <row r="57">
      <c r="A57" t="inlineStr">
        <is>
          <t>Proceeds from sales of intangible assets</t>
        </is>
      </c>
    </row>
    <row r="58">
      <c r="A58" t="inlineStr">
        <is>
          <t>Purchase of intangible assets</t>
        </is>
      </c>
    </row>
    <row r="59">
      <c r="A59" t="inlineStr">
        <is>
          <t>Proceeds from sales of other long-term assets</t>
        </is>
      </c>
    </row>
    <row r="60">
      <c r="A60" t="inlineStr">
        <is>
          <t>Purchase of other long-term assets</t>
        </is>
      </c>
    </row>
    <row r="61">
      <c r="A61" t="inlineStr">
        <is>
          <t>Cash advances and loans made to other parties</t>
        </is>
      </c>
    </row>
    <row r="62">
      <c r="A62" t="inlineStr">
        <is>
          <t>Cash receipts from repayment of advances and loans made to other parties</t>
        </is>
      </c>
    </row>
    <row r="63">
      <c r="A63" t="inlineStr">
        <is>
          <t>Cash payments for futures contracts, forward contracts, option contracts and swap contracts</t>
        </is>
      </c>
    </row>
    <row r="64">
      <c r="A64" t="inlineStr">
        <is>
          <t>Cash receipts from futures contracts, forward contracts, option contracts and swap contracts</t>
        </is>
      </c>
    </row>
    <row r="65">
      <c r="A65" t="inlineStr">
        <is>
          <t>Dividends received</t>
        </is>
      </c>
    </row>
    <row r="66">
      <c r="A66" t="inlineStr">
        <is>
          <t>Interest received</t>
        </is>
      </c>
    </row>
    <row r="67">
      <c r="A67" t="inlineStr">
        <is>
          <t>Other cash inflows (outflows) from investing activities</t>
        </is>
      </c>
    </row>
    <row r="68">
      <c r="A68" s="1" t="inlineStr">
        <is>
          <t>*Net cash flows from (used in) investing activities</t>
        </is>
      </c>
      <c r="B68">
        <f>1*B49+-1*B50+1*B53+-1*B54+1*B51+-1*B52+1*B55+-1*B56+1*B57+-1*B58+1*B59+-1*B60+-1*B61+1*B62+-1*B63+1*B64+1*B65+1*B66+1*B67</f>
        <v/>
      </c>
      <c r="C68">
        <f>1*C49+-1*C50+1*C53+-1*C54+1*C51+-1*C52+1*C55+-1*C56+1*C57+-1*C58+1*C59+-1*C60+-1*C61+1*C62+-1*C63+1*C64+1*C65+1*C66+1*C67</f>
        <v/>
      </c>
      <c r="D68">
        <f>1*D49+-1*D50+1*D53+-1*D54+1*D51+-1*D52+1*D55+-1*D56+1*D57+-1*D58+1*D59+-1*D60+-1*D61+1*D62+-1*D63+1*D64+1*D65+1*D66+1*D67</f>
        <v/>
      </c>
      <c r="E68">
        <f>1*E49+-1*E50+1*E53+-1*E54+1*E51+-1*E52+1*E55+-1*E56+1*E57+-1*E58+1*E59+-1*E60+-1*E61+1*E62+-1*E63+1*E64+1*E65+1*E66+1*E67</f>
        <v/>
      </c>
    </row>
    <row r="69">
      <c r="A69" t="inlineStr">
        <is>
          <t>Cash flows from (used in) financing activities</t>
        </is>
      </c>
    </row>
    <row r="70">
      <c r="A70" t="inlineStr">
        <is>
          <t>Proceeds from issuing shares</t>
        </is>
      </c>
    </row>
    <row r="71">
      <c r="A71" t="inlineStr">
        <is>
          <t>Proceeds from issuing other equity instruments</t>
        </is>
      </c>
    </row>
    <row r="72">
      <c r="A72" t="inlineStr">
        <is>
          <t>Payments to acquire or redeem entity's shares</t>
        </is>
      </c>
    </row>
    <row r="73">
      <c r="A73" t="inlineStr">
        <is>
          <t>Payments to acquire other equity instruments</t>
        </is>
      </c>
    </row>
    <row r="74">
      <c r="A74" t="inlineStr">
        <is>
          <t>Proceeds from borrowings</t>
        </is>
      </c>
    </row>
    <row r="75">
      <c r="A75" t="inlineStr">
        <is>
          <t>Repayments of borrowings</t>
        </is>
      </c>
    </row>
    <row r="76">
      <c r="A76" t="inlineStr">
        <is>
          <t>Repayment of loan from associate</t>
        </is>
      </c>
    </row>
    <row r="77">
      <c r="A77" t="inlineStr">
        <is>
          <t>Payments of finance lease liabilities</t>
        </is>
      </c>
    </row>
    <row r="78">
      <c r="A78" t="inlineStr">
        <is>
          <t>Dividends paid</t>
        </is>
      </c>
    </row>
    <row r="79">
      <c r="A79" t="inlineStr">
        <is>
          <t>Interest paid</t>
        </is>
      </c>
    </row>
    <row r="80">
      <c r="A80" t="inlineStr">
        <is>
          <t>Other cash inflows (outflows) from financing activities</t>
        </is>
      </c>
    </row>
    <row r="81">
      <c r="A81" s="1" t="inlineStr">
        <is>
          <t>*Net cash flows from (used in) financing activities</t>
        </is>
      </c>
      <c r="B81">
        <f>1*B70+1*B71+-1*B72+-1*B73+1*B74+-1*B75+-1*B76+-1*B77+-1*B78+-1*B79+1*B80</f>
        <v/>
      </c>
      <c r="C81">
        <f>1*C70+1*C71+-1*C72+-1*C73+1*C74+-1*C75+-1*C76+-1*C77+-1*C78+-1*C79+1*C80</f>
        <v/>
      </c>
      <c r="D81">
        <f>1*D70+1*D71+-1*D72+-1*D73+1*D74+-1*D75+-1*D76+-1*D77+-1*D78+-1*D79+1*D80</f>
        <v/>
      </c>
      <c r="E81">
        <f>1*E70+1*E71+-1*E72+-1*E73+1*E74+-1*E75+-1*E76+-1*E77+-1*E78+-1*E79+1*E80</f>
        <v/>
      </c>
    </row>
    <row r="82">
      <c r="A82" s="1" t="inlineStr">
        <is>
          <t>*Net increase (decrease) in cash and cash equivalents before effect of exchange rate changes</t>
        </is>
      </c>
      <c r="B82">
        <f>1*B47+1*B68+1*B81</f>
        <v/>
      </c>
      <c r="C82">
        <f>1*C47+1*C68+1*C81</f>
        <v/>
      </c>
      <c r="D82">
        <f>1*D47+1*D68+1*D81</f>
        <v/>
      </c>
      <c r="E82">
        <f>1*E47+1*E68+1*E81</f>
        <v/>
      </c>
    </row>
    <row r="83">
      <c r="A83" t="inlineStr">
        <is>
          <t>Effect of exchange rate changes on cash and cash equivalents</t>
        </is>
      </c>
    </row>
    <row r="84">
      <c r="A84" s="1" t="inlineStr">
        <is>
          <t>*Net increase (decrease) in cash and cash equivalents</t>
        </is>
      </c>
      <c r="B84">
        <f>1*B82+1*B83</f>
        <v/>
      </c>
      <c r="C84">
        <f>1*C82+1*C83</f>
        <v/>
      </c>
      <c r="D84">
        <f>1*D82+1*D83</f>
        <v/>
      </c>
      <c r="E84">
        <f>1*E82+1*E83</f>
        <v/>
      </c>
    </row>
    <row r="85">
      <c r="A85" t="inlineStr">
        <is>
          <t>Cash and cash equivalents at beginning of period</t>
        </is>
      </c>
    </row>
    <row r="86">
      <c r="A86" t="inlineStr">
        <is>
          <t>Cash and cash equivalents at end of period</t>
        </is>
      </c>
    </row>
    <row r="87">
      <c r="A87" t="inlineStr">
        <is>
          <t>Details of cash flows</t>
        </is>
      </c>
    </row>
    <row r="88">
      <c r="A88" t="inlineStr">
        <is>
          <t>Cash and cash equivalents</t>
        </is>
      </c>
    </row>
    <row r="89">
      <c r="A89" t="inlineStr">
        <is>
          <t>Bank overdrafts</t>
        </is>
      </c>
    </row>
    <row r="90">
      <c r="A90" t="inlineStr">
        <is>
          <t>Other adjustments to reconcile cash and cash equivalents</t>
        </is>
      </c>
    </row>
    <row r="91">
      <c r="A91" s="1" t="inlineStr">
        <is>
          <t>*Cash and cash equivalents at end of period</t>
        </is>
      </c>
      <c r="B91">
        <f>1*B88+-1*B89+1*B90</f>
        <v/>
      </c>
      <c r="C91">
        <f>1*C88+-1*C89+1*C90</f>
        <v/>
      </c>
      <c r="D91">
        <f>1*D88+-1*D89+1*D90</f>
        <v/>
      </c>
      <c r="E91">
        <f>1*E88+-1*E89+1*E90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2026-04-25T13:41:05Z</dcterms:created>
  <dcterms:modified xmlns:dcterms="http://purl.org/dc/terms/" xmlns:xsi="http://www.w3.org/2001/XMLSchema-instance" xsi:type="dcterms:W3CDTF">2026-04-25T13:41:05Z</dcterms:modified>
</cp:coreProperties>
</file>