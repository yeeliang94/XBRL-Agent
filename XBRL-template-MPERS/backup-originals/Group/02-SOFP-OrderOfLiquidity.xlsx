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-OrdOfLiq" sheetId="1" state="visible" r:id="rId1"/>
    <sheet xmlns:r="http://schemas.openxmlformats.org/officeDocument/2006/relationships" name="SOFP-Sub-OrdOfLi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statement of financial position [abstract]</t>
        </is>
      </c>
    </row>
    <row r="4">
      <c r="A4" t="inlineStr">
        <is>
          <t>Statement of financial position [abstract]</t>
        </is>
      </c>
    </row>
    <row r="5">
      <c r="A5" t="inlineStr">
        <is>
          <t>Statement of financial position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financial position [line items]</t>
        </is>
      </c>
    </row>
    <row r="10">
      <c r="A10" t="inlineStr">
        <is>
          <t>Assets [abstract]</t>
        </is>
      </c>
    </row>
    <row r="11">
      <c r="A11" t="inlineStr">
        <is>
          <t>Property, plant and equipment</t>
        </is>
      </c>
    </row>
    <row r="12">
      <c r="A12" t="inlineStr">
        <is>
          <t>Investment properties</t>
        </is>
      </c>
    </row>
    <row r="13">
      <c r="A13" t="inlineStr">
        <is>
          <t>Biological assets</t>
        </is>
      </c>
    </row>
    <row r="14">
      <c r="A14" t="inlineStr">
        <is>
          <t>Intangible assets</t>
        </is>
      </c>
    </row>
    <row r="15">
      <c r="A15" t="inlineStr">
        <is>
          <t>Investments in subsidiaries</t>
        </is>
      </c>
    </row>
    <row r="16">
      <c r="A16" t="inlineStr">
        <is>
          <t>Investments in associates</t>
        </is>
      </c>
    </row>
    <row r="17">
      <c r="A17" t="inlineStr">
        <is>
          <t>Investments in joint ventures</t>
        </is>
      </c>
    </row>
    <row r="18">
      <c r="A18" t="inlineStr">
        <is>
          <t>Other investments</t>
        </is>
      </c>
    </row>
    <row r="19">
      <c r="A19" t="inlineStr">
        <is>
          <t>Inventories</t>
        </is>
      </c>
    </row>
    <row r="20">
      <c r="A20" t="inlineStr">
        <is>
          <t>Trade and other receivables</t>
        </is>
      </c>
    </row>
    <row r="21">
      <c r="A21" t="inlineStr">
        <is>
          <t>Deferred tax assets</t>
        </is>
      </c>
    </row>
    <row r="22">
      <c r="A22" t="inlineStr">
        <is>
          <t>Current tax assets</t>
        </is>
      </c>
    </row>
    <row r="23">
      <c r="A23" t="inlineStr">
        <is>
          <t>Derivative financial assets</t>
        </is>
      </c>
    </row>
    <row r="24">
      <c r="A24" t="inlineStr">
        <is>
          <t>Cash and cash equivalents</t>
        </is>
      </c>
    </row>
    <row r="25">
      <c r="A25" t="inlineStr">
        <is>
          <t>Other assets</t>
        </is>
      </c>
    </row>
    <row r="26">
      <c r="A26" s="1" t="inlineStr">
        <is>
          <t>*Total assets</t>
        </is>
      </c>
      <c r="B26">
        <f>1*B11+1*B12+1*B15+1*B16+1*B17+1*B21+1*B19+1*B24+1*B13+1*B20+1*B22+1*B23+1*B25+1*B14+1*B18</f>
        <v/>
      </c>
      <c r="C26">
        <f>1*C11+1*C12+1*C15+1*C16+1*C17+1*C21+1*C19+1*C24+1*C13+1*C20+1*C22+1*C23+1*C25+1*C14+1*C18</f>
        <v/>
      </c>
      <c r="D26">
        <f>1*D11+1*D12+1*D15+1*D16+1*D17+1*D21+1*D19+1*D24+1*D13+1*D20+1*D22+1*D23+1*D25+1*D14+1*D18</f>
        <v/>
      </c>
      <c r="E26">
        <f>1*E11+1*E12+1*E15+1*E16+1*E17+1*E21+1*E19+1*E24+1*E13+1*E20+1*E22+1*E23+1*E25+1*E14+1*E18</f>
        <v/>
      </c>
    </row>
    <row r="27">
      <c r="A27" t="inlineStr">
        <is>
          <t>Equity and liabilities [abstract]</t>
        </is>
      </c>
    </row>
    <row r="28">
      <c r="A28" t="inlineStr">
        <is>
          <t>Equity [abstract]</t>
        </is>
      </c>
    </row>
    <row r="29">
      <c r="A29" t="inlineStr">
        <is>
          <t>Issued capital</t>
        </is>
      </c>
    </row>
    <row r="30">
      <c r="A30" t="inlineStr">
        <is>
          <t>Retained earnings</t>
        </is>
      </c>
    </row>
    <row r="31">
      <c r="A31" t="inlineStr">
        <is>
          <t>Treasury shares</t>
        </is>
      </c>
    </row>
    <row r="32">
      <c r="A32" t="inlineStr">
        <is>
          <t>Reserves</t>
        </is>
      </c>
    </row>
    <row r="33">
      <c r="A33" s="1" t="inlineStr">
        <is>
          <t>*Total equity attributable to owners</t>
        </is>
      </c>
      <c r="B33">
        <f>1*B29+1*B30+-1*B31+1*B32</f>
        <v/>
      </c>
      <c r="C33">
        <f>1*C29+1*C30+-1*C31+1*C32</f>
        <v/>
      </c>
      <c r="D33">
        <f>1*D29+1*D30+-1*D31+1*D32</f>
        <v/>
      </c>
      <c r="E33">
        <f>1*E29+1*E30+-1*E31+1*E32</f>
        <v/>
      </c>
    </row>
    <row r="34">
      <c r="A34" t="inlineStr">
        <is>
          <t>Equity - other components</t>
        </is>
      </c>
    </row>
    <row r="35">
      <c r="A35" t="inlineStr">
        <is>
          <t>Non-controlling interests</t>
        </is>
      </c>
    </row>
    <row r="36">
      <c r="A36" s="1" t="inlineStr">
        <is>
          <t>*Total equity</t>
        </is>
      </c>
      <c r="B36">
        <f>1*B29+1*B30+-1*B31+1*B32+1*B34+1*B35</f>
        <v/>
      </c>
      <c r="C36">
        <f>1*C29+1*C30+-1*C31+1*C32+1*C34+1*C35</f>
        <v/>
      </c>
      <c r="D36">
        <f>1*D29+1*D30+-1*D31+1*D32+1*D34+1*D35</f>
        <v/>
      </c>
      <c r="E36">
        <f>1*E29+1*E30+-1*E31+1*E32+1*E34+1*E35</f>
        <v/>
      </c>
    </row>
    <row r="37">
      <c r="A37" t="inlineStr">
        <is>
          <t>Liabilities [abstract]</t>
        </is>
      </c>
    </row>
    <row r="38">
      <c r="A38" t="inlineStr">
        <is>
          <t>Loans and borrowings</t>
        </is>
      </c>
    </row>
    <row r="39">
      <c r="A39" t="inlineStr">
        <is>
          <t>Employee benefits</t>
        </is>
      </c>
    </row>
    <row r="40">
      <c r="A40" t="inlineStr">
        <is>
          <t>Provisions</t>
        </is>
      </c>
    </row>
    <row r="41">
      <c r="A41" t="inlineStr">
        <is>
          <t>Deferred tax liabilities</t>
        </is>
      </c>
    </row>
    <row r="42">
      <c r="A42" t="inlineStr">
        <is>
          <t>Trade and other payables</t>
        </is>
      </c>
    </row>
    <row r="43">
      <c r="A43" t="inlineStr">
        <is>
          <t>Current tax liabilities</t>
        </is>
      </c>
    </row>
    <row r="44">
      <c r="A44" t="inlineStr">
        <is>
          <t>Derivative financial liabilities</t>
        </is>
      </c>
    </row>
    <row r="45">
      <c r="A45" t="inlineStr">
        <is>
          <t>Other liabilities</t>
        </is>
      </c>
    </row>
    <row r="46">
      <c r="A46" s="1" t="inlineStr">
        <is>
          <t>*Total liabilities</t>
        </is>
      </c>
      <c r="B46">
        <f>1*B38+1*B39+1*B40+1*B42+1*B43+1*B44+1*B45+1*B41</f>
        <v/>
      </c>
      <c r="C46">
        <f>1*C38+1*C39+1*C40+1*C42+1*C43+1*C44+1*C45+1*C41</f>
        <v/>
      </c>
      <c r="D46">
        <f>1*D38+1*D39+1*D40+1*D42+1*D43+1*D44+1*D45+1*D41</f>
        <v/>
      </c>
      <c r="E46">
        <f>1*E38+1*E39+1*E40+1*E42+1*E43+1*E44+1*E45+1*E41</f>
        <v/>
      </c>
    </row>
    <row r="47">
      <c r="A47" s="1" t="inlineStr">
        <is>
          <t>*Total equity and liabilities</t>
        </is>
      </c>
      <c r="B47">
        <f>1*B36+1*B46</f>
        <v/>
      </c>
      <c r="C47">
        <f>1*C36+1*C46</f>
        <v/>
      </c>
      <c r="D47">
        <f>1*D36+1*D46</f>
        <v/>
      </c>
      <c r="E47">
        <f>1*E36+1*E46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sub-classification of assets, liabilities and equity [abstract]</t>
        </is>
      </c>
    </row>
    <row r="4">
      <c r="A4" t="inlineStr">
        <is>
          <t>Statement on sub-classification of assets, liabilities and equity [abstract]</t>
        </is>
      </c>
    </row>
    <row r="5">
      <c r="A5" t="inlineStr">
        <is>
          <t>Statement on sub-classification of assets, liabilities and equity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on sub-classification of assets, liabilities and equity [line items]</t>
        </is>
      </c>
    </row>
    <row r="10">
      <c r="A10" t="inlineStr">
        <is>
          <t>Sub-classification of assets, liabilities and equity [abstract]</t>
        </is>
      </c>
    </row>
    <row r="11">
      <c r="A11" t="inlineStr">
        <is>
          <t>Property, plant and equipment [abstract]</t>
        </is>
      </c>
    </row>
    <row r="12">
      <c r="A12" t="inlineStr">
        <is>
          <t>Land and buildings [abstract]</t>
        </is>
      </c>
    </row>
    <row r="13">
      <c r="A13" t="inlineStr">
        <is>
          <t>Land [abstract]</t>
        </is>
      </c>
    </row>
    <row r="14">
      <c r="A14" t="inlineStr">
        <is>
          <t>Freehold land</t>
        </is>
      </c>
    </row>
    <row r="15">
      <c r="A15" t="inlineStr">
        <is>
          <t>Long term leasehold land</t>
        </is>
      </c>
    </row>
    <row r="16">
      <c r="A16" t="inlineStr">
        <is>
          <t>Short term leasehold land</t>
        </is>
      </c>
    </row>
    <row r="17">
      <c r="A17" s="1" t="inlineStr">
        <is>
          <t>*Total land</t>
        </is>
      </c>
      <c r="B17">
        <f>1*B14+1*B15+1*B16</f>
        <v/>
      </c>
      <c r="C17">
        <f>1*C14+1*C15+1*C16</f>
        <v/>
      </c>
      <c r="D17">
        <f>1*D14+1*D15+1*D16</f>
        <v/>
      </c>
      <c r="E17">
        <f>1*E14+1*E15+1*E16</f>
        <v/>
      </c>
    </row>
    <row r="18">
      <c r="A18" t="inlineStr">
        <is>
          <t>Buildings [abstract]</t>
        </is>
      </c>
    </row>
    <row r="19">
      <c r="A19" t="inlineStr">
        <is>
          <t>Building on freehold land</t>
        </is>
      </c>
    </row>
    <row r="20">
      <c r="A20" t="inlineStr">
        <is>
          <t>Building on long term leasehold land</t>
        </is>
      </c>
    </row>
    <row r="21">
      <c r="A21" t="inlineStr">
        <is>
          <t>Building on short term leasehold land</t>
        </is>
      </c>
    </row>
    <row r="22">
      <c r="A22" t="inlineStr">
        <is>
          <t>Leased properties</t>
        </is>
      </c>
    </row>
    <row r="23">
      <c r="A23" s="1" t="inlineStr">
        <is>
          <t>*Total buildings</t>
        </is>
      </c>
      <c r="B23">
        <f>1*B19+1*B20+1*B21+1*B22</f>
        <v/>
      </c>
      <c r="C23">
        <f>1*C19+1*C20+1*C21+1*C22</f>
        <v/>
      </c>
      <c r="D23">
        <f>1*D19+1*D20+1*D21+1*D22</f>
        <v/>
      </c>
      <c r="E23">
        <f>1*E19+1*E20+1*E21+1*E22</f>
        <v/>
      </c>
    </row>
    <row r="24">
      <c r="A24" s="1" t="inlineStr">
        <is>
          <t>*Total land and buildings</t>
        </is>
      </c>
      <c r="B24">
        <f>1*B17+1*B23</f>
        <v/>
      </c>
      <c r="C24">
        <f>1*C17+1*C23</f>
        <v/>
      </c>
      <c r="D24">
        <f>1*D17+1*D23</f>
        <v/>
      </c>
      <c r="E24">
        <f>1*E17+1*E23</f>
        <v/>
      </c>
    </row>
    <row r="25">
      <c r="A25" t="inlineStr">
        <is>
          <t>Machinery</t>
        </is>
      </c>
    </row>
    <row r="26">
      <c r="A26" t="inlineStr">
        <is>
          <t>Vehicles</t>
        </is>
      </c>
    </row>
    <row r="27">
      <c r="A27" t="inlineStr">
        <is>
          <t>Office equipment, fixture and fittings</t>
        </is>
      </c>
    </row>
    <row r="28">
      <c r="A28" t="inlineStr">
        <is>
          <t>Plant and equipment</t>
        </is>
      </c>
    </row>
    <row r="29">
      <c r="A29" t="inlineStr">
        <is>
          <t>Construction in progress/Asset work-in progress</t>
        </is>
      </c>
    </row>
    <row r="30">
      <c r="A30" t="inlineStr">
        <is>
          <t>Other property, plant and equipment</t>
        </is>
      </c>
    </row>
    <row r="31">
      <c r="A31" s="1" t="inlineStr">
        <is>
          <t>*Total property, plant and equipment</t>
        </is>
      </c>
      <c r="B31">
        <f>1*B24+1*B25+1*B26+1*B27+1*B28+1*B29+1*B30</f>
        <v/>
      </c>
      <c r="C31">
        <f>1*C24+1*C25+1*C26+1*C27+1*C28+1*C29+1*C30</f>
        <v/>
      </c>
      <c r="D31">
        <f>1*D24+1*D25+1*D26+1*D27+1*D28+1*D29+1*D30</f>
        <v/>
      </c>
      <c r="E31">
        <f>1*E24+1*E25+1*E26+1*E27+1*E28+1*E29+1*E30</f>
        <v/>
      </c>
    </row>
    <row r="32">
      <c r="A32" t="inlineStr">
        <is>
          <t>Investment properties [abstract]</t>
        </is>
      </c>
    </row>
    <row r="33">
      <c r="A33" t="inlineStr">
        <is>
          <t>Freehold land</t>
        </is>
      </c>
    </row>
    <row r="34">
      <c r="A34" t="inlineStr">
        <is>
          <t>Long term leasehold land</t>
        </is>
      </c>
    </row>
    <row r="35">
      <c r="A35" t="inlineStr">
        <is>
          <t>Short term leasehold land</t>
        </is>
      </c>
    </row>
    <row r="36">
      <c r="A36" t="inlineStr">
        <is>
          <t>Buildings</t>
        </is>
      </c>
    </row>
    <row r="37">
      <c r="A37" t="inlineStr">
        <is>
          <t>Other investment property</t>
        </is>
      </c>
    </row>
    <row r="38">
      <c r="A38" s="1" t="inlineStr">
        <is>
          <t>*Total investment properties</t>
        </is>
      </c>
      <c r="B38">
        <f>1*B33+1*B34+1*B35+1*B36+1*B37</f>
        <v/>
      </c>
      <c r="C38">
        <f>1*C33+1*C34+1*C35+1*C36+1*C37</f>
        <v/>
      </c>
      <c r="D38">
        <f>1*D33+1*D34+1*D35+1*D36+1*D37</f>
        <v/>
      </c>
      <c r="E38">
        <f>1*E33+1*E34+1*E35+1*E36+1*E37</f>
        <v/>
      </c>
    </row>
    <row r="39">
      <c r="A39" t="inlineStr">
        <is>
          <t>Intangible assets and goodwill [abstract]</t>
        </is>
      </c>
    </row>
    <row r="40">
      <c r="A40" t="inlineStr">
        <is>
          <t>Intangible assets other than goodwill [abstract]</t>
        </is>
      </c>
    </row>
    <row r="41">
      <c r="A41" t="inlineStr">
        <is>
          <t>Copyrights, patents and other industrial property rights, service and operating rights</t>
        </is>
      </c>
    </row>
    <row r="42">
      <c r="A42" t="inlineStr">
        <is>
          <t>Other intangible assets</t>
        </is>
      </c>
    </row>
    <row r="43">
      <c r="A43" s="1" t="inlineStr">
        <is>
          <t>*Total intangible assets other than goodwill</t>
        </is>
      </c>
      <c r="B43">
        <f>1*B41+1*B42</f>
        <v/>
      </c>
      <c r="C43">
        <f>1*C41+1*C42</f>
        <v/>
      </c>
      <c r="D43">
        <f>1*D41+1*D42</f>
        <v/>
      </c>
      <c r="E43">
        <f>1*E41+1*E42</f>
        <v/>
      </c>
    </row>
    <row r="44">
      <c r="A44" t="inlineStr">
        <is>
          <t>Goodwill</t>
        </is>
      </c>
    </row>
    <row r="45">
      <c r="A45" s="1" t="inlineStr">
        <is>
          <t>*Total intangible assets and goodwill</t>
        </is>
      </c>
      <c r="B45">
        <f>1*B44+1*B43</f>
        <v/>
      </c>
      <c r="C45">
        <f>1*C44+1*C43</f>
        <v/>
      </c>
      <c r="D45">
        <f>1*D44+1*D43</f>
        <v/>
      </c>
      <c r="E45">
        <f>1*E44+1*E43</f>
        <v/>
      </c>
    </row>
    <row r="46">
      <c r="A46" t="inlineStr">
        <is>
          <t>Investments in subsidiaries [abstract]</t>
        </is>
      </c>
    </row>
    <row r="47">
      <c r="A47" t="inlineStr">
        <is>
          <t>Unquoted shares, net of impairment losses</t>
        </is>
      </c>
    </row>
    <row r="48">
      <c r="A48" t="inlineStr">
        <is>
          <t>Quoted shares in Malaysia</t>
        </is>
      </c>
    </row>
    <row r="49">
      <c r="A49" t="inlineStr">
        <is>
          <t>Quoted shares outside Malaysia</t>
        </is>
      </c>
    </row>
    <row r="50">
      <c r="A50" t="inlineStr">
        <is>
          <t>Other investments in subsidiaries</t>
        </is>
      </c>
    </row>
    <row r="51">
      <c r="A51" s="1" t="inlineStr">
        <is>
          <t>*Total investments in subsidiaries</t>
        </is>
      </c>
      <c r="B51">
        <f>1*B47+1*B48+1*B49+1*B50</f>
        <v/>
      </c>
      <c r="C51">
        <f>1*C47+1*C48+1*C49+1*C50</f>
        <v/>
      </c>
      <c r="D51">
        <f>1*D47+1*D48+1*D49+1*D50</f>
        <v/>
      </c>
      <c r="E51">
        <f>1*E47+1*E48+1*E49+1*E50</f>
        <v/>
      </c>
    </row>
    <row r="52">
      <c r="A52" t="inlineStr">
        <is>
          <t>Investments in associates [abstract]</t>
        </is>
      </c>
    </row>
    <row r="53">
      <c r="A53" t="inlineStr">
        <is>
          <t>Unquoted shares, net of impairment losses</t>
        </is>
      </c>
    </row>
    <row r="54">
      <c r="A54" t="inlineStr">
        <is>
          <t>Quoted shares in Malaysia</t>
        </is>
      </c>
    </row>
    <row r="55">
      <c r="A55" t="inlineStr">
        <is>
          <t>Quoted shares outside Malaysia</t>
        </is>
      </c>
    </row>
    <row r="56">
      <c r="A56" t="inlineStr">
        <is>
          <t>Share of post-acquisition profits and reserves</t>
        </is>
      </c>
    </row>
    <row r="57">
      <c r="A57" t="inlineStr">
        <is>
          <t>Other investments in associates</t>
        </is>
      </c>
    </row>
    <row r="58">
      <c r="A58" s="1" t="inlineStr">
        <is>
          <t>*Total investments in associates</t>
        </is>
      </c>
      <c r="B58">
        <f>1*B53+1*B54+1*B55+1*B56+1*B57</f>
        <v/>
      </c>
      <c r="C58">
        <f>1*C53+1*C54+1*C55+1*C56+1*C57</f>
        <v/>
      </c>
      <c r="D58">
        <f>1*D53+1*D54+1*D55+1*D56+1*D57</f>
        <v/>
      </c>
      <c r="E58">
        <f>1*E53+1*E54+1*E55+1*E56+1*E57</f>
        <v/>
      </c>
    </row>
    <row r="59">
      <c r="A59" t="inlineStr">
        <is>
          <t>Investments in joint ventures [abstract]</t>
        </is>
      </c>
    </row>
    <row r="60">
      <c r="A60" t="inlineStr">
        <is>
          <t>Unquoted shares, net of impairment losses</t>
        </is>
      </c>
    </row>
    <row r="61">
      <c r="A61" t="inlineStr">
        <is>
          <t>Quoted shares in Malaysia</t>
        </is>
      </c>
    </row>
    <row r="62">
      <c r="A62" t="inlineStr">
        <is>
          <t>Quoted shares outside Malaysia</t>
        </is>
      </c>
    </row>
    <row r="63">
      <c r="A63" t="inlineStr">
        <is>
          <t>Share of post-acquisition profits and reserves</t>
        </is>
      </c>
    </row>
    <row r="64">
      <c r="A64" t="inlineStr">
        <is>
          <t>Other investments in joint ventures</t>
        </is>
      </c>
    </row>
    <row r="65">
      <c r="A65" s="1" t="inlineStr">
        <is>
          <t>*Total of investments in joint ventures</t>
        </is>
      </c>
      <c r="B65">
        <f>1*B60+1*B61+1*B62+1*B63+1*B64</f>
        <v/>
      </c>
      <c r="C65">
        <f>1*C60+1*C61+1*C62+1*C63+1*C64</f>
        <v/>
      </c>
      <c r="D65">
        <f>1*D60+1*D61+1*D62+1*D63+1*D64</f>
        <v/>
      </c>
      <c r="E65">
        <f>1*E60+1*E61+1*E62+1*E63+1*E64</f>
        <v/>
      </c>
    </row>
    <row r="66">
      <c r="A66" t="inlineStr">
        <is>
          <t>Inventories [abstract]</t>
        </is>
      </c>
    </row>
    <row r="67">
      <c r="A67" t="inlineStr">
        <is>
          <t>Raw materials</t>
        </is>
      </c>
    </row>
    <row r="68">
      <c r="A68" t="inlineStr">
        <is>
          <t>Work in progress</t>
        </is>
      </c>
    </row>
    <row r="69">
      <c r="A69" t="inlineStr">
        <is>
          <t>Finished goods</t>
        </is>
      </c>
    </row>
    <row r="70">
      <c r="A70" t="inlineStr">
        <is>
          <t>Spare parts</t>
        </is>
      </c>
    </row>
    <row r="71">
      <c r="A71" t="inlineStr">
        <is>
          <t>Other inventories</t>
        </is>
      </c>
    </row>
    <row r="72">
      <c r="A72" s="1" t="inlineStr">
        <is>
          <t>*Total inventories</t>
        </is>
      </c>
      <c r="B72">
        <f>1*B67+1*B68+1*B69+1*B70+1*B71</f>
        <v/>
      </c>
      <c r="C72">
        <f>1*C67+1*C68+1*C69+1*C70+1*C71</f>
        <v/>
      </c>
      <c r="D72">
        <f>1*D67+1*D68+1*D69+1*D70+1*D71</f>
        <v/>
      </c>
      <c r="E72">
        <f>1*E67+1*E68+1*E69+1*E70+1*E71</f>
        <v/>
      </c>
    </row>
    <row r="73">
      <c r="A73" t="inlineStr">
        <is>
          <t>Trade and other receivables [abstract]</t>
        </is>
      </c>
    </row>
    <row r="74">
      <c r="A74" t="inlineStr">
        <is>
          <t>Trade receivables [abstract]</t>
        </is>
      </c>
    </row>
    <row r="75">
      <c r="A75" t="inlineStr">
        <is>
          <t>Trade receivables due from contract customers</t>
        </is>
      </c>
    </row>
    <row r="76">
      <c r="A76" t="inlineStr">
        <is>
          <t>Trade receivables due from holding company</t>
        </is>
      </c>
    </row>
    <row r="77">
      <c r="A77" t="inlineStr">
        <is>
          <t>Trade receivables due from subsidiaries</t>
        </is>
      </c>
    </row>
    <row r="78">
      <c r="A78" t="inlineStr">
        <is>
          <t>Trade receivables from associates</t>
        </is>
      </c>
    </row>
    <row r="79">
      <c r="A79" t="inlineStr">
        <is>
          <t>Trade receivables due from joint ventures</t>
        </is>
      </c>
    </row>
    <row r="80">
      <c r="A80" t="inlineStr">
        <is>
          <t>Trade receivables due from other related parties</t>
        </is>
      </c>
    </row>
    <row r="81">
      <c r="A81" t="inlineStr">
        <is>
          <t>Other trade receivables</t>
        </is>
      </c>
    </row>
    <row r="82">
      <c r="A82" s="1" t="inlineStr">
        <is>
          <t>*Total trade receivables</t>
        </is>
      </c>
      <c r="B82">
        <f>1*B75+1*B76+1*B77+1*B78+1*B79+1*B80+1*B81</f>
        <v/>
      </c>
      <c r="C82">
        <f>1*C75+1*C76+1*C77+1*C78+1*C79+1*C80+1*C81</f>
        <v/>
      </c>
      <c r="D82">
        <f>1*D75+1*D76+1*D77+1*D78+1*D79+1*D80+1*D81</f>
        <v/>
      </c>
      <c r="E82">
        <f>1*E75+1*E76+1*E77+1*E78+1*E79+1*E80+1*E81</f>
        <v/>
      </c>
    </row>
    <row r="83">
      <c r="A83" t="inlineStr">
        <is>
          <t>Other receivables [abstract]</t>
        </is>
      </c>
    </row>
    <row r="84">
      <c r="A84" t="inlineStr">
        <is>
          <t>Other receivables due from related parties [abstract]</t>
        </is>
      </c>
    </row>
    <row r="85">
      <c r="A85" t="inlineStr">
        <is>
          <t>Other receivables due from holding company</t>
        </is>
      </c>
    </row>
    <row r="86">
      <c r="A86" t="inlineStr">
        <is>
          <t>Other receivables due from subsidiaries</t>
        </is>
      </c>
    </row>
    <row r="87">
      <c r="A87" t="inlineStr">
        <is>
          <t>Other receivables due from associates</t>
        </is>
      </c>
    </row>
    <row r="88">
      <c r="A88" t="inlineStr">
        <is>
          <t>Other receivables due from joint ventures</t>
        </is>
      </c>
    </row>
    <row r="89">
      <c r="A89" t="inlineStr">
        <is>
          <t>Other receivables due from other related parties</t>
        </is>
      </c>
    </row>
    <row r="90">
      <c r="A90" s="1" t="inlineStr">
        <is>
          <t>*Total other receivables due from related parties</t>
        </is>
      </c>
      <c r="B90">
        <f>1*B85+1*B86+1*B87+1*B88+1*B89</f>
        <v/>
      </c>
      <c r="C90">
        <f>1*C85+1*C86+1*C87+1*C88+1*C89</f>
        <v/>
      </c>
      <c r="D90">
        <f>1*D85+1*D86+1*D87+1*D88+1*D89</f>
        <v/>
      </c>
      <c r="E90">
        <f>1*E85+1*E86+1*E87+1*E88+1*E89</f>
        <v/>
      </c>
    </row>
    <row r="91">
      <c r="A91" t="inlineStr">
        <is>
          <t>Prepayments and accrued income [abstract]</t>
        </is>
      </c>
    </row>
    <row r="92">
      <c r="A92" t="inlineStr">
        <is>
          <t>Prepayments</t>
        </is>
      </c>
    </row>
    <row r="93">
      <c r="A93" t="inlineStr">
        <is>
          <t>Accrued income</t>
        </is>
      </c>
    </row>
    <row r="94">
      <c r="A94" s="1" t="inlineStr">
        <is>
          <t>*Total prepayments and accrued income</t>
        </is>
      </c>
      <c r="B94">
        <f>1*B92+1*B93</f>
        <v/>
      </c>
      <c r="C94">
        <f>1*C92+1*C93</f>
        <v/>
      </c>
      <c r="D94">
        <f>1*D92+1*D93</f>
        <v/>
      </c>
      <c r="E94">
        <f>1*E92+1*E93</f>
        <v/>
      </c>
    </row>
    <row r="95">
      <c r="A95" t="inlineStr">
        <is>
          <t>Non-trade receivables [abstract]</t>
        </is>
      </c>
    </row>
    <row r="96">
      <c r="A96" t="inlineStr">
        <is>
          <t>Interest receivables</t>
        </is>
      </c>
    </row>
    <row r="97">
      <c r="A97" t="inlineStr">
        <is>
          <t>Deposits</t>
        </is>
      </c>
    </row>
    <row r="98">
      <c r="A98" t="inlineStr">
        <is>
          <t>Dividends receivables</t>
        </is>
      </c>
    </row>
    <row r="99">
      <c r="A99" t="inlineStr">
        <is>
          <t>Lease and hire purchase receivables</t>
        </is>
      </c>
    </row>
    <row r="100">
      <c r="A100" t="inlineStr">
        <is>
          <t>Other non-trade receivables</t>
        </is>
      </c>
    </row>
    <row r="101">
      <c r="A101" s="1" t="inlineStr">
        <is>
          <t>*Total non-trade receivables</t>
        </is>
      </c>
      <c r="B101">
        <f>1*B96+1*B97+1*B98+1*B99+1*B100</f>
        <v/>
      </c>
      <c r="C101">
        <f>1*C96+1*C97+1*C98+1*C99+1*C100</f>
        <v/>
      </c>
      <c r="D101">
        <f>1*D96+1*D97+1*D98+1*D99+1*D100</f>
        <v/>
      </c>
      <c r="E101">
        <f>1*E96+1*E97+1*E98+1*E99+1*E100</f>
        <v/>
      </c>
    </row>
    <row r="102">
      <c r="A102" s="1" t="inlineStr">
        <is>
          <t>*Total other receivables</t>
        </is>
      </c>
      <c r="B102">
        <f>1*B90+1*B94+1*B101</f>
        <v/>
      </c>
      <c r="C102">
        <f>1*C90+1*C94+1*C101</f>
        <v/>
      </c>
      <c r="D102">
        <f>1*D90+1*D94+1*D101</f>
        <v/>
      </c>
      <c r="E102">
        <f>1*E90+1*E94+1*E101</f>
        <v/>
      </c>
    </row>
    <row r="103">
      <c r="A103" s="1" t="inlineStr">
        <is>
          <t>*Total trade and other receivables</t>
        </is>
      </c>
      <c r="B103">
        <f>1*B82+1*B102</f>
        <v/>
      </c>
      <c r="C103">
        <f>1*C82+1*C102</f>
        <v/>
      </c>
      <c r="D103">
        <f>1*D82+1*D102</f>
        <v/>
      </c>
      <c r="E103">
        <f>1*E82+1*E102</f>
        <v/>
      </c>
    </row>
    <row r="104">
      <c r="A104" t="inlineStr">
        <is>
          <t>Cash and cash equivalents [abstract]</t>
        </is>
      </c>
    </row>
    <row r="105">
      <c r="A105" t="inlineStr">
        <is>
          <t>Cash [abstract]</t>
        </is>
      </c>
    </row>
    <row r="106">
      <c r="A106" t="inlineStr">
        <is>
          <t>Cash in hand</t>
        </is>
      </c>
    </row>
    <row r="107">
      <c r="A107" t="inlineStr">
        <is>
          <t>Balances with banks</t>
        </is>
      </c>
    </row>
    <row r="108">
      <c r="A108" s="1" t="inlineStr">
        <is>
          <t>*Total cash</t>
        </is>
      </c>
      <c r="B108">
        <f>1*B106+1*B107</f>
        <v/>
      </c>
      <c r="C108">
        <f>1*C106+1*C107</f>
        <v/>
      </c>
      <c r="D108">
        <f>1*D106+1*D107</f>
        <v/>
      </c>
      <c r="E108">
        <f>1*E106+1*E107</f>
        <v/>
      </c>
    </row>
    <row r="109">
      <c r="A109" t="inlineStr">
        <is>
          <t>Cash equivalents [abstract]</t>
        </is>
      </c>
    </row>
    <row r="110">
      <c r="A110" t="inlineStr">
        <is>
          <t>Deposits placed with licensed banks</t>
        </is>
      </c>
    </row>
    <row r="111">
      <c r="A111" t="inlineStr">
        <is>
          <t>Deposit placed with other corporations</t>
        </is>
      </c>
    </row>
    <row r="112">
      <c r="A112" t="inlineStr">
        <is>
          <t>Fixed deposits with financial institutions</t>
        </is>
      </c>
    </row>
    <row r="113">
      <c r="A113" t="inlineStr">
        <is>
          <t>Cash equivalents with other financial institutions</t>
        </is>
      </c>
    </row>
    <row r="114">
      <c r="A114" t="inlineStr">
        <is>
          <t>Short-term deposits</t>
        </is>
      </c>
    </row>
    <row r="115">
      <c r="A115" t="inlineStr">
        <is>
          <t>Short-term investments</t>
        </is>
      </c>
    </row>
    <row r="116">
      <c r="A116" t="inlineStr">
        <is>
          <t>Other banking arrangements</t>
        </is>
      </c>
    </row>
    <row r="117">
      <c r="A117" s="1" t="inlineStr">
        <is>
          <t>*Total cash equivalents</t>
        </is>
      </c>
      <c r="B117">
        <f>1*B110+1*B111+1*B112+1*B113+1*B114+1*B115+1*B116</f>
        <v/>
      </c>
      <c r="C117">
        <f>1*C110+1*C111+1*C112+1*C113+1*C114+1*C115+1*C116</f>
        <v/>
      </c>
      <c r="D117">
        <f>1*D110+1*D111+1*D112+1*D113+1*D114+1*D115+1*D116</f>
        <v/>
      </c>
      <c r="E117">
        <f>1*E110+1*E111+1*E112+1*E113+1*E114+1*E115+1*E116</f>
        <v/>
      </c>
    </row>
    <row r="118">
      <c r="A118" t="inlineStr">
        <is>
          <t>Other cash and cash equivalents</t>
        </is>
      </c>
    </row>
    <row r="119">
      <c r="A119" s="1" t="inlineStr">
        <is>
          <t>*Total cash and cash equivalents</t>
        </is>
      </c>
      <c r="B119">
        <f>1*B108+1*B117+1*B118</f>
        <v/>
      </c>
      <c r="C119">
        <f>1*C108+1*C117+1*C118</f>
        <v/>
      </c>
      <c r="D119">
        <f>1*D108+1*D117+1*D118</f>
        <v/>
      </c>
      <c r="E119">
        <f>1*E108+1*E117+1*E118</f>
        <v/>
      </c>
    </row>
    <row r="120">
      <c r="A120" t="inlineStr">
        <is>
          <t>Issued capital [abstract]</t>
        </is>
      </c>
    </row>
    <row r="121">
      <c r="A121" t="inlineStr">
        <is>
          <t>Capital from ordinary shares</t>
        </is>
      </c>
    </row>
    <row r="122">
      <c r="A122" t="inlineStr">
        <is>
          <t>Capital from redeemable preference shares</t>
        </is>
      </c>
    </row>
    <row r="123">
      <c r="A123" t="inlineStr">
        <is>
          <t>Capital from non-redeemable preference shares</t>
        </is>
      </c>
    </row>
    <row r="124">
      <c r="A124" s="1" t="inlineStr">
        <is>
          <t>*Total issued capital</t>
        </is>
      </c>
      <c r="B124">
        <f>1*B121+1*B122+1*B123</f>
        <v/>
      </c>
      <c r="C124">
        <f>1*C121+1*C122+1*C123</f>
        <v/>
      </c>
      <c r="D124">
        <f>1*D121+1*D122+1*D123</f>
        <v/>
      </c>
      <c r="E124">
        <f>1*E121+1*E122+1*E123</f>
        <v/>
      </c>
    </row>
    <row r="125">
      <c r="A125" t="inlineStr">
        <is>
          <t>Reserves [abstract]</t>
        </is>
      </c>
    </row>
    <row r="126">
      <c r="A126" t="inlineStr">
        <is>
          <t>Non-distributable [abstract]</t>
        </is>
      </c>
    </row>
    <row r="127">
      <c r="A127" t="inlineStr">
        <is>
          <t>Capital reserve</t>
        </is>
      </c>
    </row>
    <row r="128">
      <c r="A128" t="inlineStr">
        <is>
          <t>Foreign currency translation reserve</t>
        </is>
      </c>
    </row>
    <row r="129">
      <c r="A129" t="inlineStr">
        <is>
          <t>Revaluation surplus</t>
        </is>
      </c>
    </row>
    <row r="130">
      <c r="A130" t="inlineStr">
        <is>
          <t>Other non-distributable reserves</t>
        </is>
      </c>
    </row>
    <row r="131">
      <c r="A131" s="1" t="inlineStr">
        <is>
          <t>*Total non-distributable reserves</t>
        </is>
      </c>
      <c r="B131">
        <f>1*B127+1*B128+1*B129+1*B130</f>
        <v/>
      </c>
      <c r="C131">
        <f>1*C127+1*C128+1*C129+1*C130</f>
        <v/>
      </c>
      <c r="D131">
        <f>1*D127+1*D128+1*D129+1*D130</f>
        <v/>
      </c>
      <c r="E131">
        <f>1*E127+1*E128+1*E129+1*E130</f>
        <v/>
      </c>
    </row>
    <row r="132">
      <c r="A132" t="inlineStr">
        <is>
          <t>Distributable [abstract]</t>
        </is>
      </c>
    </row>
    <row r="133">
      <c r="A133" t="inlineStr">
        <is>
          <t>Other distributable reserves</t>
        </is>
      </c>
    </row>
    <row r="134">
      <c r="A134" s="1" t="inlineStr">
        <is>
          <t>*Total distributable reserves</t>
        </is>
      </c>
      <c r="B134">
        <f>1*B133</f>
        <v/>
      </c>
      <c r="C134">
        <f>1*C133</f>
        <v/>
      </c>
      <c r="D134">
        <f>1*D133</f>
        <v/>
      </c>
      <c r="E134">
        <f>1*E133</f>
        <v/>
      </c>
    </row>
    <row r="135">
      <c r="A135" s="1" t="inlineStr">
        <is>
          <t>*Total reserves</t>
        </is>
      </c>
      <c r="B135">
        <f>1*B131+1*B134</f>
        <v/>
      </c>
      <c r="C135">
        <f>1*C131+1*C134</f>
        <v/>
      </c>
      <c r="D135">
        <f>1*D131+1*D134</f>
        <v/>
      </c>
      <c r="E135">
        <f>1*E131+1*E134</f>
        <v/>
      </c>
    </row>
    <row r="136">
      <c r="A136" t="inlineStr">
        <is>
          <t>Equity - others components [abstract]</t>
        </is>
      </c>
    </row>
    <row r="137">
      <c r="A137" t="inlineStr">
        <is>
          <t>Perpetual Sukuk</t>
        </is>
      </c>
    </row>
    <row r="138">
      <c r="A138" t="inlineStr">
        <is>
          <t>Equity component of Irredeemable Convertible Unsecured Loan Stocks (ICULS)</t>
        </is>
      </c>
    </row>
    <row r="139">
      <c r="A139" t="inlineStr">
        <is>
          <t>Equity component of preference shares</t>
        </is>
      </c>
    </row>
    <row r="140">
      <c r="A140" t="inlineStr">
        <is>
          <t>Equity components of other financial instruments</t>
        </is>
      </c>
    </row>
    <row r="141">
      <c r="A141" s="1" t="inlineStr">
        <is>
          <t>*Total equity - other components</t>
        </is>
      </c>
      <c r="B141">
        <f>1*B137+1*B138+1*B139+1*B140</f>
        <v/>
      </c>
      <c r="C141">
        <f>1*C137+1*C138+1*C139+1*C140</f>
        <v/>
      </c>
      <c r="D141">
        <f>1*D137+1*D138+1*D139+1*D140</f>
        <v/>
      </c>
      <c r="E141">
        <f>1*E137+1*E138+1*E139+1*E140</f>
        <v/>
      </c>
    </row>
    <row r="142">
      <c r="A142" t="inlineStr">
        <is>
          <t>Loans and Borrowings [abstract]</t>
        </is>
      </c>
    </row>
    <row r="143">
      <c r="A143" t="inlineStr">
        <is>
          <t>Secured bank loans</t>
        </is>
      </c>
    </row>
    <row r="144">
      <c r="A144" t="inlineStr">
        <is>
          <t>Unsecured bank loans</t>
        </is>
      </c>
    </row>
    <row r="145">
      <c r="A145" t="inlineStr">
        <is>
          <t>Secured convertible notes</t>
        </is>
      </c>
    </row>
    <row r="146">
      <c r="A146" t="inlineStr">
        <is>
          <t>Unsecured convertible notes</t>
        </is>
      </c>
    </row>
    <row r="147">
      <c r="A147" t="inlineStr">
        <is>
          <t>Bank overdrafts</t>
        </is>
      </c>
    </row>
    <row r="148">
      <c r="A148" t="inlineStr">
        <is>
          <t>Unsecured bank overdrafts</t>
        </is>
      </c>
    </row>
    <row r="149">
      <c r="A149" t="inlineStr">
        <is>
          <t>Redeemable preference shares</t>
        </is>
      </c>
    </row>
    <row r="150">
      <c r="A150" t="inlineStr">
        <is>
          <t>Finance lease liabilities</t>
        </is>
      </c>
    </row>
    <row r="151">
      <c r="A151" t="inlineStr">
        <is>
          <t>Loan from holding company</t>
        </is>
      </c>
    </row>
    <row r="152">
      <c r="A152" t="inlineStr">
        <is>
          <t>Loan from subsidiaries</t>
        </is>
      </c>
    </row>
    <row r="153">
      <c r="A153" t="inlineStr">
        <is>
          <t>Loan from associates</t>
        </is>
      </c>
    </row>
    <row r="154">
      <c r="A154" t="inlineStr">
        <is>
          <t>Loan from joint venture</t>
        </is>
      </c>
    </row>
    <row r="155">
      <c r="A155" t="inlineStr">
        <is>
          <t>Loan from other related companies</t>
        </is>
      </c>
    </row>
    <row r="156">
      <c r="A156" t="inlineStr">
        <is>
          <t>Other secured bank facilities</t>
        </is>
      </c>
    </row>
    <row r="157">
      <c r="A157" t="inlineStr">
        <is>
          <t>Other unsecured bank facilities</t>
        </is>
      </c>
    </row>
    <row r="158">
      <c r="A158" t="inlineStr">
        <is>
          <t>Other borrowings</t>
        </is>
      </c>
    </row>
    <row r="159">
      <c r="A159" s="1" t="inlineStr">
        <is>
          <t>*Total loans and borrowings</t>
        </is>
      </c>
      <c r="B159">
        <f>1*B143+1*B144+1*B145+1*B146+1*B149+1*B150+1*B151+1*B152+1*B153+1*B154+1*B155+1*B156+1*B157+1*B147+1*B148+1*B158</f>
        <v/>
      </c>
      <c r="C159">
        <f>1*C143+1*C144+1*C145+1*C146+1*C149+1*C150+1*C151+1*C152+1*C153+1*C154+1*C155+1*C156+1*C157+1*C147+1*C148+1*C158</f>
        <v/>
      </c>
      <c r="D159">
        <f>1*D143+1*D144+1*D145+1*D146+1*D149+1*D150+1*D151+1*D152+1*D153+1*D154+1*D155+1*D156+1*D157+1*D147+1*D148+1*D158</f>
        <v/>
      </c>
      <c r="E159">
        <f>1*E143+1*E144+1*E145+1*E146+1*E149+1*E150+1*E151+1*E152+1*E153+1*E154+1*E155+1*E156+1*E157+1*E147+1*E148+1*E158</f>
        <v/>
      </c>
    </row>
    <row r="160">
      <c r="A160" t="inlineStr">
        <is>
          <t>Employee benefits [abstract]</t>
        </is>
      </c>
    </row>
    <row r="161">
      <c r="A161" t="inlineStr">
        <is>
          <t>Cash-settled share-based payment liability</t>
        </is>
      </c>
    </row>
    <row r="162">
      <c r="A162" t="inlineStr">
        <is>
          <t>Employment termination benefits</t>
        </is>
      </c>
    </row>
    <row r="163">
      <c r="A163" t="inlineStr">
        <is>
          <t>Provision for unconsumed leave</t>
        </is>
      </c>
    </row>
    <row r="164">
      <c r="A164" t="inlineStr">
        <is>
          <t>Defined contribution plan</t>
        </is>
      </c>
    </row>
    <row r="165">
      <c r="A165" t="inlineStr">
        <is>
          <t>Defined benefit plan</t>
        </is>
      </c>
    </row>
    <row r="166">
      <c r="A166" t="inlineStr">
        <is>
          <t>Other non-current employee benefits</t>
        </is>
      </c>
    </row>
    <row r="167">
      <c r="A167" s="1" t="inlineStr">
        <is>
          <t>*Total employee benefits</t>
        </is>
      </c>
      <c r="B167">
        <f>1*B161+1*B162+1*B163+1*B164+1*B165+1*B166</f>
        <v/>
      </c>
      <c r="C167">
        <f>1*C161+1*C162+1*C163+1*C164+1*C165+1*C166</f>
        <v/>
      </c>
      <c r="D167">
        <f>1*D161+1*D162+1*D163+1*D164+1*D165+1*D166</f>
        <v/>
      </c>
      <c r="E167">
        <f>1*E161+1*E162+1*E163+1*E164+1*E165+1*E166</f>
        <v/>
      </c>
    </row>
    <row r="168">
      <c r="A168" t="inlineStr">
        <is>
          <t>Provisions [abstract]</t>
        </is>
      </c>
    </row>
    <row r="169">
      <c r="A169" t="inlineStr">
        <is>
          <t>Warranty provision</t>
        </is>
      </c>
    </row>
    <row r="170">
      <c r="A170" t="inlineStr">
        <is>
          <t>Restructuring provision</t>
        </is>
      </c>
    </row>
    <row r="171">
      <c r="A171" t="inlineStr">
        <is>
          <t>Legal proceedings provision</t>
        </is>
      </c>
    </row>
    <row r="172">
      <c r="A172" t="inlineStr">
        <is>
          <t>Onerous contracts provision</t>
        </is>
      </c>
    </row>
    <row r="173">
      <c r="A173" t="inlineStr">
        <is>
          <t>Provisions for decommissioning, restoration and rehabilitation costs</t>
        </is>
      </c>
    </row>
    <row r="174">
      <c r="A174" t="inlineStr">
        <is>
          <t>Other provisions</t>
        </is>
      </c>
    </row>
    <row r="175">
      <c r="A175" s="1" t="inlineStr">
        <is>
          <t>*Total provisions</t>
        </is>
      </c>
      <c r="B175">
        <f>1*B169+1*B170+1*B171+1*B172+1*B173+1*B174</f>
        <v/>
      </c>
      <c r="C175">
        <f>1*C169+1*C170+1*C171+1*C172+1*C173+1*C174</f>
        <v/>
      </c>
      <c r="D175">
        <f>1*D169+1*D170+1*D171+1*D172+1*D173+1*D174</f>
        <v/>
      </c>
      <c r="E175">
        <f>1*E169+1*E170+1*E171+1*E172+1*E173+1*E174</f>
        <v/>
      </c>
    </row>
    <row r="176">
      <c r="A176" t="inlineStr">
        <is>
          <t>Trade and other payables [abstract]</t>
        </is>
      </c>
    </row>
    <row r="177">
      <c r="A177" t="inlineStr">
        <is>
          <t>Trade payables [abstract]</t>
        </is>
      </c>
    </row>
    <row r="178">
      <c r="A178" t="inlineStr">
        <is>
          <t>Trade payable due to contract suppliers</t>
        </is>
      </c>
    </row>
    <row r="179">
      <c r="A179" t="inlineStr">
        <is>
          <t>Trade payables due to holding company</t>
        </is>
      </c>
    </row>
    <row r="180">
      <c r="A180" t="inlineStr">
        <is>
          <t>Trade payables due to subsidiaries</t>
        </is>
      </c>
    </row>
    <row r="181">
      <c r="A181" t="inlineStr">
        <is>
          <t>Trade payables due to associates</t>
        </is>
      </c>
    </row>
    <row r="182">
      <c r="A182" t="inlineStr">
        <is>
          <t>Trade payables due to joint ventures</t>
        </is>
      </c>
    </row>
    <row r="183">
      <c r="A183" t="inlineStr">
        <is>
          <t>Trade payables due to other related parties</t>
        </is>
      </c>
    </row>
    <row r="184">
      <c r="A184" t="inlineStr">
        <is>
          <t>Other trade payables</t>
        </is>
      </c>
    </row>
    <row r="185">
      <c r="A185" s="1" t="inlineStr">
        <is>
          <t>*Total trade payables</t>
        </is>
      </c>
      <c r="B185">
        <f>1*B178+1*B179+1*B180+1*B181+1*B182+1*B183+1*B184</f>
        <v/>
      </c>
      <c r="C185">
        <f>1*C178+1*C179+1*C180+1*C181+1*C182+1*C183+1*C184</f>
        <v/>
      </c>
      <c r="D185">
        <f>1*D178+1*D179+1*D180+1*D181+1*D182+1*D183+1*D184</f>
        <v/>
      </c>
      <c r="E185">
        <f>1*E178+1*E179+1*E180+1*E181+1*E182+1*E183+1*E184</f>
        <v/>
      </c>
    </row>
    <row r="186">
      <c r="A186" t="inlineStr">
        <is>
          <t>Other payables [abstract]</t>
        </is>
      </c>
    </row>
    <row r="187">
      <c r="A187" t="inlineStr">
        <is>
          <t>Other payables due to related parties [abstract]</t>
        </is>
      </c>
    </row>
    <row r="188">
      <c r="A188" t="inlineStr">
        <is>
          <t>Other payables due to holding company</t>
        </is>
      </c>
    </row>
    <row r="189">
      <c r="A189" t="inlineStr">
        <is>
          <t>Other payables due to subsidiaries</t>
        </is>
      </c>
    </row>
    <row r="190">
      <c r="A190" t="inlineStr">
        <is>
          <t>Other payables due to associates</t>
        </is>
      </c>
    </row>
    <row r="191">
      <c r="A191" t="inlineStr">
        <is>
          <t>Other payables due to joint ventures</t>
        </is>
      </c>
    </row>
    <row r="192">
      <c r="A192" t="inlineStr">
        <is>
          <t>Other payables due to other related parties</t>
        </is>
      </c>
    </row>
    <row r="193">
      <c r="A193" s="1" t="inlineStr">
        <is>
          <t>*Total other payables due to related parties</t>
        </is>
      </c>
      <c r="B193">
        <f>1*B188+1*B189+1*B190+1*B191+1*B192</f>
        <v/>
      </c>
      <c r="C193">
        <f>1*C188+1*C189+1*C190+1*C191+1*C192</f>
        <v/>
      </c>
      <c r="D193">
        <f>1*D188+1*D189+1*D190+1*D191+1*D192</f>
        <v/>
      </c>
      <c r="E193">
        <f>1*E188+1*E189+1*E190+1*E191+1*E192</f>
        <v/>
      </c>
    </row>
    <row r="194">
      <c r="A194" t="inlineStr">
        <is>
          <t>Non-trade payables [abstract]</t>
        </is>
      </c>
    </row>
    <row r="195">
      <c r="A195" t="inlineStr">
        <is>
          <t>Deferred income</t>
        </is>
      </c>
    </row>
    <row r="196">
      <c r="A196" t="inlineStr">
        <is>
          <t>Accruals</t>
        </is>
      </c>
    </row>
    <row r="197">
      <c r="A197" t="inlineStr">
        <is>
          <t>Retention payables</t>
        </is>
      </c>
    </row>
    <row r="198">
      <c r="A198" t="inlineStr">
        <is>
          <t>Other non-trade payables</t>
        </is>
      </c>
    </row>
    <row r="199">
      <c r="A199" s="1" t="inlineStr">
        <is>
          <t>*Total non-trade payables</t>
        </is>
      </c>
      <c r="B199">
        <f>1*B195+1*B196+1*B197+1*B198</f>
        <v/>
      </c>
      <c r="C199">
        <f>1*C195+1*C196+1*C197+1*C198</f>
        <v/>
      </c>
      <c r="D199">
        <f>1*D195+1*D196+1*D197+1*D198</f>
        <v/>
      </c>
      <c r="E199">
        <f>1*E195+1*E196+1*E197+1*E198</f>
        <v/>
      </c>
    </row>
    <row r="200">
      <c r="A200" s="1" t="inlineStr">
        <is>
          <t>*Total other payables</t>
        </is>
      </c>
      <c r="B200">
        <f>1*B193+1*B199</f>
        <v/>
      </c>
      <c r="C200">
        <f>1*C193+1*C199</f>
        <v/>
      </c>
      <c r="D200">
        <f>1*D193+1*D199</f>
        <v/>
      </c>
      <c r="E200">
        <f>1*E193+1*E199</f>
        <v/>
      </c>
    </row>
    <row r="201">
      <c r="A201" s="1" t="inlineStr">
        <is>
          <t>*Total trade and other payables</t>
        </is>
      </c>
      <c r="B201">
        <f>1*B185+1*B200</f>
        <v/>
      </c>
      <c r="C201">
        <f>1*C185+1*C200</f>
        <v/>
      </c>
      <c r="D201">
        <f>1*D185+1*D200</f>
        <v/>
      </c>
      <c r="E201">
        <f>1*E185+1*E200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