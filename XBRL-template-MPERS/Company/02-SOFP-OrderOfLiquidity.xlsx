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P-OrdOfLiq" sheetId="1" state="visible" r:id="rId1"/>
    <sheet xmlns:r="http://schemas.openxmlformats.org/officeDocument/2006/relationships" name="SOFP-Sub-OrdOfLi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statement of financial position</t>
        </is>
      </c>
    </row>
    <row r="4">
      <c r="A4" t="inlineStr">
        <is>
          <t>Statement of financial position</t>
        </is>
      </c>
    </row>
    <row r="5">
      <c r="A5" t="inlineStr">
        <is>
          <t>Assets</t>
        </is>
      </c>
    </row>
    <row r="6">
      <c r="A6" t="inlineStr">
        <is>
          <t>Property, plant and equipment</t>
        </is>
      </c>
      <c r="B6">
        <f>'SOFP-Sub-OrdOfLiq'!B26</f>
        <v/>
      </c>
      <c r="C6">
        <f>'SOFP-Sub-OrdOfLiq'!C26</f>
        <v/>
      </c>
    </row>
    <row r="7">
      <c r="A7" t="inlineStr">
        <is>
          <t>Investment properties</t>
        </is>
      </c>
      <c r="B7">
        <f>'SOFP-Sub-OrdOfLiq'!B33</f>
        <v/>
      </c>
      <c r="C7">
        <f>'SOFP-Sub-OrdOfLiq'!C33</f>
        <v/>
      </c>
    </row>
    <row r="8">
      <c r="A8" t="inlineStr">
        <is>
          <t>Biological assets</t>
        </is>
      </c>
    </row>
    <row r="9">
      <c r="A9" t="inlineStr">
        <is>
          <t>Intangible assets</t>
        </is>
      </c>
      <c r="B9">
        <f>'SOFP-Sub-OrdOfLiq'!B40</f>
        <v/>
      </c>
      <c r="C9">
        <f>'SOFP-Sub-OrdOfLiq'!C40</f>
        <v/>
      </c>
    </row>
    <row r="10">
      <c r="A10" t="inlineStr">
        <is>
          <t>Investments in subsidiaries</t>
        </is>
      </c>
      <c r="B10">
        <f>'SOFP-Sub-OrdOfLiq'!B46</f>
        <v/>
      </c>
      <c r="C10">
        <f>'SOFP-Sub-OrdOfLiq'!C46</f>
        <v/>
      </c>
    </row>
    <row r="11">
      <c r="A11" t="inlineStr">
        <is>
          <t>Investments in associates</t>
        </is>
      </c>
      <c r="B11">
        <f>'SOFP-Sub-OrdOfLiq'!B53</f>
        <v/>
      </c>
      <c r="C11">
        <f>'SOFP-Sub-OrdOfLiq'!C53</f>
        <v/>
      </c>
    </row>
    <row r="12">
      <c r="A12" t="inlineStr">
        <is>
          <t>Investments in joint ventures</t>
        </is>
      </c>
      <c r="B12">
        <f>'SOFP-Sub-OrdOfLiq'!B60</f>
        <v/>
      </c>
      <c r="C12">
        <f>'SOFP-Sub-OrdOfLiq'!C60</f>
        <v/>
      </c>
    </row>
    <row r="13">
      <c r="A13" t="inlineStr">
        <is>
          <t>Other investments</t>
        </is>
      </c>
    </row>
    <row r="14">
      <c r="A14" t="inlineStr">
        <is>
          <t>Inventories</t>
        </is>
      </c>
      <c r="B14">
        <f>'SOFP-Sub-OrdOfLiq'!B67</f>
        <v/>
      </c>
      <c r="C14">
        <f>'SOFP-Sub-OrdOfLiq'!C67</f>
        <v/>
      </c>
    </row>
    <row r="15">
      <c r="A15" t="inlineStr">
        <is>
          <t>Trade and other receivables</t>
        </is>
      </c>
      <c r="B15">
        <f>'SOFP-Sub-OrdOfLiq'!B98</f>
        <v/>
      </c>
      <c r="C15">
        <f>'SOFP-Sub-OrdOfLiq'!C98</f>
        <v/>
      </c>
    </row>
    <row r="16">
      <c r="A16" t="inlineStr">
        <is>
          <t>Deferred tax assets</t>
        </is>
      </c>
    </row>
    <row r="17">
      <c r="A17" t="inlineStr">
        <is>
          <t>Current tax assets</t>
        </is>
      </c>
    </row>
    <row r="18">
      <c r="A18" t="inlineStr">
        <is>
          <t>Derivative financial assets</t>
        </is>
      </c>
    </row>
    <row r="19">
      <c r="A19" t="inlineStr">
        <is>
          <t>Cash and cash equivalents</t>
        </is>
      </c>
      <c r="B19">
        <f>'SOFP-Sub-OrdOfLiq'!B114</f>
        <v/>
      </c>
      <c r="C19">
        <f>'SOFP-Sub-OrdOfLiq'!C114</f>
        <v/>
      </c>
    </row>
    <row r="20">
      <c r="A20" t="inlineStr">
        <is>
          <t>Other assets</t>
        </is>
      </c>
    </row>
    <row r="21">
      <c r="A21" s="1" t="inlineStr">
        <is>
          <t>*Total assets</t>
        </is>
      </c>
      <c r="B21">
        <f>1*B6+1*B7+1*B10+1*B11+1*B12+1*B16+1*B14+1*B19+1*B8+1*B15+1*B17+1*B18+1*B20+1*B9+1*B13</f>
        <v/>
      </c>
      <c r="C21">
        <f>1*C6+1*C7+1*C10+1*C11+1*C12+1*C16+1*C14+1*C19+1*C8+1*C15+1*C17+1*C18+1*C20+1*C9+1*C13</f>
        <v/>
      </c>
    </row>
    <row r="22">
      <c r="A22" t="inlineStr">
        <is>
          <t>Equity and liabilities</t>
        </is>
      </c>
    </row>
    <row r="23">
      <c r="A23" t="inlineStr">
        <is>
          <t>Equity</t>
        </is>
      </c>
    </row>
    <row r="24">
      <c r="A24" t="inlineStr">
        <is>
          <t>Issued capital</t>
        </is>
      </c>
      <c r="B24">
        <f>'SOFP-Sub-OrdOfLiq'!B119</f>
        <v/>
      </c>
      <c r="C24">
        <f>'SOFP-Sub-OrdOfLiq'!C119</f>
        <v/>
      </c>
    </row>
    <row r="25">
      <c r="A25" t="inlineStr">
        <is>
          <t>Retained earnings</t>
        </is>
      </c>
    </row>
    <row r="26">
      <c r="A26" t="inlineStr">
        <is>
          <t>Treasury shares</t>
        </is>
      </c>
    </row>
    <row r="27">
      <c r="A27" t="inlineStr">
        <is>
          <t>Reserves</t>
        </is>
      </c>
      <c r="B27">
        <f>'SOFP-Sub-OrdOfLiq'!B130</f>
        <v/>
      </c>
      <c r="C27">
        <f>'SOFP-Sub-OrdOfLiq'!C130</f>
        <v/>
      </c>
    </row>
    <row r="28">
      <c r="A28" s="1" t="inlineStr">
        <is>
          <t>*Total equity attributable to owners</t>
        </is>
      </c>
      <c r="B28">
        <f>1*B24+1*B25+-1*B26+1*B27</f>
        <v/>
      </c>
      <c r="C28">
        <f>1*C24+1*C25+-1*C26+1*C27</f>
        <v/>
      </c>
    </row>
    <row r="29">
      <c r="A29" t="inlineStr">
        <is>
          <t>Equity - other components</t>
        </is>
      </c>
      <c r="B29">
        <f>'SOFP-Sub-OrdOfLiq'!B136</f>
        <v/>
      </c>
      <c r="C29">
        <f>'SOFP-Sub-OrdOfLiq'!C136</f>
        <v/>
      </c>
    </row>
    <row r="30">
      <c r="A30" t="inlineStr">
        <is>
          <t>Non-controlling interests</t>
        </is>
      </c>
    </row>
    <row r="31">
      <c r="A31" s="1" t="inlineStr">
        <is>
          <t>*Total equity</t>
        </is>
      </c>
      <c r="B31">
        <f>1*B24+1*B25+-1*B26+1*B27+1*B29+1*B30</f>
        <v/>
      </c>
      <c r="C31">
        <f>1*C24+1*C25+-1*C26+1*C27+1*C29+1*C30</f>
        <v/>
      </c>
    </row>
    <row r="32">
      <c r="A32" t="inlineStr">
        <is>
          <t>Liabilities</t>
        </is>
      </c>
    </row>
    <row r="33">
      <c r="A33" t="inlineStr">
        <is>
          <t>Loans and borrowings</t>
        </is>
      </c>
      <c r="B33">
        <f>'SOFP-Sub-OrdOfLiq'!B154</f>
        <v/>
      </c>
      <c r="C33">
        <f>'SOFP-Sub-OrdOfLiq'!C154</f>
        <v/>
      </c>
    </row>
    <row r="34">
      <c r="A34" t="inlineStr">
        <is>
          <t>Employee benefits</t>
        </is>
      </c>
      <c r="B34">
        <f>'SOFP-Sub-OrdOfLiq'!B162</f>
        <v/>
      </c>
      <c r="C34">
        <f>'SOFP-Sub-OrdOfLiq'!C162</f>
        <v/>
      </c>
    </row>
    <row r="35">
      <c r="A35" t="inlineStr">
        <is>
          <t>Provisions</t>
        </is>
      </c>
      <c r="B35">
        <f>'SOFP-Sub-OrdOfLiq'!B170</f>
        <v/>
      </c>
      <c r="C35">
        <f>'SOFP-Sub-OrdOfLiq'!C170</f>
        <v/>
      </c>
    </row>
    <row r="36">
      <c r="A36" t="inlineStr">
        <is>
          <t>Deferred tax liabilities</t>
        </is>
      </c>
    </row>
    <row r="37">
      <c r="A37" t="inlineStr">
        <is>
          <t>Trade and other payables</t>
        </is>
      </c>
      <c r="B37">
        <f>'SOFP-Sub-OrdOfLiq'!B196</f>
        <v/>
      </c>
      <c r="C37">
        <f>'SOFP-Sub-OrdOfLiq'!C196</f>
        <v/>
      </c>
    </row>
    <row r="38">
      <c r="A38" t="inlineStr">
        <is>
          <t>Current tax liabilities</t>
        </is>
      </c>
    </row>
    <row r="39">
      <c r="A39" t="inlineStr">
        <is>
          <t>Derivative financial liabilities</t>
        </is>
      </c>
    </row>
    <row r="40">
      <c r="A40" t="inlineStr">
        <is>
          <t>Other liabilities</t>
        </is>
      </c>
    </row>
    <row r="41">
      <c r="A41" s="1" t="inlineStr">
        <is>
          <t>*Total liabilities</t>
        </is>
      </c>
      <c r="B41">
        <f>1*B33+1*B34+1*B35+1*B37+1*B38+1*B39+1*B40+1*B36</f>
        <v/>
      </c>
      <c r="C41">
        <f>1*C33+1*C34+1*C35+1*C37+1*C38+1*C39+1*C40+1*C36</f>
        <v/>
      </c>
    </row>
    <row r="42">
      <c r="A42" s="1" t="inlineStr">
        <is>
          <t>*Total equity and liabilities</t>
        </is>
      </c>
      <c r="B42">
        <f>1*B31+1*B41</f>
        <v/>
      </c>
      <c r="C42">
        <f>1*C31+1*C41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sub-classification of assets, liabilities and equity</t>
        </is>
      </c>
    </row>
    <row r="4">
      <c r="A4" t="inlineStr">
        <is>
          <t>Statement on sub-classification of assets, liabilities and equity</t>
        </is>
      </c>
    </row>
    <row r="5">
      <c r="A5" t="inlineStr">
        <is>
          <t>Sub-classification of assets, liabilities and equity</t>
        </is>
      </c>
    </row>
    <row r="6">
      <c r="A6" t="inlineStr">
        <is>
          <t>Property, plant and equipment</t>
        </is>
      </c>
    </row>
    <row r="7">
      <c r="A7" t="inlineStr">
        <is>
          <t>Land and buildings</t>
        </is>
      </c>
    </row>
    <row r="8">
      <c r="A8" t="inlineStr">
        <is>
          <t>Land</t>
        </is>
      </c>
    </row>
    <row r="9">
      <c r="A9" t="inlineStr">
        <is>
          <t>Freehold land</t>
        </is>
      </c>
    </row>
    <row r="10">
      <c r="A10" t="inlineStr">
        <is>
          <t>Long term leasehold land</t>
        </is>
      </c>
    </row>
    <row r="11">
      <c r="A11" t="inlineStr">
        <is>
          <t>Short term leasehold land</t>
        </is>
      </c>
    </row>
    <row r="12">
      <c r="A12" s="1" t="inlineStr">
        <is>
          <t>*Total land</t>
        </is>
      </c>
      <c r="B12">
        <f>1*B9+1*B10+1*B11</f>
        <v/>
      </c>
      <c r="C12">
        <f>1*C9+1*C10+1*C11</f>
        <v/>
      </c>
    </row>
    <row r="13">
      <c r="A13" t="inlineStr">
        <is>
          <t>Buildings</t>
        </is>
      </c>
    </row>
    <row r="14">
      <c r="A14" t="inlineStr">
        <is>
          <t>Building on freehold land</t>
        </is>
      </c>
    </row>
    <row r="15">
      <c r="A15" t="inlineStr">
        <is>
          <t>Building on long term leasehold land</t>
        </is>
      </c>
    </row>
    <row r="16">
      <c r="A16" t="inlineStr">
        <is>
          <t>Building on short term leasehold land</t>
        </is>
      </c>
    </row>
    <row r="17">
      <c r="A17" t="inlineStr">
        <is>
          <t>Leased properties</t>
        </is>
      </c>
    </row>
    <row r="18">
      <c r="A18" s="1" t="inlineStr">
        <is>
          <t>*Total buildings</t>
        </is>
      </c>
      <c r="B18">
        <f>1*B14+1*B15+1*B16+1*B17</f>
        <v/>
      </c>
      <c r="C18">
        <f>1*C14+1*C15+1*C16+1*C17</f>
        <v/>
      </c>
    </row>
    <row r="19">
      <c r="A19" s="1" t="inlineStr">
        <is>
          <t>*Total land and buildings</t>
        </is>
      </c>
      <c r="B19">
        <f>1*B12+1*B18</f>
        <v/>
      </c>
      <c r="C19">
        <f>1*C12+1*C18</f>
        <v/>
      </c>
    </row>
    <row r="20">
      <c r="A20" t="inlineStr">
        <is>
          <t>Machinery</t>
        </is>
      </c>
    </row>
    <row r="21">
      <c r="A21" t="inlineStr">
        <is>
          <t>Vehicles</t>
        </is>
      </c>
    </row>
    <row r="22">
      <c r="A22" t="inlineStr">
        <is>
          <t>Office equipment, fixture and fittings</t>
        </is>
      </c>
    </row>
    <row r="23">
      <c r="A23" t="inlineStr">
        <is>
          <t>Plant and equipment</t>
        </is>
      </c>
    </row>
    <row r="24">
      <c r="A24" t="inlineStr">
        <is>
          <t>Construction in progress/Asset work-in progress</t>
        </is>
      </c>
    </row>
    <row r="25">
      <c r="A25" t="inlineStr">
        <is>
          <t>Other property, plant and equipment</t>
        </is>
      </c>
    </row>
    <row r="26">
      <c r="A26" s="1" t="inlineStr">
        <is>
          <t>*Total property, plant and equipment</t>
        </is>
      </c>
      <c r="B26">
        <f>1*B19+1*B20+1*B21+1*B22+1*B23+1*B24+1*B25</f>
        <v/>
      </c>
      <c r="C26">
        <f>1*C19+1*C20+1*C21+1*C22+1*C23+1*C24+1*C25</f>
        <v/>
      </c>
    </row>
    <row r="27">
      <c r="A27" t="inlineStr">
        <is>
          <t>Investment properties</t>
        </is>
      </c>
    </row>
    <row r="28">
      <c r="A28" t="inlineStr">
        <is>
          <t>Freehold land</t>
        </is>
      </c>
    </row>
    <row r="29">
      <c r="A29" t="inlineStr">
        <is>
          <t>Long term leasehold land</t>
        </is>
      </c>
    </row>
    <row r="30">
      <c r="A30" t="inlineStr">
        <is>
          <t>Short term leasehold land</t>
        </is>
      </c>
    </row>
    <row r="31">
      <c r="A31" t="inlineStr">
        <is>
          <t>Buildings</t>
        </is>
      </c>
    </row>
    <row r="32">
      <c r="A32" t="inlineStr">
        <is>
          <t>Other investment property</t>
        </is>
      </c>
    </row>
    <row r="33">
      <c r="A33" s="1" t="inlineStr">
        <is>
          <t>*Total investment properties</t>
        </is>
      </c>
      <c r="B33">
        <f>1*B28+1*B29+1*B30+1*B31+1*B32</f>
        <v/>
      </c>
      <c r="C33">
        <f>1*C28+1*C29+1*C30+1*C31+1*C32</f>
        <v/>
      </c>
    </row>
    <row r="34">
      <c r="A34" t="inlineStr">
        <is>
          <t>Intangible assets and goodwill</t>
        </is>
      </c>
    </row>
    <row r="35">
      <c r="A35" t="inlineStr">
        <is>
          <t>Intangible assets other than goodwill</t>
        </is>
      </c>
    </row>
    <row r="36">
      <c r="A36" t="inlineStr">
        <is>
          <t>Copyrights, patents and other industrial property rights, service and operating rights</t>
        </is>
      </c>
    </row>
    <row r="37">
      <c r="A37" t="inlineStr">
        <is>
          <t>Other intangible assets</t>
        </is>
      </c>
    </row>
    <row r="38">
      <c r="A38" s="1" t="inlineStr">
        <is>
          <t>*Total intangible assets other than goodwill</t>
        </is>
      </c>
      <c r="B38">
        <f>1*B36+1*B37</f>
        <v/>
      </c>
      <c r="C38">
        <f>1*C36+1*C37</f>
        <v/>
      </c>
    </row>
    <row r="39">
      <c r="A39" t="inlineStr">
        <is>
          <t>Goodwill</t>
        </is>
      </c>
    </row>
    <row r="40">
      <c r="A40" s="1" t="inlineStr">
        <is>
          <t>*Total intangible assets and goodwill</t>
        </is>
      </c>
      <c r="B40">
        <f>1*B39+1*B38</f>
        <v/>
      </c>
      <c r="C40">
        <f>1*C39+1*C38</f>
        <v/>
      </c>
    </row>
    <row r="41">
      <c r="A41" t="inlineStr">
        <is>
          <t>Investments in subsidiaries</t>
        </is>
      </c>
    </row>
    <row r="42">
      <c r="A42" t="inlineStr">
        <is>
          <t>Unquoted shares, net of impairment losses</t>
        </is>
      </c>
    </row>
    <row r="43">
      <c r="A43" t="inlineStr">
        <is>
          <t>Quoted shares in Malaysia</t>
        </is>
      </c>
    </row>
    <row r="44">
      <c r="A44" t="inlineStr">
        <is>
          <t>Quoted shares outside Malaysia</t>
        </is>
      </c>
    </row>
    <row r="45">
      <c r="A45" t="inlineStr">
        <is>
          <t>Other investments in subsidiaries</t>
        </is>
      </c>
    </row>
    <row r="46">
      <c r="A46" s="1" t="inlineStr">
        <is>
          <t>*Total investments in subsidiaries</t>
        </is>
      </c>
      <c r="B46">
        <f>1*B42+1*B43+1*B44+1*B45</f>
        <v/>
      </c>
      <c r="C46">
        <f>1*C42+1*C43+1*C44+1*C45</f>
        <v/>
      </c>
    </row>
    <row r="47">
      <c r="A47" t="inlineStr">
        <is>
          <t>Investments in associates</t>
        </is>
      </c>
    </row>
    <row r="48">
      <c r="A48" t="inlineStr">
        <is>
          <t>Unquoted shares, net of impairment losses</t>
        </is>
      </c>
    </row>
    <row r="49">
      <c r="A49" t="inlineStr">
        <is>
          <t>Quoted shares in Malaysia</t>
        </is>
      </c>
    </row>
    <row r="50">
      <c r="A50" t="inlineStr">
        <is>
          <t>Quoted shares outside Malaysia</t>
        </is>
      </c>
    </row>
    <row r="51">
      <c r="A51" t="inlineStr">
        <is>
          <t>Share of post-acquisition profits and reserves</t>
        </is>
      </c>
    </row>
    <row r="52">
      <c r="A52" t="inlineStr">
        <is>
          <t>Other investments in associates</t>
        </is>
      </c>
    </row>
    <row r="53">
      <c r="A53" s="1" t="inlineStr">
        <is>
          <t>*Total investments in associates</t>
        </is>
      </c>
      <c r="B53">
        <f>1*B48+1*B49+1*B50+1*B51+1*B52</f>
        <v/>
      </c>
      <c r="C53">
        <f>1*C48+1*C49+1*C50+1*C51+1*C52</f>
        <v/>
      </c>
    </row>
    <row r="54">
      <c r="A54" t="inlineStr">
        <is>
          <t>Investments in joint ventures</t>
        </is>
      </c>
    </row>
    <row r="55">
      <c r="A55" t="inlineStr">
        <is>
          <t>Unquoted shares, net of impairment losses</t>
        </is>
      </c>
    </row>
    <row r="56">
      <c r="A56" t="inlineStr">
        <is>
          <t>Quoted shares in Malaysia</t>
        </is>
      </c>
    </row>
    <row r="57">
      <c r="A57" t="inlineStr">
        <is>
          <t>Quoted shares outside Malaysia</t>
        </is>
      </c>
    </row>
    <row r="58">
      <c r="A58" t="inlineStr">
        <is>
          <t>Share of post-acquisition profits and reserves</t>
        </is>
      </c>
    </row>
    <row r="59">
      <c r="A59" t="inlineStr">
        <is>
          <t>Other investments in joint ventures</t>
        </is>
      </c>
    </row>
    <row r="60">
      <c r="A60" s="1" t="inlineStr">
        <is>
          <t>*Total of investments in joint ventures</t>
        </is>
      </c>
      <c r="B60">
        <f>1*B55+1*B56+1*B57+1*B58+1*B59</f>
        <v/>
      </c>
      <c r="C60">
        <f>1*C55+1*C56+1*C57+1*C58+1*C59</f>
        <v/>
      </c>
    </row>
    <row r="61">
      <c r="A61" t="inlineStr">
        <is>
          <t>Inventories</t>
        </is>
      </c>
    </row>
    <row r="62">
      <c r="A62" t="inlineStr">
        <is>
          <t>Raw materials</t>
        </is>
      </c>
    </row>
    <row r="63">
      <c r="A63" t="inlineStr">
        <is>
          <t>Work in progress</t>
        </is>
      </c>
    </row>
    <row r="64">
      <c r="A64" t="inlineStr">
        <is>
          <t>Finished goods</t>
        </is>
      </c>
    </row>
    <row r="65">
      <c r="A65" t="inlineStr">
        <is>
          <t>Spare parts</t>
        </is>
      </c>
    </row>
    <row r="66">
      <c r="A66" t="inlineStr">
        <is>
          <t>Other inventories</t>
        </is>
      </c>
    </row>
    <row r="67">
      <c r="A67" s="1" t="inlineStr">
        <is>
          <t>*Total inventories</t>
        </is>
      </c>
      <c r="B67">
        <f>1*B62+1*B63+1*B64+1*B65+1*B66</f>
        <v/>
      </c>
      <c r="C67">
        <f>1*C62+1*C63+1*C64+1*C65+1*C66</f>
        <v/>
      </c>
    </row>
    <row r="68">
      <c r="A68" t="inlineStr">
        <is>
          <t>Trade and other receivables</t>
        </is>
      </c>
    </row>
    <row r="69">
      <c r="A69" t="inlineStr">
        <is>
          <t>Trade receivables</t>
        </is>
      </c>
    </row>
    <row r="70">
      <c r="A70" t="inlineStr">
        <is>
          <t>Trade receivables due from contract customers</t>
        </is>
      </c>
    </row>
    <row r="71">
      <c r="A71" t="inlineStr">
        <is>
          <t>Trade receivables due from holding company</t>
        </is>
      </c>
    </row>
    <row r="72">
      <c r="A72" t="inlineStr">
        <is>
          <t>Trade receivables due from subsidiaries</t>
        </is>
      </c>
    </row>
    <row r="73">
      <c r="A73" t="inlineStr">
        <is>
          <t>Trade receivables from associates</t>
        </is>
      </c>
    </row>
    <row r="74">
      <c r="A74" t="inlineStr">
        <is>
          <t>Trade receivables due from joint ventures</t>
        </is>
      </c>
    </row>
    <row r="75">
      <c r="A75" t="inlineStr">
        <is>
          <t>Trade receivables due from other related parties</t>
        </is>
      </c>
    </row>
    <row r="76">
      <c r="A76" t="inlineStr">
        <is>
          <t>Other trade receivables</t>
        </is>
      </c>
    </row>
    <row r="77">
      <c r="A77" s="1" t="inlineStr">
        <is>
          <t>*Total trade receivables</t>
        </is>
      </c>
      <c r="B77">
        <f>1*B70+1*B71+1*B72+1*B73+1*B74+1*B75+1*B76</f>
        <v/>
      </c>
      <c r="C77">
        <f>1*C70+1*C71+1*C72+1*C73+1*C74+1*C75+1*C76</f>
        <v/>
      </c>
    </row>
    <row r="78">
      <c r="A78" t="inlineStr">
        <is>
          <t>Other receivables</t>
        </is>
      </c>
    </row>
    <row r="79">
      <c r="A79" t="inlineStr">
        <is>
          <t>Other receivables due from related parties</t>
        </is>
      </c>
    </row>
    <row r="80">
      <c r="A80" t="inlineStr">
        <is>
          <t>Other receivables due from holding company</t>
        </is>
      </c>
    </row>
    <row r="81">
      <c r="A81" t="inlineStr">
        <is>
          <t>Other receivables due from subsidiaries</t>
        </is>
      </c>
    </row>
    <row r="82">
      <c r="A82" t="inlineStr">
        <is>
          <t>Other receivables due from associates</t>
        </is>
      </c>
    </row>
    <row r="83">
      <c r="A83" t="inlineStr">
        <is>
          <t>Other receivables due from joint ventures</t>
        </is>
      </c>
    </row>
    <row r="84">
      <c r="A84" t="inlineStr">
        <is>
          <t>Other receivables due from other related parties</t>
        </is>
      </c>
    </row>
    <row r="85">
      <c r="A85" s="1" t="inlineStr">
        <is>
          <t>*Total other receivables due from related parties</t>
        </is>
      </c>
      <c r="B85">
        <f>1*B80+1*B81+1*B82+1*B83+1*B84</f>
        <v/>
      </c>
      <c r="C85">
        <f>1*C80+1*C81+1*C82+1*C83+1*C84</f>
        <v/>
      </c>
    </row>
    <row r="86">
      <c r="A86" t="inlineStr">
        <is>
          <t>Prepayments and accrued income</t>
        </is>
      </c>
    </row>
    <row r="87">
      <c r="A87" t="inlineStr">
        <is>
          <t>Prepayments</t>
        </is>
      </c>
    </row>
    <row r="88">
      <c r="A88" t="inlineStr">
        <is>
          <t>Accrued income</t>
        </is>
      </c>
    </row>
    <row r="89">
      <c r="A89" s="1" t="inlineStr">
        <is>
          <t>*Total prepayments and accrued income</t>
        </is>
      </c>
      <c r="B89">
        <f>1*B87+1*B88</f>
        <v/>
      </c>
      <c r="C89">
        <f>1*C87+1*C88</f>
        <v/>
      </c>
    </row>
    <row r="90">
      <c r="A90" t="inlineStr">
        <is>
          <t>Non-trade receivables</t>
        </is>
      </c>
    </row>
    <row r="91">
      <c r="A91" t="inlineStr">
        <is>
          <t>Interest receivables</t>
        </is>
      </c>
    </row>
    <row r="92">
      <c r="A92" t="inlineStr">
        <is>
          <t>Deposits</t>
        </is>
      </c>
    </row>
    <row r="93">
      <c r="A93" t="inlineStr">
        <is>
          <t>Dividends receivables</t>
        </is>
      </c>
    </row>
    <row r="94">
      <c r="A94" t="inlineStr">
        <is>
          <t>Lease and hire purchase receivables</t>
        </is>
      </c>
    </row>
    <row r="95">
      <c r="A95" t="inlineStr">
        <is>
          <t>Other non-trade receivables</t>
        </is>
      </c>
    </row>
    <row r="96">
      <c r="A96" s="1" t="inlineStr">
        <is>
          <t>*Total non-trade receivables</t>
        </is>
      </c>
      <c r="B96">
        <f>1*B91+1*B92+1*B93+1*B94+1*B95</f>
        <v/>
      </c>
      <c r="C96">
        <f>1*C91+1*C92+1*C93+1*C94+1*C95</f>
        <v/>
      </c>
    </row>
    <row r="97">
      <c r="A97" s="1" t="inlineStr">
        <is>
          <t>*Total other receivables</t>
        </is>
      </c>
      <c r="B97">
        <f>1*B85+1*B89+1*B96</f>
        <v/>
      </c>
      <c r="C97">
        <f>1*C85+1*C89+1*C96</f>
        <v/>
      </c>
    </row>
    <row r="98">
      <c r="A98" s="1" t="inlineStr">
        <is>
          <t>*Total trade and other receivables</t>
        </is>
      </c>
      <c r="B98">
        <f>1*B77+1*B97</f>
        <v/>
      </c>
      <c r="C98">
        <f>1*C77+1*C97</f>
        <v/>
      </c>
    </row>
    <row r="99">
      <c r="A99" t="inlineStr">
        <is>
          <t>Cash and cash equivalents</t>
        </is>
      </c>
    </row>
    <row r="100">
      <c r="A100" t="inlineStr">
        <is>
          <t>Cash</t>
        </is>
      </c>
    </row>
    <row r="101">
      <c r="A101" t="inlineStr">
        <is>
          <t>Cash in hand</t>
        </is>
      </c>
    </row>
    <row r="102">
      <c r="A102" t="inlineStr">
        <is>
          <t>Balances with banks</t>
        </is>
      </c>
    </row>
    <row r="103">
      <c r="A103" s="1" t="inlineStr">
        <is>
          <t>*Total cash</t>
        </is>
      </c>
      <c r="B103">
        <f>1*B101+1*B102</f>
        <v/>
      </c>
      <c r="C103">
        <f>1*C101+1*C102</f>
        <v/>
      </c>
    </row>
    <row r="104">
      <c r="A104" t="inlineStr">
        <is>
          <t>Cash equivalents</t>
        </is>
      </c>
    </row>
    <row r="105">
      <c r="A105" t="inlineStr">
        <is>
          <t>Deposits placed with licensed banks</t>
        </is>
      </c>
    </row>
    <row r="106">
      <c r="A106" t="inlineStr">
        <is>
          <t>Deposit placed with other corporations</t>
        </is>
      </c>
    </row>
    <row r="107">
      <c r="A107" t="inlineStr">
        <is>
          <t>Fixed deposits with financial institutions</t>
        </is>
      </c>
    </row>
    <row r="108">
      <c r="A108" t="inlineStr">
        <is>
          <t>Cash equivalents with other financial institutions</t>
        </is>
      </c>
    </row>
    <row r="109">
      <c r="A109" t="inlineStr">
        <is>
          <t>Short-term deposits</t>
        </is>
      </c>
    </row>
    <row r="110">
      <c r="A110" t="inlineStr">
        <is>
          <t>Short-term investments</t>
        </is>
      </c>
    </row>
    <row r="111">
      <c r="A111" t="inlineStr">
        <is>
          <t>Other banking arrangements</t>
        </is>
      </c>
    </row>
    <row r="112">
      <c r="A112" s="1" t="inlineStr">
        <is>
          <t>*Total cash equivalents</t>
        </is>
      </c>
      <c r="B112">
        <f>1*B105+1*B106+1*B107+1*B108+1*B109+1*B110+1*B111</f>
        <v/>
      </c>
      <c r="C112">
        <f>1*C105+1*C106+1*C107+1*C108+1*C109+1*C110+1*C111</f>
        <v/>
      </c>
    </row>
    <row r="113">
      <c r="A113" t="inlineStr">
        <is>
          <t>Other cash and cash equivalents</t>
        </is>
      </c>
    </row>
    <row r="114">
      <c r="A114" s="1" t="inlineStr">
        <is>
          <t>*Total cash and cash equivalents</t>
        </is>
      </c>
      <c r="B114">
        <f>1*B103+1*B112+1*B113</f>
        <v/>
      </c>
      <c r="C114">
        <f>1*C103+1*C112+1*C113</f>
        <v/>
      </c>
    </row>
    <row r="115">
      <c r="A115" t="inlineStr">
        <is>
          <t>Issued capital</t>
        </is>
      </c>
    </row>
    <row r="116">
      <c r="A116" t="inlineStr">
        <is>
          <t>Capital from ordinary shares</t>
        </is>
      </c>
    </row>
    <row r="117">
      <c r="A117" t="inlineStr">
        <is>
          <t>Capital from redeemable preference shares</t>
        </is>
      </c>
    </row>
    <row r="118">
      <c r="A118" t="inlineStr">
        <is>
          <t>Capital from non-redeemable preference shares</t>
        </is>
      </c>
    </row>
    <row r="119">
      <c r="A119" s="1" t="inlineStr">
        <is>
          <t>*Total issued capital</t>
        </is>
      </c>
      <c r="B119">
        <f>1*B116+1*B117+1*B118</f>
        <v/>
      </c>
      <c r="C119">
        <f>1*C116+1*C117+1*C118</f>
        <v/>
      </c>
    </row>
    <row r="120">
      <c r="A120" t="inlineStr">
        <is>
          <t>Reserves</t>
        </is>
      </c>
    </row>
    <row r="121">
      <c r="A121" t="inlineStr">
        <is>
          <t>Non-distributable</t>
        </is>
      </c>
    </row>
    <row r="122">
      <c r="A122" t="inlineStr">
        <is>
          <t>Capital reserve</t>
        </is>
      </c>
    </row>
    <row r="123">
      <c r="A123" t="inlineStr">
        <is>
          <t>Foreign currency translation reserve</t>
        </is>
      </c>
    </row>
    <row r="124">
      <c r="A124" t="inlineStr">
        <is>
          <t>Revaluation surplus</t>
        </is>
      </c>
    </row>
    <row r="125">
      <c r="A125" t="inlineStr">
        <is>
          <t>Other non-distributable reserves</t>
        </is>
      </c>
    </row>
    <row r="126">
      <c r="A126" s="1" t="inlineStr">
        <is>
          <t>*Total non-distributable reserves</t>
        </is>
      </c>
      <c r="B126">
        <f>1*B122+1*B123+1*B124+1*B125</f>
        <v/>
      </c>
      <c r="C126">
        <f>1*C122+1*C123+1*C124+1*C125</f>
        <v/>
      </c>
    </row>
    <row r="127">
      <c r="A127" t="inlineStr">
        <is>
          <t>Distributable</t>
        </is>
      </c>
    </row>
    <row r="128">
      <c r="A128" t="inlineStr">
        <is>
          <t>Other distributable reserves</t>
        </is>
      </c>
    </row>
    <row r="129">
      <c r="A129" s="1" t="inlineStr">
        <is>
          <t>*Total distributable reserves</t>
        </is>
      </c>
      <c r="B129">
        <f>1*B128</f>
        <v/>
      </c>
      <c r="C129">
        <f>1*C128</f>
        <v/>
      </c>
    </row>
    <row r="130">
      <c r="A130" s="1" t="inlineStr">
        <is>
          <t>*Total reserves</t>
        </is>
      </c>
      <c r="B130">
        <f>1*B126+1*B129</f>
        <v/>
      </c>
      <c r="C130">
        <f>1*C126+1*C129</f>
        <v/>
      </c>
    </row>
    <row r="131">
      <c r="A131" t="inlineStr">
        <is>
          <t>Equity - others components</t>
        </is>
      </c>
    </row>
    <row r="132">
      <c r="A132" t="inlineStr">
        <is>
          <t>Perpetual Sukuk</t>
        </is>
      </c>
    </row>
    <row r="133">
      <c r="A133" t="inlineStr">
        <is>
          <t>Equity component of Irredeemable Convertible Unsecured Loan Stocks (ICULS)</t>
        </is>
      </c>
    </row>
    <row r="134">
      <c r="A134" t="inlineStr">
        <is>
          <t>Equity component of preference shares</t>
        </is>
      </c>
    </row>
    <row r="135">
      <c r="A135" t="inlineStr">
        <is>
          <t>Equity components of other financial instruments</t>
        </is>
      </c>
    </row>
    <row r="136">
      <c r="A136" s="1" t="inlineStr">
        <is>
          <t>*Total equity - other components</t>
        </is>
      </c>
      <c r="B136">
        <f>1*B132+1*B133+1*B134+1*B135</f>
        <v/>
      </c>
      <c r="C136">
        <f>1*C132+1*C133+1*C134+1*C135</f>
        <v/>
      </c>
    </row>
    <row r="137">
      <c r="A137" t="inlineStr">
        <is>
          <t>Loans and Borrowings</t>
        </is>
      </c>
    </row>
    <row r="138">
      <c r="A138" t="inlineStr">
        <is>
          <t>Secured bank loans</t>
        </is>
      </c>
    </row>
    <row r="139">
      <c r="A139" t="inlineStr">
        <is>
          <t>Unsecured bank loans</t>
        </is>
      </c>
    </row>
    <row r="140">
      <c r="A140" t="inlineStr">
        <is>
          <t>Secured convertible notes</t>
        </is>
      </c>
    </row>
    <row r="141">
      <c r="A141" t="inlineStr">
        <is>
          <t>Unsecured convertible notes</t>
        </is>
      </c>
    </row>
    <row r="142">
      <c r="A142" t="inlineStr">
        <is>
          <t>Bank overdrafts</t>
        </is>
      </c>
    </row>
    <row r="143">
      <c r="A143" t="inlineStr">
        <is>
          <t>Unsecured bank overdrafts</t>
        </is>
      </c>
    </row>
    <row r="144">
      <c r="A144" t="inlineStr">
        <is>
          <t>Redeemable preference shares</t>
        </is>
      </c>
    </row>
    <row r="145">
      <c r="A145" t="inlineStr">
        <is>
          <t>Finance lease liabilities</t>
        </is>
      </c>
    </row>
    <row r="146">
      <c r="A146" t="inlineStr">
        <is>
          <t>Loan from holding company</t>
        </is>
      </c>
    </row>
    <row r="147">
      <c r="A147" t="inlineStr">
        <is>
          <t>Loan from subsidiaries</t>
        </is>
      </c>
    </row>
    <row r="148">
      <c r="A148" t="inlineStr">
        <is>
          <t>Loan from associates</t>
        </is>
      </c>
    </row>
    <row r="149">
      <c r="A149" t="inlineStr">
        <is>
          <t>Loan from joint venture</t>
        </is>
      </c>
    </row>
    <row r="150">
      <c r="A150" t="inlineStr">
        <is>
          <t>Loan from other related companies</t>
        </is>
      </c>
    </row>
    <row r="151">
      <c r="A151" t="inlineStr">
        <is>
          <t>Other secured bank facilities</t>
        </is>
      </c>
    </row>
    <row r="152">
      <c r="A152" t="inlineStr">
        <is>
          <t>Other unsecured bank facilities</t>
        </is>
      </c>
    </row>
    <row r="153">
      <c r="A153" t="inlineStr">
        <is>
          <t>Other borrowings</t>
        </is>
      </c>
    </row>
    <row r="154">
      <c r="A154" s="1" t="inlineStr">
        <is>
          <t>*Total loans and borrowings</t>
        </is>
      </c>
      <c r="B154">
        <f>1*B138+1*B139+1*B140+1*B141+1*B144+1*B145+1*B146+1*B147+1*B148+1*B149+1*B150+1*B151+1*B152+1*B142+1*B143+1*B153</f>
        <v/>
      </c>
      <c r="C154">
        <f>1*C138+1*C139+1*C140+1*C141+1*C144+1*C145+1*C146+1*C147+1*C148+1*C149+1*C150+1*C151+1*C152+1*C142+1*C143+1*C153</f>
        <v/>
      </c>
    </row>
    <row r="155">
      <c r="A155" t="inlineStr">
        <is>
          <t>Employee benefits</t>
        </is>
      </c>
    </row>
    <row r="156">
      <c r="A156" t="inlineStr">
        <is>
          <t>Cash-settled share-based payment liability</t>
        </is>
      </c>
    </row>
    <row r="157">
      <c r="A157" t="inlineStr">
        <is>
          <t>Employment termination benefits</t>
        </is>
      </c>
    </row>
    <row r="158">
      <c r="A158" t="inlineStr">
        <is>
          <t>Provision for unconsumed leave</t>
        </is>
      </c>
    </row>
    <row r="159">
      <c r="A159" t="inlineStr">
        <is>
          <t>Defined contribution plan</t>
        </is>
      </c>
    </row>
    <row r="160">
      <c r="A160" t="inlineStr">
        <is>
          <t>Defined benefit plan</t>
        </is>
      </c>
    </row>
    <row r="161">
      <c r="A161" t="inlineStr">
        <is>
          <t>Other non-current employee benefits</t>
        </is>
      </c>
    </row>
    <row r="162">
      <c r="A162" s="1" t="inlineStr">
        <is>
          <t>*Total employee benefits</t>
        </is>
      </c>
      <c r="B162">
        <f>1*B156+1*B157+1*B158+1*B159+1*B160+1*B161</f>
        <v/>
      </c>
      <c r="C162">
        <f>1*C156+1*C157+1*C158+1*C159+1*C160+1*C161</f>
        <v/>
      </c>
    </row>
    <row r="163">
      <c r="A163" t="inlineStr">
        <is>
          <t>Provisions</t>
        </is>
      </c>
    </row>
    <row r="164">
      <c r="A164" t="inlineStr">
        <is>
          <t>Warranty provision</t>
        </is>
      </c>
    </row>
    <row r="165">
      <c r="A165" t="inlineStr">
        <is>
          <t>Restructuring provision</t>
        </is>
      </c>
    </row>
    <row r="166">
      <c r="A166" t="inlineStr">
        <is>
          <t>Legal proceedings provision</t>
        </is>
      </c>
    </row>
    <row r="167">
      <c r="A167" t="inlineStr">
        <is>
          <t>Onerous contracts provision</t>
        </is>
      </c>
    </row>
    <row r="168">
      <c r="A168" t="inlineStr">
        <is>
          <t>Provisions for decommissioning, restoration and rehabilitation costs</t>
        </is>
      </c>
    </row>
    <row r="169">
      <c r="A169" t="inlineStr">
        <is>
          <t>Other provisions</t>
        </is>
      </c>
    </row>
    <row r="170">
      <c r="A170" s="1" t="inlineStr">
        <is>
          <t>*Total provisions</t>
        </is>
      </c>
      <c r="B170">
        <f>1*B164+1*B165+1*B166+1*B167+1*B168+1*B169</f>
        <v/>
      </c>
      <c r="C170">
        <f>1*C164+1*C165+1*C166+1*C167+1*C168+1*C169</f>
        <v/>
      </c>
    </row>
    <row r="171">
      <c r="A171" t="inlineStr">
        <is>
          <t>Trade and other payables</t>
        </is>
      </c>
    </row>
    <row r="172">
      <c r="A172" t="inlineStr">
        <is>
          <t>Trade payables</t>
        </is>
      </c>
    </row>
    <row r="173">
      <c r="A173" t="inlineStr">
        <is>
          <t>Trade payable due to contract suppliers</t>
        </is>
      </c>
    </row>
    <row r="174">
      <c r="A174" t="inlineStr">
        <is>
          <t>Trade payables due to holding company</t>
        </is>
      </c>
    </row>
    <row r="175">
      <c r="A175" t="inlineStr">
        <is>
          <t>Trade payables due to subsidiaries</t>
        </is>
      </c>
    </row>
    <row r="176">
      <c r="A176" t="inlineStr">
        <is>
          <t>Trade payables due to associates</t>
        </is>
      </c>
    </row>
    <row r="177">
      <c r="A177" t="inlineStr">
        <is>
          <t>Trade payables due to joint ventures</t>
        </is>
      </c>
    </row>
    <row r="178">
      <c r="A178" t="inlineStr">
        <is>
          <t>Trade payables due to other related parties</t>
        </is>
      </c>
    </row>
    <row r="179">
      <c r="A179" t="inlineStr">
        <is>
          <t>Other trade payables</t>
        </is>
      </c>
    </row>
    <row r="180">
      <c r="A180" s="1" t="inlineStr">
        <is>
          <t>*Total trade payables</t>
        </is>
      </c>
      <c r="B180">
        <f>1*B173+1*B174+1*B175+1*B176+1*B177+1*B178+1*B179</f>
        <v/>
      </c>
      <c r="C180">
        <f>1*C173+1*C174+1*C175+1*C176+1*C177+1*C178+1*C179</f>
        <v/>
      </c>
    </row>
    <row r="181">
      <c r="A181" t="inlineStr">
        <is>
          <t>Other payables</t>
        </is>
      </c>
    </row>
    <row r="182">
      <c r="A182" t="inlineStr">
        <is>
          <t>Other payables due to related parties</t>
        </is>
      </c>
    </row>
    <row r="183">
      <c r="A183" t="inlineStr">
        <is>
          <t>Other payables due to holding company</t>
        </is>
      </c>
    </row>
    <row r="184">
      <c r="A184" t="inlineStr">
        <is>
          <t>Other payables due to subsidiaries</t>
        </is>
      </c>
    </row>
    <row r="185">
      <c r="A185" t="inlineStr">
        <is>
          <t>Other payables due to associates</t>
        </is>
      </c>
    </row>
    <row r="186">
      <c r="A186" t="inlineStr">
        <is>
          <t>Other payables due to joint ventures</t>
        </is>
      </c>
    </row>
    <row r="187">
      <c r="A187" t="inlineStr">
        <is>
          <t>Other payables due to other related parties</t>
        </is>
      </c>
    </row>
    <row r="188">
      <c r="A188" s="1" t="inlineStr">
        <is>
          <t>*Total other payables due to related parties</t>
        </is>
      </c>
      <c r="B188">
        <f>1*B183+1*B184+1*B185+1*B186+1*B187</f>
        <v/>
      </c>
      <c r="C188">
        <f>1*C183+1*C184+1*C185+1*C186+1*C187</f>
        <v/>
      </c>
    </row>
    <row r="189">
      <c r="A189" t="inlineStr">
        <is>
          <t>Non-trade payables</t>
        </is>
      </c>
    </row>
    <row r="190">
      <c r="A190" t="inlineStr">
        <is>
          <t>Deferred income</t>
        </is>
      </c>
    </row>
    <row r="191">
      <c r="A191" t="inlineStr">
        <is>
          <t>Accruals</t>
        </is>
      </c>
    </row>
    <row r="192">
      <c r="A192" t="inlineStr">
        <is>
          <t>Retention payables</t>
        </is>
      </c>
    </row>
    <row r="193">
      <c r="A193" t="inlineStr">
        <is>
          <t>Other non-trade payables</t>
        </is>
      </c>
    </row>
    <row r="194">
      <c r="A194" s="1" t="inlineStr">
        <is>
          <t>*Total non-trade payables</t>
        </is>
      </c>
      <c r="B194">
        <f>1*B190+1*B191+1*B192+1*B193</f>
        <v/>
      </c>
      <c r="C194">
        <f>1*C190+1*C191+1*C192+1*C193</f>
        <v/>
      </c>
    </row>
    <row r="195">
      <c r="A195" s="1" t="inlineStr">
        <is>
          <t>*Total other payables</t>
        </is>
      </c>
      <c r="B195">
        <f>1*B188+1*B194</f>
        <v/>
      </c>
      <c r="C195">
        <f>1*C188+1*C194</f>
        <v/>
      </c>
    </row>
    <row r="196">
      <c r="A196" s="1" t="inlineStr">
        <is>
          <t>*Total trade and other payables</t>
        </is>
      </c>
      <c r="B196">
        <f>1*B180+1*B195</f>
        <v/>
      </c>
      <c r="C196">
        <f>1*C180+1*C195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2026-04-23T07:24:56Z</dcterms:created>
  <dcterms:modified xmlns:dcterms="http://purl.org/dc/terms/" xmlns:xsi="http://www.w3.org/2001/XMLSchema-instance" xsi:type="dcterms:W3CDTF">2026-04-23T07:24:56Z</dcterms:modified>
</cp:coreProperties>
</file>