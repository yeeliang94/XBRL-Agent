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0" customWidth="1" min="16" max="16"/>
  </cols>
  <sheetData>
    <row r="1">
      <c r="B1" t="inlineStr">
        <is>
          <t>01/01/YYYY - 31/12/YYYY</t>
        </is>
      </c>
      <c r="P1" t="inlineStr">
        <is>
          <t>Source</t>
        </is>
      </c>
    </row>
    <row r="2">
      <c r="B2" t="inlineStr">
        <is>
          <t>Issued capital</t>
        </is>
      </c>
      <c r="C2" t="inlineStr">
        <is>
          <t>Retained earnings</t>
        </is>
      </c>
      <c r="D2" t="inlineStr">
        <is>
          <t>Treasury shares</t>
        </is>
      </c>
      <c r="E2" t="inlineStr">
        <is>
          <t>Capital reserve</t>
        </is>
      </c>
      <c r="F2" t="inlineStr">
        <is>
          <t>Foreign currency translation reserve</t>
        </is>
      </c>
      <c r="G2" t="inlineStr">
        <is>
          <t>Revaluation surplus</t>
        </is>
      </c>
      <c r="H2" t="inlineStr">
        <is>
          <t>Other non-distributable reserves</t>
        </is>
      </c>
      <c r="I2" t="inlineStr">
        <is>
          <t>Sub-total of non-distributable reserves</t>
        </is>
      </c>
      <c r="J2" t="inlineStr">
        <is>
          <t>Other distributable reserves</t>
        </is>
      </c>
      <c r="K2" t="inlineStr">
        <is>
          <t>Reserves</t>
        </is>
      </c>
      <c r="L2" t="inlineStr">
        <is>
          <t>Equity attributable to owners of parent</t>
        </is>
      </c>
      <c r="M2" t="inlineStr">
        <is>
          <t>Equity, others components</t>
        </is>
      </c>
      <c r="N2" t="inlineStr">
        <is>
          <t>Non-controlling interests</t>
        </is>
      </c>
      <c r="O2" t="inlineStr">
        <is>
          <t>Total</t>
        </is>
      </c>
    </row>
    <row r="3">
      <c r="A3" s="1" t="inlineStr">
        <is>
          <t>Company - Current period</t>
        </is>
      </c>
    </row>
    <row r="4">
      <c r="A4" s="2" t="inlineStr">
        <is>
          <t>Disclosure of changes in equity</t>
        </is>
      </c>
    </row>
    <row r="5">
      <c r="A5" s="2" t="inlineStr">
        <is>
          <t>Statement of changes in equity</t>
        </is>
      </c>
    </row>
    <row r="6">
      <c r="A6" t="inlineStr">
        <is>
          <t>Equity at beginning of period</t>
        </is>
      </c>
      <c r="I6">
        <f>E6+F6+G6+H6</f>
        <v/>
      </c>
      <c r="K6">
        <f>I6+J6</f>
        <v/>
      </c>
      <c r="L6">
        <f>B6+C6+D6+K6</f>
        <v/>
      </c>
      <c r="O6">
        <f>L6+M6+N6</f>
        <v/>
      </c>
    </row>
    <row r="7">
      <c r="A7" t="inlineStr">
        <is>
          <t>Impact of changes in accounting policies</t>
        </is>
      </c>
      <c r="I7">
        <f>E7+F7+G7+H7</f>
        <v/>
      </c>
      <c r="K7">
        <f>I7+J7</f>
        <v/>
      </c>
      <c r="L7">
        <f>B7+C7+D7+K7</f>
        <v/>
      </c>
      <c r="O7">
        <f>L7+M7+N7</f>
        <v/>
      </c>
    </row>
    <row r="8">
      <c r="A8" t="inlineStr">
        <is>
          <t>Equity at beginning of period, restated</t>
        </is>
      </c>
      <c r="I8">
        <f>E8+F8+G8+H8</f>
        <v/>
      </c>
      <c r="K8">
        <f>I8+J8</f>
        <v/>
      </c>
      <c r="L8">
        <f>B8+C8+D8+K8</f>
        <v/>
      </c>
      <c r="O8">
        <f>L8+M8+N8</f>
        <v/>
      </c>
    </row>
    <row r="9">
      <c r="A9" s="2" t="inlineStr">
        <is>
          <t>Changes in equity</t>
        </is>
      </c>
    </row>
    <row r="10">
      <c r="A10" s="2" t="inlineStr">
        <is>
          <t>Comprehensive income</t>
        </is>
      </c>
    </row>
    <row r="11">
      <c r="A11" t="inlineStr">
        <is>
          <t>Profit (loss)</t>
        </is>
      </c>
      <c r="I11">
        <f>E11+F11+G11+H11</f>
        <v/>
      </c>
      <c r="K11">
        <f>I11+J11</f>
        <v/>
      </c>
      <c r="L11">
        <f>B11+C11+D11+K11</f>
        <v/>
      </c>
      <c r="O11">
        <f>L11+M11+N11</f>
        <v/>
      </c>
    </row>
    <row r="12">
      <c r="A12" t="inlineStr">
        <is>
          <t>Total other comprehensive income</t>
        </is>
      </c>
      <c r="I12">
        <f>E12+F12+G12+H12</f>
        <v/>
      </c>
      <c r="K12">
        <f>I12+J12</f>
        <v/>
      </c>
      <c r="L12">
        <f>B12+C12+D12+K12</f>
        <v/>
      </c>
      <c r="O12">
        <f>L12+M12+N12</f>
        <v/>
      </c>
    </row>
    <row r="13">
      <c r="A13" s="1" t="inlineStr">
        <is>
          <t>*Total comprehensive income</t>
        </is>
      </c>
      <c r="B13">
        <f>1*B11+1*B12</f>
        <v/>
      </c>
      <c r="C13">
        <f>1*C11+1*C12</f>
        <v/>
      </c>
      <c r="D13">
        <f>1*D11+1*D12</f>
        <v/>
      </c>
      <c r="E13">
        <f>1*E11+1*E12</f>
        <v/>
      </c>
      <c r="F13">
        <f>1*F11+1*F12</f>
        <v/>
      </c>
      <c r="G13">
        <f>1*G11+1*G12</f>
        <v/>
      </c>
      <c r="H13">
        <f>1*H11+1*H12</f>
        <v/>
      </c>
      <c r="I13">
        <f>E13+F13+G13+H13</f>
        <v/>
      </c>
      <c r="J13">
        <f>1*J11+1*J12</f>
        <v/>
      </c>
      <c r="K13">
        <f>I13+J13</f>
        <v/>
      </c>
      <c r="L13">
        <f>B13+C13+D13+K13</f>
        <v/>
      </c>
      <c r="M13">
        <f>1*M11+1*M12</f>
        <v/>
      </c>
      <c r="N13">
        <f>1*N11+1*N12</f>
        <v/>
      </c>
      <c r="O13">
        <f>L13+M13+N13</f>
        <v/>
      </c>
    </row>
    <row r="14">
      <c r="A14" s="2" t="inlineStr">
        <is>
          <t>Contributions by and distributions to owners</t>
        </is>
      </c>
    </row>
    <row r="15">
      <c r="A15" t="inlineStr">
        <is>
          <t>Acquisition (dilution) of equity interest in subsidiaries</t>
        </is>
      </c>
      <c r="I15">
        <f>E15+F15+G15+H15</f>
        <v/>
      </c>
      <c r="K15">
        <f>I15+J15</f>
        <v/>
      </c>
      <c r="L15">
        <f>B15+C15+D15+K15</f>
        <v/>
      </c>
      <c r="O15">
        <f>L15+M15+N15</f>
        <v/>
      </c>
    </row>
    <row r="16">
      <c r="A16" t="inlineStr">
        <is>
          <t>Arising from conversion of Irredeemable Convertible Unsecured Loan Stock (ICULS)</t>
        </is>
      </c>
      <c r="I16">
        <f>E16+F16+G16+H16</f>
        <v/>
      </c>
      <c r="K16">
        <f>I16+J16</f>
        <v/>
      </c>
      <c r="L16">
        <f>B16+C16+D16+K16</f>
        <v/>
      </c>
      <c r="O16">
        <f>L16+M16+N16</f>
        <v/>
      </c>
    </row>
    <row r="17">
      <c r="A17" t="inlineStr">
        <is>
          <t>Dividends paid</t>
        </is>
      </c>
      <c r="I17">
        <f>E17+F17+G17+H17</f>
        <v/>
      </c>
      <c r="K17">
        <f>I17+J17</f>
        <v/>
      </c>
      <c r="L17">
        <f>B17+C17+D17+K17</f>
        <v/>
      </c>
      <c r="O17">
        <f>L17+M17+N17</f>
        <v/>
      </c>
    </row>
    <row r="18">
      <c r="A18" t="inlineStr">
        <is>
          <t>Issuance of shares</t>
        </is>
      </c>
      <c r="I18">
        <f>E18+F18+G18+H18</f>
        <v/>
      </c>
      <c r="K18">
        <f>I18+J18</f>
        <v/>
      </c>
      <c r="L18">
        <f>B18+C18+D18+K18</f>
        <v/>
      </c>
      <c r="O18">
        <f>L18+M18+N18</f>
        <v/>
      </c>
    </row>
    <row r="19">
      <c r="A19" t="inlineStr">
        <is>
          <t>Issue of convertible notes, net of tax</t>
        </is>
      </c>
      <c r="I19">
        <f>E19+F19+G19+H19</f>
        <v/>
      </c>
      <c r="K19">
        <f>I19+J19</f>
        <v/>
      </c>
      <c r="L19">
        <f>B19+C19+D19+K19</f>
        <v/>
      </c>
      <c r="O19">
        <f>L19+M19+N19</f>
        <v/>
      </c>
    </row>
    <row r="20">
      <c r="A20" t="inlineStr">
        <is>
          <t>Increase (decrease) through share-based payment transactions, equity</t>
        </is>
      </c>
      <c r="I20">
        <f>E20+F20+G20+H20</f>
        <v/>
      </c>
      <c r="K20">
        <f>I20+J20</f>
        <v/>
      </c>
      <c r="L20">
        <f>B20+C20+D20+K20</f>
        <v/>
      </c>
      <c r="O20">
        <f>L20+M20+N20</f>
        <v/>
      </c>
    </row>
    <row r="21">
      <c r="A21" t="inlineStr">
        <is>
          <t>Treasury shares transactions</t>
        </is>
      </c>
      <c r="I21">
        <f>E21+F21+G21+H21</f>
        <v/>
      </c>
      <c r="K21">
        <f>I21+J21</f>
        <v/>
      </c>
      <c r="L21">
        <f>B21+C21+D21+K21</f>
        <v/>
      </c>
      <c r="O21">
        <f>L21+M21+N21</f>
        <v/>
      </c>
    </row>
    <row r="22">
      <c r="A22" t="inlineStr">
        <is>
          <t>Other transactions with owners</t>
        </is>
      </c>
      <c r="I22">
        <f>E22+F22+G22+H22</f>
        <v/>
      </c>
      <c r="K22">
        <f>I22+J22</f>
        <v/>
      </c>
      <c r="L22">
        <f>B22+C22+D22+K22</f>
        <v/>
      </c>
      <c r="O22">
        <f>L22+M22+N22</f>
        <v/>
      </c>
    </row>
    <row r="23">
      <c r="A23" t="inlineStr">
        <is>
          <t>Increase (decrease) through other changes, equity</t>
        </is>
      </c>
      <c r="I23">
        <f>E23+F23+G23+H23</f>
        <v/>
      </c>
      <c r="K23">
        <f>I23+J23</f>
        <v/>
      </c>
      <c r="L23">
        <f>B23+C23+D23+K23</f>
        <v/>
      </c>
      <c r="O23">
        <f>L23+M23+N23</f>
        <v/>
      </c>
    </row>
    <row r="24">
      <c r="A24" s="1" t="inlineStr">
        <is>
          <t>*Total increase (decrease) in equity</t>
        </is>
      </c>
      <c r="B24">
        <f>1*B13+1*B15+1*B16+-1*B17+1*B18+1*B19+1*B20+1*B21+1*B22+1*B23</f>
        <v/>
      </c>
      <c r="C24">
        <f>1*C13+1*C15+1*C16+-1*C17+1*C18+1*C19+1*C20+1*C21+1*C22+1*C23</f>
        <v/>
      </c>
      <c r="D24">
        <f>1*D13+1*D15+1*D16+-1*D17+1*D18+1*D19+1*D20+1*D21+1*D22+1*D23</f>
        <v/>
      </c>
      <c r="E24">
        <f>1*E13+1*E15+1*E16+-1*E17+1*E18+1*E19+1*E20+1*E21+1*E22+1*E23</f>
        <v/>
      </c>
      <c r="F24">
        <f>1*F13+1*F15+1*F16+-1*F17+1*F18+1*F19+1*F20+1*F21+1*F22+1*F23</f>
        <v/>
      </c>
      <c r="G24">
        <f>1*G13+1*G15+1*G16+-1*G17+1*G18+1*G19+1*G20+1*G21+1*G22+1*G23</f>
        <v/>
      </c>
      <c r="H24">
        <f>1*H13+1*H15+1*H16+-1*H17+1*H18+1*H19+1*H20+1*H21+1*H22+1*H23</f>
        <v/>
      </c>
      <c r="I24">
        <f>E24+F24+G24+H24</f>
        <v/>
      </c>
      <c r="J24">
        <f>1*J13+1*J15+1*J16+-1*J17+1*J18+1*J19+1*J20+1*J21+1*J22+1*J23</f>
        <v/>
      </c>
      <c r="K24">
        <f>I24+J24</f>
        <v/>
      </c>
      <c r="L24">
        <f>B24+C24+D24+K24</f>
        <v/>
      </c>
      <c r="M24">
        <f>1*M13+1*M15+1*M16+-1*M17+1*M18+1*M19+1*M20+1*M21+1*M22+1*M23</f>
        <v/>
      </c>
      <c r="N24">
        <f>1*N13+1*N15+1*N16+-1*N17+1*N18+1*N19+1*N20+1*N21+1*N22+1*N23</f>
        <v/>
      </c>
      <c r="O24">
        <f>L24+M24+N24</f>
        <v/>
      </c>
    </row>
    <row r="25">
      <c r="A25" t="inlineStr">
        <is>
          <t>Equity at end of period</t>
        </is>
      </c>
      <c r="I25">
        <f>E25+F25+G25+H25</f>
        <v/>
      </c>
      <c r="K25">
        <f>I25+J25</f>
        <v/>
      </c>
      <c r="L25">
        <f>B25+C25+D25+K25</f>
        <v/>
      </c>
      <c r="O25">
        <f>L25+M25+N25</f>
        <v/>
      </c>
    </row>
    <row r="27">
      <c r="A27" s="1" t="inlineStr">
        <is>
          <t>Company - Prior period</t>
        </is>
      </c>
    </row>
    <row r="28">
      <c r="A28" s="2" t="inlineStr">
        <is>
          <t>Disclosure of changes in equity</t>
        </is>
      </c>
    </row>
    <row r="29">
      <c r="A29" s="2" t="inlineStr">
        <is>
          <t>Statement of changes in equity</t>
        </is>
      </c>
    </row>
    <row r="30">
      <c r="A30" t="inlineStr">
        <is>
          <t>Equity at beginning of period</t>
        </is>
      </c>
      <c r="I30">
        <f>E30+F30+G30+H30</f>
        <v/>
      </c>
      <c r="K30">
        <f>I30+J30</f>
        <v/>
      </c>
      <c r="L30">
        <f>B30+C30+D30+K30</f>
        <v/>
      </c>
      <c r="O30">
        <f>L30+M30+N30</f>
        <v/>
      </c>
    </row>
    <row r="31">
      <c r="A31" t="inlineStr">
        <is>
          <t>Impact of changes in accounting policies</t>
        </is>
      </c>
      <c r="I31">
        <f>E31+F31+G31+H31</f>
        <v/>
      </c>
      <c r="K31">
        <f>I31+J31</f>
        <v/>
      </c>
      <c r="L31">
        <f>B31+C31+D31+K31</f>
        <v/>
      </c>
      <c r="O31">
        <f>L31+M31+N31</f>
        <v/>
      </c>
    </row>
    <row r="32">
      <c r="A32" t="inlineStr">
        <is>
          <t>Equity at beginning of period, restated</t>
        </is>
      </c>
      <c r="I32">
        <f>E32+F32+G32+H32</f>
        <v/>
      </c>
      <c r="K32">
        <f>I32+J32</f>
        <v/>
      </c>
      <c r="L32">
        <f>B32+C32+D32+K32</f>
        <v/>
      </c>
      <c r="O32">
        <f>L32+M32+N32</f>
        <v/>
      </c>
    </row>
    <row r="33">
      <c r="A33" s="2" t="inlineStr">
        <is>
          <t>Changes in equity</t>
        </is>
      </c>
    </row>
    <row r="34">
      <c r="A34" s="2" t="inlineStr">
        <is>
          <t>Comprehensive income</t>
        </is>
      </c>
    </row>
    <row r="35">
      <c r="A35" t="inlineStr">
        <is>
          <t>Profit (loss)</t>
        </is>
      </c>
      <c r="I35">
        <f>E35+F35+G35+H35</f>
        <v/>
      </c>
      <c r="K35">
        <f>I35+J35</f>
        <v/>
      </c>
      <c r="L35">
        <f>B35+C35+D35+K35</f>
        <v/>
      </c>
      <c r="O35">
        <f>L35+M35+N35</f>
        <v/>
      </c>
    </row>
    <row r="36">
      <c r="A36" t="inlineStr">
        <is>
          <t>Total other comprehensive income</t>
        </is>
      </c>
      <c r="I36">
        <f>E36+F36+G36+H36</f>
        <v/>
      </c>
      <c r="K36">
        <f>I36+J36</f>
        <v/>
      </c>
      <c r="L36">
        <f>B36+C36+D36+K36</f>
        <v/>
      </c>
      <c r="O36">
        <f>L36+M36+N36</f>
        <v/>
      </c>
    </row>
    <row r="37">
      <c r="A37" s="1" t="inlineStr">
        <is>
          <t>*Total comprehensive income</t>
        </is>
      </c>
      <c r="B37">
        <f>1*B35+1*B36</f>
        <v/>
      </c>
      <c r="C37">
        <f>1*C35+1*C36</f>
        <v/>
      </c>
      <c r="D37">
        <f>1*D35+1*D36</f>
        <v/>
      </c>
      <c r="E37">
        <f>1*E35+1*E36</f>
        <v/>
      </c>
      <c r="F37">
        <f>1*F35+1*F36</f>
        <v/>
      </c>
      <c r="G37">
        <f>1*G35+1*G36</f>
        <v/>
      </c>
      <c r="H37">
        <f>1*H35+1*H36</f>
        <v/>
      </c>
      <c r="I37">
        <f>E37+F37+G37+H37</f>
        <v/>
      </c>
      <c r="J37">
        <f>1*J35+1*J36</f>
        <v/>
      </c>
      <c r="K37">
        <f>I37+J37</f>
        <v/>
      </c>
      <c r="L37">
        <f>B37+C37+D37+K37</f>
        <v/>
      </c>
      <c r="M37">
        <f>1*M35+1*M36</f>
        <v/>
      </c>
      <c r="N37">
        <f>1*N35+1*N36</f>
        <v/>
      </c>
      <c r="O37">
        <f>L37+M37+N37</f>
        <v/>
      </c>
    </row>
    <row r="38">
      <c r="A38" s="2" t="inlineStr">
        <is>
          <t>Contributions by and distributions to owners</t>
        </is>
      </c>
    </row>
    <row r="39">
      <c r="A39" t="inlineStr">
        <is>
          <t>Acquisition (dilution) of equity interest in subsidiaries</t>
        </is>
      </c>
      <c r="I39">
        <f>E39+F39+G39+H39</f>
        <v/>
      </c>
      <c r="K39">
        <f>I39+J39</f>
        <v/>
      </c>
      <c r="L39">
        <f>B39+C39+D39+K39</f>
        <v/>
      </c>
      <c r="O39">
        <f>L39+M39+N39</f>
        <v/>
      </c>
    </row>
    <row r="40">
      <c r="A40" t="inlineStr">
        <is>
          <t>Arising from conversion of Irredeemable Convertible Unsecured Loan Stock (ICULS)</t>
        </is>
      </c>
      <c r="I40">
        <f>E40+F40+G40+H40</f>
        <v/>
      </c>
      <c r="K40">
        <f>I40+J40</f>
        <v/>
      </c>
      <c r="L40">
        <f>B40+C40+D40+K40</f>
        <v/>
      </c>
      <c r="O40">
        <f>L40+M40+N40</f>
        <v/>
      </c>
    </row>
    <row r="41">
      <c r="A41" t="inlineStr">
        <is>
          <t>Dividends paid</t>
        </is>
      </c>
      <c r="I41">
        <f>E41+F41+G41+H41</f>
        <v/>
      </c>
      <c r="K41">
        <f>I41+J41</f>
        <v/>
      </c>
      <c r="L41">
        <f>B41+C41+D41+K41</f>
        <v/>
      </c>
      <c r="O41">
        <f>L41+M41+N41</f>
        <v/>
      </c>
    </row>
    <row r="42">
      <c r="A42" t="inlineStr">
        <is>
          <t>Issuance of shares</t>
        </is>
      </c>
      <c r="I42">
        <f>E42+F42+G42+H42</f>
        <v/>
      </c>
      <c r="K42">
        <f>I42+J42</f>
        <v/>
      </c>
      <c r="L42">
        <f>B42+C42+D42+K42</f>
        <v/>
      </c>
      <c r="O42">
        <f>L42+M42+N42</f>
        <v/>
      </c>
    </row>
    <row r="43">
      <c r="A43" t="inlineStr">
        <is>
          <t>Issue of convertible notes, net of tax</t>
        </is>
      </c>
      <c r="I43">
        <f>E43+F43+G43+H43</f>
        <v/>
      </c>
      <c r="K43">
        <f>I43+J43</f>
        <v/>
      </c>
      <c r="L43">
        <f>B43+C43+D43+K43</f>
        <v/>
      </c>
      <c r="O43">
        <f>L43+M43+N43</f>
        <v/>
      </c>
    </row>
    <row r="44">
      <c r="A44" t="inlineStr">
        <is>
          <t>Increase (decrease) through share-based payment transactions, equity</t>
        </is>
      </c>
      <c r="I44">
        <f>E44+F44+G44+H44</f>
        <v/>
      </c>
      <c r="K44">
        <f>I44+J44</f>
        <v/>
      </c>
      <c r="L44">
        <f>B44+C44+D44+K44</f>
        <v/>
      </c>
      <c r="O44">
        <f>L44+M44+N44</f>
        <v/>
      </c>
    </row>
    <row r="45">
      <c r="A45" t="inlineStr">
        <is>
          <t>Treasury shares transactions</t>
        </is>
      </c>
      <c r="I45">
        <f>E45+F45+G45+H45</f>
        <v/>
      </c>
      <c r="K45">
        <f>I45+J45</f>
        <v/>
      </c>
      <c r="L45">
        <f>B45+C45+D45+K45</f>
        <v/>
      </c>
      <c r="O45">
        <f>L45+M45+N45</f>
        <v/>
      </c>
    </row>
    <row r="46">
      <c r="A46" t="inlineStr">
        <is>
          <t>Other transactions with owners</t>
        </is>
      </c>
      <c r="I46">
        <f>E46+F46+G46+H46</f>
        <v/>
      </c>
      <c r="K46">
        <f>I46+J46</f>
        <v/>
      </c>
      <c r="L46">
        <f>B46+C46+D46+K46</f>
        <v/>
      </c>
      <c r="O46">
        <f>L46+M46+N46</f>
        <v/>
      </c>
    </row>
    <row r="47">
      <c r="A47" t="inlineStr">
        <is>
          <t>Increase (decrease) through other changes, equity</t>
        </is>
      </c>
      <c r="I47">
        <f>E47+F47+G47+H47</f>
        <v/>
      </c>
      <c r="K47">
        <f>I47+J47</f>
        <v/>
      </c>
      <c r="L47">
        <f>B47+C47+D47+K47</f>
        <v/>
      </c>
      <c r="O47">
        <f>L47+M47+N47</f>
        <v/>
      </c>
    </row>
    <row r="48">
      <c r="A48" s="1" t="inlineStr">
        <is>
          <t>*Total increase (decrease) in equity</t>
        </is>
      </c>
      <c r="B48">
        <f>1*B37+1*B39+1*B40+-1*B41+1*B42+1*B43+1*B44+1*B45+1*B46+1*B47</f>
        <v/>
      </c>
      <c r="C48">
        <f>1*C37+1*C39+1*C40+-1*C41+1*C42+1*C43+1*C44+1*C45+1*C46+1*C47</f>
        <v/>
      </c>
      <c r="D48">
        <f>1*D37+1*D39+1*D40+-1*D41+1*D42+1*D43+1*D44+1*D45+1*D46+1*D47</f>
        <v/>
      </c>
      <c r="E48">
        <f>1*E37+1*E39+1*E40+-1*E41+1*E42+1*E43+1*E44+1*E45+1*E46+1*E47</f>
        <v/>
      </c>
      <c r="F48">
        <f>1*F37+1*F39+1*F40+-1*F41+1*F42+1*F43+1*F44+1*F45+1*F46+1*F47</f>
        <v/>
      </c>
      <c r="G48">
        <f>1*G37+1*G39+1*G40+-1*G41+1*G42+1*G43+1*G44+1*G45+1*G46+1*G47</f>
        <v/>
      </c>
      <c r="H48">
        <f>1*H37+1*H39+1*H40+-1*H41+1*H42+1*H43+1*H44+1*H45+1*H46+1*H47</f>
        <v/>
      </c>
      <c r="I48">
        <f>E48+F48+G48+H48</f>
        <v/>
      </c>
      <c r="J48">
        <f>1*J37+1*J39+1*J40+-1*J41+1*J42+1*J43+1*J44+1*J45+1*J46+1*J47</f>
        <v/>
      </c>
      <c r="K48">
        <f>I48+J48</f>
        <v/>
      </c>
      <c r="L48">
        <f>B48+C48+D48+K48</f>
        <v/>
      </c>
      <c r="M48">
        <f>1*M37+1*M39+1*M40+-1*M41+1*M42+1*M43+1*M44+1*M45+1*M46+1*M47</f>
        <v/>
      </c>
      <c r="N48">
        <f>1*N37+1*N39+1*N40+-1*N41+1*N42+1*N43+1*N44+1*N45+1*N46+1*N47</f>
        <v/>
      </c>
      <c r="O48">
        <f>L48+M48+N48</f>
        <v/>
      </c>
    </row>
    <row r="49">
      <c r="A49" t="inlineStr">
        <is>
          <t>Equity at end of period</t>
        </is>
      </c>
      <c r="I49">
        <f>E49+F49+G49+H49</f>
        <v/>
      </c>
      <c r="K49">
        <f>I49+J49</f>
        <v/>
      </c>
      <c r="L49">
        <f>B49+C49+D49+K49</f>
        <v/>
      </c>
      <c r="O49">
        <f>L49+M49+N49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2026-10-03T05:19:34Z</dcterms:created>
  <dcterms:modified xsi:type="dcterms:W3CDTF">2026-10-03T05:19:34Z</dcterms:modified>
</cp:coreProperties>
</file>