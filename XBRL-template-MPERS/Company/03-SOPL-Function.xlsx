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L-Function" sheetId="1" state="visible" r:id="rId1"/>
    <sheet xmlns:r="http://schemas.openxmlformats.org/officeDocument/2006/relationships" name="SOPL-Analysis-Fun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profit or loss</t>
        </is>
      </c>
      <c r="B3">
        <f>'SOPL-Analysis-Function'!B3</f>
        <v/>
      </c>
      <c r="C3">
        <f>'SOPL-Analysis-Function'!C3</f>
        <v/>
      </c>
    </row>
    <row r="4">
      <c r="A4" t="inlineStr">
        <is>
          <t>Analysis of profit or loss</t>
        </is>
      </c>
      <c r="B4">
        <f>'SOPL-Analysis-Function'!B4</f>
        <v/>
      </c>
      <c r="C4">
        <f>'SOPL-Analysis-Function'!C4</f>
        <v/>
      </c>
    </row>
    <row r="5">
      <c r="A5" t="inlineStr">
        <is>
          <t>Continuing operations</t>
        </is>
      </c>
    </row>
    <row r="6">
      <c r="A6" t="inlineStr">
        <is>
          <t>Revenue</t>
        </is>
      </c>
      <c r="B6">
        <f>'SOPL-Analysis-Function'!B39</f>
        <v/>
      </c>
      <c r="C6">
        <f>'SOPL-Analysis-Function'!C39</f>
        <v/>
      </c>
    </row>
    <row r="7">
      <c r="A7" t="inlineStr">
        <is>
          <t>Cost of sales</t>
        </is>
      </c>
      <c r="B7">
        <f>'SOPL-Analysis-Function'!B46</f>
        <v/>
      </c>
      <c r="C7">
        <f>'SOPL-Analysis-Function'!C46</f>
        <v/>
      </c>
    </row>
    <row r="8">
      <c r="A8" s="1" t="inlineStr">
        <is>
          <t>*Gross profit</t>
        </is>
      </c>
      <c r="B8">
        <f>1*B6+-1*B7</f>
        <v/>
      </c>
      <c r="C8">
        <f>1*C6+-1*C7</f>
        <v/>
      </c>
    </row>
    <row r="9">
      <c r="A9" t="inlineStr">
        <is>
          <t>Other income</t>
        </is>
      </c>
      <c r="B9">
        <f>'SOPL-Analysis-Function'!B88</f>
        <v/>
      </c>
      <c r="C9">
        <f>'SOPL-Analysis-Function'!C88</f>
        <v/>
      </c>
    </row>
    <row r="10">
      <c r="A10" t="inlineStr">
        <is>
          <t>Selling and distribution expenses</t>
        </is>
      </c>
    </row>
    <row r="11">
      <c r="A11" t="inlineStr">
        <is>
          <t>Administrative expenses</t>
        </is>
      </c>
    </row>
    <row r="12">
      <c r="A12" t="inlineStr">
        <is>
          <t>Research and development expense</t>
        </is>
      </c>
    </row>
    <row r="13">
      <c r="A13" t="inlineStr">
        <is>
          <t>Other expenses</t>
        </is>
      </c>
      <c r="B13">
        <f>'SOPL-Analysis-Function'!B135</f>
        <v/>
      </c>
      <c r="C13">
        <f>'SOPL-Analysis-Function'!C135</f>
        <v/>
      </c>
    </row>
    <row r="14">
      <c r="A14" s="1" t="inlineStr">
        <is>
          <t>*Profit (loss) from operating activities</t>
        </is>
      </c>
      <c r="B14">
        <f>1*B6+-1*B7+1*B9+-1*B10+-1*B11+-1*B12+-1*B13</f>
        <v/>
      </c>
      <c r="C14">
        <f>1*C6+-1*C7+1*C9+-1*C10+-1*C11+-1*C12+-1*C13</f>
        <v/>
      </c>
    </row>
    <row r="15">
      <c r="A15" t="inlineStr">
        <is>
          <t>Finance income</t>
        </is>
      </c>
      <c r="B15">
        <f>'SOPL-Analysis-Function'!B139</f>
        <v/>
      </c>
      <c r="C15">
        <f>'SOPL-Analysis-Function'!C139</f>
        <v/>
      </c>
    </row>
    <row r="16">
      <c r="A16" t="inlineStr">
        <is>
          <t>Finance costs</t>
        </is>
      </c>
    </row>
    <row r="17">
      <c r="A17" t="inlineStr">
        <is>
          <t>Share of profit (loss) of associates and joint ventures accounted for using equity method</t>
        </is>
      </c>
    </row>
    <row r="18">
      <c r="A18" s="1" t="inlineStr">
        <is>
          <t>*Profit (loss) before tax</t>
        </is>
      </c>
      <c r="B18">
        <f>1*B6+-1*B7+1*B9+-1*B10+-1*B11+-1*B12+-1*B13+1*B15+-1*B16+1*B17</f>
        <v/>
      </c>
      <c r="C18">
        <f>1*C6+-1*C7+1*C9+-1*C10+-1*C11+-1*C12+-1*C13+1*C15+-1*C16+1*C17</f>
        <v/>
      </c>
    </row>
    <row r="19">
      <c r="A19" t="inlineStr">
        <is>
          <t>Tax expense</t>
        </is>
      </c>
    </row>
    <row r="20">
      <c r="A20" t="inlineStr">
        <is>
          <t>Contribution to zakat</t>
        </is>
      </c>
    </row>
    <row r="21">
      <c r="A21" s="1" t="inlineStr">
        <is>
          <t>*Profit (loss) from continuing operations, net</t>
        </is>
      </c>
      <c r="B21">
        <f>1*B18+-1*B19+-1*B20</f>
        <v/>
      </c>
      <c r="C21">
        <f>1*C18+-1*C19+-1*C20</f>
        <v/>
      </c>
    </row>
    <row r="22">
      <c r="A22" t="inlineStr">
        <is>
          <t>Discontinued operations</t>
        </is>
      </c>
    </row>
    <row r="23">
      <c r="A23" t="inlineStr">
        <is>
          <t>Profit (loss) before tax, from discontinued operation</t>
        </is>
      </c>
    </row>
    <row r="24">
      <c r="A24" s="1" t="inlineStr">
        <is>
          <t>*Profit (loss)</t>
        </is>
      </c>
      <c r="B24">
        <f>1*B21+1*B23</f>
        <v/>
      </c>
      <c r="C24">
        <f>1*C21+1*C23</f>
        <v/>
      </c>
    </row>
    <row r="25">
      <c r="A25" t="inlineStr">
        <is>
          <t>Profit (loss), attributable to</t>
        </is>
      </c>
    </row>
    <row r="26">
      <c r="A26" t="inlineStr">
        <is>
          <t>Profit (loss), attributable to owners of parent</t>
        </is>
      </c>
    </row>
    <row r="27">
      <c r="A27" t="inlineStr">
        <is>
          <t>Profit (loss), attributable to equity other components</t>
        </is>
      </c>
    </row>
    <row r="28">
      <c r="A28" t="inlineStr">
        <is>
          <t>Profit (loss), attributable to non-controlling interests</t>
        </is>
      </c>
    </row>
    <row r="29">
      <c r="A29" s="1" t="inlineStr">
        <is>
          <t>*Total Profit (Loss)</t>
        </is>
      </c>
      <c r="B29">
        <f>1*B26+1*B27+1*B28</f>
        <v/>
      </c>
      <c r="C29">
        <f>1*C26+1*C27+1*C28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profit or loss</t>
        </is>
      </c>
    </row>
    <row r="4">
      <c r="A4" t="inlineStr">
        <is>
          <t>Analysis of profit or loss</t>
        </is>
      </c>
    </row>
    <row r="5">
      <c r="A5" t="inlineStr">
        <is>
          <t>Revenue</t>
        </is>
      </c>
    </row>
    <row r="6">
      <c r="A6" t="inlineStr">
        <is>
          <t>Revenue from sale of goods</t>
        </is>
      </c>
    </row>
    <row r="7">
      <c r="A7" t="inlineStr">
        <is>
          <t>Revenue from sale of broadband and telecommunication</t>
        </is>
      </c>
    </row>
    <row r="8">
      <c r="A8" t="inlineStr">
        <is>
          <t>Revenue from property development</t>
        </is>
      </c>
    </row>
    <row r="9">
      <c r="A9" t="inlineStr">
        <is>
          <t>Revenue from construction contracts</t>
        </is>
      </c>
    </row>
    <row r="10">
      <c r="A10" t="inlineStr">
        <is>
          <t>Revenue from sale of clean water, treatment and disposal of waste water</t>
        </is>
      </c>
    </row>
    <row r="11">
      <c r="A11" t="inlineStr">
        <is>
          <t>Revenue from sale of food and beverage</t>
        </is>
      </c>
    </row>
    <row r="12">
      <c r="A12" t="inlineStr">
        <is>
          <t>Revenue from sale of agricultural produce</t>
        </is>
      </c>
    </row>
    <row r="13">
      <c r="A13" t="inlineStr">
        <is>
          <t>Revenue from sale of oil and gas products</t>
        </is>
      </c>
    </row>
    <row r="14">
      <c r="A14" t="inlineStr">
        <is>
          <t>Other revenue from sale of goods</t>
        </is>
      </c>
    </row>
    <row r="15">
      <c r="A15" s="1" t="inlineStr">
        <is>
          <t>*Total revenue from sale of goods</t>
        </is>
      </c>
      <c r="B15">
        <f>1*B7+1*B8+1*B9+1*B10+1*B11+1*B12+1*B13+1*B14</f>
        <v/>
      </c>
      <c r="C15">
        <f>1*C7+1*C8+1*C9+1*C10+1*C11+1*C12+1*C13+1*C14</f>
        <v/>
      </c>
    </row>
    <row r="16">
      <c r="A16" t="inlineStr">
        <is>
          <t>Revenue from rendering of services</t>
        </is>
      </c>
    </row>
    <row r="17">
      <c r="A17" t="inlineStr">
        <is>
          <t>Income from entertainment operations</t>
        </is>
      </c>
    </row>
    <row r="18">
      <c r="A18" t="inlineStr">
        <is>
          <t>Revenue from rendering of telecommunication services</t>
        </is>
      </c>
    </row>
    <row r="19">
      <c r="A19" t="inlineStr">
        <is>
          <t>Revenue from rendering of transportation services</t>
        </is>
      </c>
    </row>
    <row r="20">
      <c r="A20" t="inlineStr">
        <is>
          <t>Revenue from rendering of information technology services</t>
        </is>
      </c>
    </row>
    <row r="21">
      <c r="A21" t="inlineStr">
        <is>
          <t>Education services income</t>
        </is>
      </c>
    </row>
    <row r="22">
      <c r="A22" t="inlineStr">
        <is>
          <t>Healthcare services income</t>
        </is>
      </c>
    </row>
    <row r="23">
      <c r="A23" t="inlineStr">
        <is>
          <t>Revenue from rendering of shipping and shipping related services</t>
        </is>
      </c>
    </row>
    <row r="24">
      <c r="A24" t="inlineStr">
        <is>
          <t>Other revenue from rendering of services</t>
        </is>
      </c>
    </row>
    <row r="25">
      <c r="A25" s="1" t="inlineStr">
        <is>
          <t>*Total revenue from rendering of services</t>
        </is>
      </c>
      <c r="B25">
        <f>1*B17+1*B18+1*B19+1*B20+1*B21+1*B22+1*B23+1*B24</f>
        <v/>
      </c>
      <c r="C25">
        <f>1*C17+1*C18+1*C19+1*C20+1*C21+1*C22+1*C23+1*C24</f>
        <v/>
      </c>
    </row>
    <row r="26">
      <c r="A26" t="inlineStr">
        <is>
          <t>Interest income</t>
        </is>
      </c>
    </row>
    <row r="27">
      <c r="A27" t="inlineStr">
        <is>
          <t>Interest income on loans, advances and financing</t>
        </is>
      </c>
    </row>
    <row r="28">
      <c r="A28" t="inlineStr">
        <is>
          <t>Interest income on other financial assets</t>
        </is>
      </c>
    </row>
    <row r="29">
      <c r="A29" s="1" t="inlineStr">
        <is>
          <t>*Total interest income</t>
        </is>
      </c>
      <c r="B29">
        <f>1*B27+1*B28</f>
        <v/>
      </c>
      <c r="C29">
        <f>1*C27+1*C28</f>
        <v/>
      </c>
    </row>
    <row r="30">
      <c r="A30" t="inlineStr">
        <is>
          <t>Other fee and commission income</t>
        </is>
      </c>
    </row>
    <row r="31">
      <c r="A31" t="inlineStr">
        <is>
          <t>Gross brokerage and other charges</t>
        </is>
      </c>
    </row>
    <row r="32">
      <c r="A32" t="inlineStr">
        <is>
          <t>Underwriting commissions and fund management income</t>
        </is>
      </c>
    </row>
    <row r="33">
      <c r="A33" t="inlineStr">
        <is>
          <t>Other fee and commission</t>
        </is>
      </c>
    </row>
    <row r="34">
      <c r="A34" s="1" t="inlineStr">
        <is>
          <t>*Total other fee and commission income</t>
        </is>
      </c>
      <c r="B34">
        <f>1*B31+1*B32+1*B33</f>
        <v/>
      </c>
      <c r="C34">
        <f>1*C31+1*C32+1*C33</f>
        <v/>
      </c>
    </row>
    <row r="35">
      <c r="A35" t="inlineStr">
        <is>
          <t>Dividend income</t>
        </is>
      </c>
    </row>
    <row r="36">
      <c r="A36" t="inlineStr">
        <is>
          <t>Rental income</t>
        </is>
      </c>
    </row>
    <row r="37">
      <c r="A37" t="inlineStr">
        <is>
          <t>Royalty income</t>
        </is>
      </c>
    </row>
    <row r="38">
      <c r="A38" t="inlineStr">
        <is>
          <t>Other revenue</t>
        </is>
      </c>
    </row>
    <row r="39">
      <c r="A39" s="1" t="inlineStr">
        <is>
          <t>*Total revenue</t>
        </is>
      </c>
      <c r="B39">
        <f>1*B15+1*B25+1*B29+1*B34+1*B35+1*B36+1*B37+1*B38</f>
        <v/>
      </c>
      <c r="C39">
        <f>1*C15+1*C25+1*C29+1*C34+1*C35+1*C36+1*C37+1*C38</f>
        <v/>
      </c>
    </row>
    <row r="40">
      <c r="A40" t="inlineStr">
        <is>
          <t>Cost of sales</t>
        </is>
      </c>
    </row>
    <row r="41">
      <c r="A41" t="inlineStr">
        <is>
          <t>Cost of inventories</t>
        </is>
      </c>
    </row>
    <row r="42">
      <c r="A42" t="inlineStr">
        <is>
          <t>Construction contract costs</t>
        </is>
      </c>
    </row>
    <row r="43">
      <c r="A43" t="inlineStr">
        <is>
          <t>Energy costs</t>
        </is>
      </c>
    </row>
    <row r="44">
      <c r="A44" t="inlineStr">
        <is>
          <t>Property development costs</t>
        </is>
      </c>
    </row>
    <row r="45">
      <c r="A45" t="inlineStr">
        <is>
          <t>Other cost of sales</t>
        </is>
      </c>
    </row>
    <row r="46">
      <c r="A46" s="1" t="inlineStr">
        <is>
          <t>*Total cost of sales</t>
        </is>
      </c>
      <c r="B46">
        <f>1*B41+1*B42+1*B43+1*B44+1*B45</f>
        <v/>
      </c>
      <c r="C46">
        <f>1*C41+1*C42+1*C43+1*C44+1*C45</f>
        <v/>
      </c>
    </row>
    <row r="47">
      <c r="A47" t="inlineStr">
        <is>
          <t>Other income</t>
        </is>
      </c>
    </row>
    <row r="48">
      <c r="A48" t="inlineStr">
        <is>
          <t>Deferred income</t>
        </is>
      </c>
    </row>
    <row r="49">
      <c r="A49" t="inlineStr">
        <is>
          <t>Bad debts recovered</t>
        </is>
      </c>
    </row>
    <row r="50">
      <c r="A50" t="inlineStr">
        <is>
          <t>Dividend, other income</t>
        </is>
      </c>
    </row>
    <row r="51">
      <c r="A51" t="inlineStr">
        <is>
          <t>Foreign exchange gain</t>
        </is>
      </c>
    </row>
    <row r="52">
      <c r="A52" t="inlineStr">
        <is>
          <t>Realised foreign currencies exchange gain transferred from equity</t>
        </is>
      </c>
    </row>
    <row r="53">
      <c r="A53" t="inlineStr">
        <is>
          <t>Unrealised gain on foreign exchange</t>
        </is>
      </c>
    </row>
    <row r="54">
      <c r="A54" s="1" t="inlineStr">
        <is>
          <t>*Total foreign exchange gain</t>
        </is>
      </c>
      <c r="B54">
        <f>1*B52+1*B53</f>
        <v/>
      </c>
      <c r="C54">
        <f>1*C52+1*C53</f>
        <v/>
      </c>
    </row>
    <row r="55">
      <c r="A55" t="inlineStr">
        <is>
          <t>Gain on disposal of subsidiaries, associates and joint ventures</t>
        </is>
      </c>
    </row>
    <row r="56">
      <c r="A56" t="inlineStr">
        <is>
          <t>Gain on disposal of subsidiaries</t>
        </is>
      </c>
    </row>
    <row r="57">
      <c r="A57" t="inlineStr">
        <is>
          <t>Gain on disposal of associates</t>
        </is>
      </c>
    </row>
    <row r="58">
      <c r="A58" t="inlineStr">
        <is>
          <t>Gain on disposal of joint ventures</t>
        </is>
      </c>
    </row>
    <row r="59">
      <c r="A59" s="1" t="inlineStr">
        <is>
          <t>*Total gain on disposal of subsidiaries, associates and joint ventures</t>
        </is>
      </c>
      <c r="B59">
        <f>1*B56+1*B57+1*B58</f>
        <v/>
      </c>
      <c r="C59">
        <f>1*C56+1*C57+1*C58</f>
        <v/>
      </c>
    </row>
    <row r="60">
      <c r="A60" t="inlineStr">
        <is>
          <t>Gain on disposal from other investments</t>
        </is>
      </c>
    </row>
    <row r="61">
      <c r="A61" t="inlineStr">
        <is>
          <t>Gain on disposals of property, plant and equipment</t>
        </is>
      </c>
    </row>
    <row r="62">
      <c r="A62" t="inlineStr">
        <is>
          <t>Gains on disposal of other non-current assets</t>
        </is>
      </c>
    </row>
    <row r="63">
      <c r="A63" t="inlineStr">
        <is>
          <t>Gain on revaluation</t>
        </is>
      </c>
    </row>
    <row r="64">
      <c r="A64" t="inlineStr">
        <is>
          <t>Interest income</t>
        </is>
      </c>
    </row>
    <row r="65">
      <c r="A65" t="inlineStr">
        <is>
          <t>Management fees, other income</t>
        </is>
      </c>
    </row>
    <row r="66">
      <c r="A66" t="inlineStr">
        <is>
          <t>Net fair value gain on derivatives</t>
        </is>
      </c>
    </row>
    <row r="67">
      <c r="A67" t="inlineStr">
        <is>
          <t>Net fair value gain on recycle of forex reserve upon disposal of subsidiaries</t>
        </is>
      </c>
    </row>
    <row r="68">
      <c r="A68" t="inlineStr">
        <is>
          <t>Other fee and commission, other income</t>
        </is>
      </c>
    </row>
    <row r="69">
      <c r="A69" t="inlineStr">
        <is>
          <t>Other rental income</t>
        </is>
      </c>
    </row>
    <row r="70">
      <c r="A70" t="inlineStr">
        <is>
          <t>Rental income on land and buildings</t>
        </is>
      </c>
    </row>
    <row r="71">
      <c r="A71" t="inlineStr">
        <is>
          <t>Reversal of impairment loss recognised in profit or loss</t>
        </is>
      </c>
    </row>
    <row r="72">
      <c r="A72" t="inlineStr">
        <is>
          <t>Reversal of impairment loss on receivables</t>
        </is>
      </c>
    </row>
    <row r="73">
      <c r="A73" t="inlineStr">
        <is>
          <t>(Reversal of)/Impairment loss on inventories</t>
        </is>
      </c>
    </row>
    <row r="74">
      <c r="A74" t="inlineStr">
        <is>
          <t>Reversal of impairment loss on intangible assets other than goodwill</t>
        </is>
      </c>
    </row>
    <row r="75">
      <c r="A75" t="inlineStr">
        <is>
          <t>Reversal of impairment loss on goodwill</t>
        </is>
      </c>
    </row>
    <row r="76">
      <c r="A76" t="inlineStr">
        <is>
          <t>Reversal of impairment loss on property, plant and equipment</t>
        </is>
      </c>
    </row>
    <row r="77">
      <c r="A77" t="inlineStr">
        <is>
          <t>Reversal of impairment loss on investment in associates</t>
        </is>
      </c>
    </row>
    <row r="78">
      <c r="A78" t="inlineStr">
        <is>
          <t>Reversal of impairment loss on investment in joint ventures</t>
        </is>
      </c>
    </row>
    <row r="79">
      <c r="A79" t="inlineStr">
        <is>
          <t>Reversal of impairment loss on other assets</t>
        </is>
      </c>
    </row>
    <row r="80">
      <c r="A80" s="1" t="inlineStr">
        <is>
          <t>*Total reversal of impairment loss recognised in profit or loss</t>
        </is>
      </c>
      <c r="B80">
        <f>1*B72+1*B73+1*B74+1*B76+1*B77+1*B78+1*B79+1*B75</f>
        <v/>
      </c>
      <c r="C80">
        <f>1*C72+1*C73+1*C74+1*C76+1*C77+1*C78+1*C79+1*C75</f>
        <v/>
      </c>
    </row>
    <row r="81">
      <c r="A81" t="inlineStr">
        <is>
          <t>Royalty/franchise income</t>
        </is>
      </c>
    </row>
    <row r="82">
      <c r="A82" t="inlineStr">
        <is>
          <t>Grant or incentives by Malaysian government or it's agencies</t>
        </is>
      </c>
    </row>
    <row r="83">
      <c r="A83" t="inlineStr">
        <is>
          <t>Grant or incentives by foreign government or it's agencies</t>
        </is>
      </c>
    </row>
    <row r="84">
      <c r="A84" t="inlineStr">
        <is>
          <t>Contributions or donations by local contributor</t>
        </is>
      </c>
    </row>
    <row r="85">
      <c r="A85" t="inlineStr">
        <is>
          <t>Contributions or donations by foreign contributor</t>
        </is>
      </c>
    </row>
    <row r="86">
      <c r="A86" t="inlineStr">
        <is>
          <t>Contributions or donations by unknown contributor</t>
        </is>
      </c>
    </row>
    <row r="87">
      <c r="A87" t="inlineStr">
        <is>
          <t>Miscellaneous other operating income</t>
        </is>
      </c>
    </row>
    <row r="88">
      <c r="A88" s="1" t="inlineStr">
        <is>
          <t>*Total other income</t>
        </is>
      </c>
      <c r="B88">
        <f>1*B48+1*B49+1*B50+1*B54+1*B59+1*B60+1*B61+1*B62+1*B63+1*B64+1*B65+1*B68+1*B69+1*B70+1*B80+1*B81+1*B82+1*B83+1*B84+1*B85+1*B86+1*B87+1*B66+1*B67</f>
        <v/>
      </c>
      <c r="C88">
        <f>1*C48+1*C49+1*C50+1*C54+1*C59+1*C60+1*C61+1*C62+1*C63+1*C64+1*C65+1*C68+1*C69+1*C70+1*C80+1*C81+1*C82+1*C83+1*C84+1*C85+1*C86+1*C87+1*C66+1*C67</f>
        <v/>
      </c>
    </row>
    <row r="89">
      <c r="A89" t="inlineStr">
        <is>
          <t>Other expenses</t>
        </is>
      </c>
    </row>
    <row r="90">
      <c r="A90" t="inlineStr">
        <is>
          <t>Auditor's remuneration</t>
        </is>
      </c>
    </row>
    <row r="91">
      <c r="A91" t="inlineStr">
        <is>
          <t>Auditor's remuneration for audit services</t>
        </is>
      </c>
    </row>
    <row r="92">
      <c r="A92" t="inlineStr">
        <is>
          <t>Auditor's remuneration for other services</t>
        </is>
      </c>
    </row>
    <row r="93">
      <c r="A93" s="1" t="inlineStr">
        <is>
          <t>*Total auditor's remuneration</t>
        </is>
      </c>
      <c r="B93">
        <f>1*B91+1*B92</f>
        <v/>
      </c>
      <c r="C93">
        <f>1*C91+1*C92</f>
        <v/>
      </c>
    </row>
    <row r="94">
      <c r="A94" t="inlineStr">
        <is>
          <t>Amortisation expense</t>
        </is>
      </c>
    </row>
    <row r="95">
      <c r="A95" t="inlineStr">
        <is>
          <t>Depreciation of property, plant and equipment</t>
        </is>
      </c>
    </row>
    <row r="96">
      <c r="A96" t="inlineStr">
        <is>
          <t>Natural disaster related expenses</t>
        </is>
      </c>
    </row>
    <row r="97">
      <c r="A97" t="inlineStr">
        <is>
          <t>Loss on disposal of subsidiaries, associates and joint ventures</t>
        </is>
      </c>
    </row>
    <row r="98">
      <c r="A98" t="inlineStr">
        <is>
          <t>Loss on disposal of subsidiaries</t>
        </is>
      </c>
    </row>
    <row r="99">
      <c r="A99" t="inlineStr">
        <is>
          <t>Loss on disposal of associates</t>
        </is>
      </c>
    </row>
    <row r="100">
      <c r="A100" t="inlineStr">
        <is>
          <t>Loss on disposal of joint ventures</t>
        </is>
      </c>
    </row>
    <row r="101">
      <c r="A101" s="1" t="inlineStr">
        <is>
          <t>*Total loss on disposal of subsidiaries, associates and joint ventures</t>
        </is>
      </c>
      <c r="B101">
        <f>1*B98+1*B99+1*B100</f>
        <v/>
      </c>
      <c r="C101">
        <f>1*C98+1*C99+1*C100</f>
        <v/>
      </c>
    </row>
    <row r="102">
      <c r="A102" t="inlineStr">
        <is>
          <t>Loss on disposal from other investments</t>
        </is>
      </c>
    </row>
    <row r="103">
      <c r="A103" t="inlineStr">
        <is>
          <t>Loss on disposal of property, plant and equipment</t>
        </is>
      </c>
    </row>
    <row r="104">
      <c r="A104" t="inlineStr">
        <is>
          <t>Loss on disposal of other non-current assets</t>
        </is>
      </c>
    </row>
    <row r="105">
      <c r="A105" t="inlineStr">
        <is>
          <t>Loss on revaluation</t>
        </is>
      </c>
    </row>
    <row r="106">
      <c r="A106" t="inlineStr">
        <is>
          <t>Provision for liabilities and charges</t>
        </is>
      </c>
    </row>
    <row r="107">
      <c r="A107" t="inlineStr">
        <is>
          <t>Provision of warranties and guarantees</t>
        </is>
      </c>
    </row>
    <row r="108">
      <c r="A108" t="inlineStr">
        <is>
          <t>Rental expenses</t>
        </is>
      </c>
    </row>
    <row r="109">
      <c r="A109" t="inlineStr">
        <is>
          <t>Royalty expenses</t>
        </is>
      </c>
    </row>
    <row r="110">
      <c r="A110" t="inlineStr">
        <is>
          <t>Employee benefits expense</t>
        </is>
      </c>
    </row>
    <row r="111">
      <c r="A111" t="inlineStr">
        <is>
          <t>Wages, salaries and others</t>
        </is>
      </c>
    </row>
    <row r="112">
      <c r="A112" t="inlineStr">
        <is>
          <t>Bonus</t>
        </is>
      </c>
    </row>
    <row r="113">
      <c r="A113" t="inlineStr">
        <is>
          <t>Share-based compensation expense</t>
        </is>
      </c>
    </row>
    <row r="114">
      <c r="A114" t="inlineStr">
        <is>
          <t>Share option expenses</t>
        </is>
      </c>
    </row>
    <row r="115">
      <c r="A115" t="inlineStr">
        <is>
          <t>Social security contributions</t>
        </is>
      </c>
    </row>
    <row r="116">
      <c r="A116" t="inlineStr">
        <is>
          <t>Termination benefits</t>
        </is>
      </c>
    </row>
    <row r="117">
      <c r="A117" t="inlineStr">
        <is>
          <t>Defined contribution plans</t>
        </is>
      </c>
    </row>
    <row r="118">
      <c r="A118" t="inlineStr">
        <is>
          <t>Defined benefit plans</t>
        </is>
      </c>
    </row>
    <row r="119">
      <c r="A119" t="inlineStr">
        <is>
          <t>Other long-term employee benefits</t>
        </is>
      </c>
    </row>
    <row r="120">
      <c r="A120" t="inlineStr">
        <is>
          <t>Other short-term employee benefits</t>
        </is>
      </c>
    </row>
    <row r="121">
      <c r="A121" t="inlineStr">
        <is>
          <t>Other employee expense</t>
        </is>
      </c>
    </row>
    <row r="122">
      <c r="A122" s="1" t="inlineStr">
        <is>
          <t>*Total employee benefits expense</t>
        </is>
      </c>
      <c r="B122">
        <f>1*B111+1*B112+1*B113+1*B114+1*B115+1*B116+1*B118+1*B117+1*B119+1*B120+1*B121</f>
        <v/>
      </c>
      <c r="C122">
        <f>1*C111+1*C112+1*C113+1*C114+1*C115+1*C116+1*C118+1*C117+1*C119+1*C120+1*C121</f>
        <v/>
      </c>
    </row>
    <row r="123">
      <c r="A123" t="inlineStr">
        <is>
          <t>Director's remuneration</t>
        </is>
      </c>
    </row>
    <row r="124">
      <c r="A124" t="inlineStr">
        <is>
          <t>Salaries and other emoluments</t>
        </is>
      </c>
    </row>
    <row r="125">
      <c r="A125" t="inlineStr">
        <is>
          <t>Bonus</t>
        </is>
      </c>
    </row>
    <row r="126">
      <c r="A126" t="inlineStr">
        <is>
          <t>Share option expenses</t>
        </is>
      </c>
    </row>
    <row r="127">
      <c r="A127" t="inlineStr">
        <is>
          <t>Benefits-in-kind</t>
        </is>
      </c>
    </row>
    <row r="128">
      <c r="A128" t="inlineStr">
        <is>
          <t>Fees</t>
        </is>
      </c>
    </row>
    <row r="129">
      <c r="A129" t="inlineStr">
        <is>
          <t>Performance incentives</t>
        </is>
      </c>
    </row>
    <row r="130">
      <c r="A130" t="inlineStr">
        <is>
          <t>Defined contribution plans</t>
        </is>
      </c>
    </row>
    <row r="131">
      <c r="A131" t="inlineStr">
        <is>
          <t>Defined benefit plans</t>
        </is>
      </c>
    </row>
    <row r="132">
      <c r="A132" t="inlineStr">
        <is>
          <t>Other emoluments</t>
        </is>
      </c>
    </row>
    <row r="133">
      <c r="A133" s="1" t="inlineStr">
        <is>
          <t>*Total Director's remuneration</t>
        </is>
      </c>
      <c r="B133">
        <f>1*B124+1*B125+1*B126+1*B127+1*B128+1*B129+1*B131+1*B130+1*B132</f>
        <v/>
      </c>
      <c r="C133">
        <f>1*C124+1*C125+1*C126+1*C127+1*C128+1*C129+1*C131+1*C130+1*C132</f>
        <v/>
      </c>
    </row>
    <row r="134">
      <c r="A134" t="inlineStr">
        <is>
          <t>Other miscellaneous expenses</t>
        </is>
      </c>
    </row>
    <row r="135">
      <c r="A135" s="1" t="inlineStr">
        <is>
          <t>*Total other expenses</t>
        </is>
      </c>
      <c r="B135">
        <f>1*B93+1*B94+1*B95+1*B96+1*B101+1*B102+1*B103+1*B104+1*B105+1*B106+1*B107+1*B108+1*B109+1*B122+1*B133+1*B134</f>
        <v/>
      </c>
      <c r="C135">
        <f>1*C93+1*C94+1*C95+1*C96+1*C101+1*C102+1*C103+1*C104+1*C105+1*C106+1*C107+1*C108+1*C109+1*C122+1*C133+1*C134</f>
        <v/>
      </c>
    </row>
    <row r="136">
      <c r="A136" t="inlineStr">
        <is>
          <t>Finance income</t>
        </is>
      </c>
    </row>
    <row r="137">
      <c r="A137" t="inlineStr">
        <is>
          <t>Finance income due from related parties</t>
        </is>
      </c>
    </row>
    <row r="138">
      <c r="A138" t="inlineStr">
        <is>
          <t>Other finance income</t>
        </is>
      </c>
    </row>
    <row r="139">
      <c r="A139" s="1" t="inlineStr">
        <is>
          <t>*Total finance income</t>
        </is>
      </c>
      <c r="B139">
        <f>1*B137+1*B138</f>
        <v/>
      </c>
      <c r="C139">
        <f>1*C137+1*C138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2026-04-23T07:24:56Z</dcterms:created>
  <dcterms:modified xmlns:dcterms="http://purl.org/dc/terms/" xmlns:xsi="http://www.w3.org/2001/XMLSchema-instance" xsi:type="dcterms:W3CDTF">2026-04-23T07:24:56Z</dcterms:modified>
</cp:coreProperties>
</file>