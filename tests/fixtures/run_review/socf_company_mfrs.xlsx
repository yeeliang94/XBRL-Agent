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CF-Indirec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Calibri"/>
      <i val="1"/>
      <sz val="11"/>
    </font>
    <font>
      <name val="Arial"/>
      <b val="1"/>
      <sz val="10"/>
    </font>
    <font>
      <name val="Arial"/>
      <sz val="9"/>
    </font>
    <font>
      <name val="Calibri"/>
      <b val="1"/>
      <color rgb="001F3864"/>
      <sz val="9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FFFFFF"/>
      <sz val="9"/>
    </font>
    <font>
      <name val="Calibri"/>
      <i val="1"/>
      <color rgb="006B7280"/>
      <sz val="9"/>
    </font>
  </fonts>
  <fills count="9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</patternFill>
    </fill>
    <fill>
      <patternFill patternType="solid">
        <fgColor rgb="001F3864"/>
        <bgColor rgb="001F3864"/>
      </patternFill>
    </fill>
    <fill>
      <patternFill patternType="solid">
        <fgColor rgb="00F8FAFC"/>
        <bgColor rgb="00F8FAFC"/>
      </patternFill>
    </fill>
    <fill>
      <patternFill patternType="solid">
        <fgColor rgb="00EEF2F8"/>
        <bgColor rgb="00EEF2F8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bottom style="thin">
        <color rgb="001F3864"/>
      </bottom>
    </border>
    <border/>
    <border>
      <bottom style="thin">
        <color rgb="00D9DEE5"/>
      </bottom>
    </border>
    <border>
      <top style="thin">
        <color rgb="001F3864"/>
      </top>
      <bottom style="thin">
        <color rgb="001F3864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13" fillId="6" borderId="3" applyAlignment="1" pivotButton="0" quotePrefix="0" xfId="0">
      <alignment horizontal="left" vertical="center"/>
    </xf>
    <xf numFmtId="0" fontId="13" fillId="6" borderId="3" applyAlignment="1" pivotButton="0" quotePrefix="0" xfId="0">
      <alignment horizontal="right" vertical="center"/>
    </xf>
    <xf numFmtId="0" fontId="15" fillId="0" borderId="4" applyAlignment="1" pivotButton="0" quotePrefix="0" xfId="0">
      <alignment horizontal="left" vertical="center"/>
    </xf>
    <xf numFmtId="164" fontId="14" fillId="7" borderId="4" applyAlignment="1" pivotButton="0" quotePrefix="0" xfId="0">
      <alignment horizontal="right" vertical="center"/>
    </xf>
    <xf numFmtId="0" fontId="15" fillId="8" borderId="5" applyAlignment="1" pivotButton="0" quotePrefix="0" xfId="0">
      <alignment horizontal="left" vertical="center"/>
    </xf>
    <xf numFmtId="164" fontId="15" fillId="8" borderId="5" applyAlignment="1" pivotButton="0" quotePrefix="0" xfId="0">
      <alignment horizontal="right" vertical="center"/>
    </xf>
    <xf numFmtId="0" fontId="14" fillId="0" borderId="4" applyAlignment="1" pivotButton="0" quotePrefix="0" xfId="0">
      <alignment horizontal="left" vertical="center"/>
    </xf>
    <xf numFmtId="164" fontId="15" fillId="0" borderId="4" applyAlignment="1" pivotButton="0" quotePrefix="0" xfId="0">
      <alignment horizontal="right" vertical="center"/>
    </xf>
    <xf numFmtId="0" fontId="11" fillId="0" borderId="2" applyAlignment="1" pivotButton="0" quotePrefix="0" xfId="0">
      <alignment horizontal="left" vertical="center"/>
    </xf>
    <xf numFmtId="0" fontId="16" fillId="6" borderId="3" applyAlignment="1" pivotButton="0" quotePrefix="0" xfId="0">
      <alignment horizontal="left" vertical="center"/>
    </xf>
    <xf numFmtId="0" fontId="17" fillId="0" borderId="4" applyAlignment="1" pivotButton="0" quotePrefix="0" xfId="0">
      <alignment horizontal="left" vertical="center" wrapText="1"/>
    </xf>
    <xf numFmtId="0" fontId="17" fillId="8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3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1" min="1" max="1"/>
    <col width="18" customWidth="1" style="11" min="2" max="3"/>
    <col width="18" customWidth="1" style="12" min="3" max="3"/>
    <col width="40" customWidth="1" style="12" min="4" max="4"/>
  </cols>
  <sheetData>
    <row r="1" ht="20" customHeight="1" s="12">
      <c r="B1" s="27" t="inlineStr">
        <is>
          <t>01/01/YYYY - 31/12/YYYY</t>
        </is>
      </c>
      <c r="C1" s="27" t="inlineStr">
        <is>
          <t>01/01/YYYY - 31/12/YYYY</t>
        </is>
      </c>
      <c r="D1" s="37" t="inlineStr">
        <is>
          <t>Source</t>
        </is>
      </c>
    </row>
    <row r="3" ht="24" customHeight="1" s="12">
      <c r="A3" s="28" t="inlineStr">
        <is>
          <t>Statement of cash flows, indirect method</t>
        </is>
      </c>
      <c r="D3" s="28" t="n"/>
    </row>
    <row r="4" ht="18" customHeight="1" s="12">
      <c r="A4" s="29" t="inlineStr">
        <is>
          <t>Statement of cash flows</t>
        </is>
      </c>
      <c r="B4" s="30" t="n"/>
      <c r="C4" s="30" t="n"/>
      <c r="D4" s="38" t="n"/>
    </row>
    <row r="5" ht="18" customHeight="1" s="12">
      <c r="A5" s="29" t="inlineStr">
        <is>
          <t>Statement of cash flows</t>
        </is>
      </c>
      <c r="B5" s="30" t="n"/>
      <c r="C5" s="30" t="n"/>
      <c r="D5" s="38" t="n"/>
    </row>
    <row r="6" ht="18" customHeight="1" s="12">
      <c r="A6" s="29" t="inlineStr">
        <is>
          <t>Statement of cash flows</t>
        </is>
      </c>
      <c r="B6" s="30" t="n"/>
      <c r="C6" s="30" t="n"/>
      <c r="D6" s="38" t="n"/>
    </row>
    <row r="7" ht="18" customHeight="1" s="12">
      <c r="A7" s="29" t="inlineStr">
        <is>
          <t>Cash flows from (used in) operating activities</t>
        </is>
      </c>
      <c r="B7" s="30" t="n"/>
      <c r="C7" s="30" t="n"/>
      <c r="D7" s="38" t="n"/>
    </row>
    <row r="8" ht="18" customHeight="1" s="12">
      <c r="A8" s="31" t="inlineStr">
        <is>
          <t>*Profit (loss) before tax</t>
        </is>
      </c>
      <c r="B8" s="32" t="n"/>
      <c r="C8" s="32" t="n"/>
      <c r="D8" s="39" t="n"/>
    </row>
    <row r="9" ht="18" customHeight="1" s="12">
      <c r="A9" s="33" t="inlineStr">
        <is>
          <t>*Total profit(loss) before tax</t>
        </is>
      </c>
      <c r="B9" s="34">
        <f>1*B8</f>
        <v/>
      </c>
      <c r="C9" s="34">
        <f>1*C8</f>
        <v/>
      </c>
      <c r="D9" s="40" t="n"/>
    </row>
    <row r="10" ht="18" customHeight="1" s="12">
      <c r="A10" s="29" t="inlineStr">
        <is>
          <t>Adjustments to reconcile profit (loss)</t>
        </is>
      </c>
      <c r="B10" s="30" t="n"/>
      <c r="C10" s="30" t="n"/>
      <c r="D10" s="38" t="n"/>
    </row>
    <row r="11" ht="18" customHeight="1" s="12">
      <c r="A11" s="35" t="inlineStr">
        <is>
          <t>Adjustments for depreciation</t>
        </is>
      </c>
      <c r="B11" s="32" t="n"/>
      <c r="C11" s="32" t="n"/>
      <c r="D11" s="39" t="n"/>
    </row>
    <row r="12" ht="18" customHeight="1" s="12">
      <c r="A12" s="35" t="inlineStr">
        <is>
          <t>Adjustments for amortisation expense</t>
        </is>
      </c>
      <c r="B12" s="32" t="n"/>
      <c r="C12" s="32" t="n"/>
      <c r="D12" s="39" t="n"/>
    </row>
    <row r="13" ht="18" customHeight="1" s="12">
      <c r="A13" s="35" t="inlineStr">
        <is>
          <t>Adjustments for dividend income</t>
        </is>
      </c>
      <c r="B13" s="32" t="n"/>
      <c r="C13" s="32" t="n"/>
      <c r="D13" s="39" t="n"/>
    </row>
    <row r="14" ht="18" customHeight="1" s="12">
      <c r="A14" s="35" t="inlineStr">
        <is>
          <t>Adjustments for equity settled share-based payment transactions</t>
        </is>
      </c>
      <c r="B14" s="32" t="n"/>
      <c r="C14" s="32" t="n"/>
      <c r="D14" s="39" t="n"/>
    </row>
    <row r="15" ht="18" customHeight="1" s="12">
      <c r="A15" s="35" t="inlineStr">
        <is>
          <t>Adjustments for changes in fair value of investment properties</t>
        </is>
      </c>
      <c r="B15" s="32" t="n"/>
      <c r="C15" s="32" t="n"/>
      <c r="D15" s="39" t="n"/>
    </row>
    <row r="16" ht="18" customHeight="1" s="12">
      <c r="A16" s="35" t="inlineStr">
        <is>
          <t>Adjustments for unrealised foreign exchange losses (gains)</t>
        </is>
      </c>
      <c r="B16" s="32" t="n"/>
      <c r="C16" s="32" t="n"/>
      <c r="D16" s="39" t="n"/>
    </row>
    <row r="17" ht="18" customHeight="1" s="12">
      <c r="A17" s="35" t="inlineStr">
        <is>
          <t>Adjustments for interest income</t>
        </is>
      </c>
      <c r="B17" s="32" t="n"/>
      <c r="C17" s="32" t="n"/>
      <c r="D17" s="39" t="n"/>
    </row>
    <row r="18" ht="18" customHeight="1" s="12">
      <c r="A18" s="35" t="inlineStr">
        <is>
          <t>Adjustments for performance-based employee share scheme and other expenses</t>
        </is>
      </c>
      <c r="B18" s="32" t="n"/>
      <c r="C18" s="32" t="n"/>
      <c r="D18" s="39" t="n"/>
    </row>
    <row r="19" ht="18" customHeight="1" s="12">
      <c r="A19" s="35" t="inlineStr">
        <is>
          <t>Adjustments for share of profits of joint ventures (net of tax)</t>
        </is>
      </c>
      <c r="B19" s="32" t="n"/>
      <c r="C19" s="32" t="n"/>
      <c r="D19" s="39" t="n"/>
    </row>
    <row r="20" ht="18" customHeight="1" s="12">
      <c r="A20" s="35" t="inlineStr">
        <is>
          <t>Adjustments for share option expenses</t>
        </is>
      </c>
      <c r="B20" s="32" t="n"/>
      <c r="C20" s="32" t="n"/>
      <c r="D20" s="39" t="n"/>
    </row>
    <row r="21" ht="18" customHeight="1" s="12">
      <c r="A21" s="35" t="inlineStr">
        <is>
          <t>Adjustments for undistributed profits of associates</t>
        </is>
      </c>
      <c r="B21" s="32" t="n"/>
      <c r="C21" s="32" t="n"/>
      <c r="D21" s="39" t="n"/>
    </row>
    <row r="22" ht="18" customHeight="1" s="12">
      <c r="A22" s="35" t="inlineStr">
        <is>
          <t>Adjustments for finance costs</t>
        </is>
      </c>
      <c r="B22" s="32" t="n"/>
      <c r="C22" s="32" t="n"/>
      <c r="D22" s="39" t="n"/>
    </row>
    <row r="23" ht="18" customHeight="1" s="12">
      <c r="A23" s="35" t="inlineStr">
        <is>
          <t>Adjustments for finance income</t>
        </is>
      </c>
      <c r="B23" s="32" t="n"/>
      <c r="C23" s="32" t="n"/>
      <c r="D23" s="39" t="n"/>
    </row>
    <row r="24" ht="18" customHeight="1" s="12">
      <c r="A24" s="35" t="inlineStr">
        <is>
          <t>Short-term lease payments, payments for leases of low-value assets and variable lease payments not included in the measurement of the lease liability</t>
        </is>
      </c>
      <c r="B24" s="32" t="n"/>
      <c r="C24" s="32" t="n"/>
      <c r="D24" s="39" t="n"/>
    </row>
    <row r="25" ht="18" customHeight="1" s="12">
      <c r="A25" s="35" t="inlineStr">
        <is>
          <t>Adjustments for other non-current assets</t>
        </is>
      </c>
      <c r="B25" s="32" t="n"/>
      <c r="C25" s="32" t="n"/>
      <c r="D25" s="39" t="n"/>
    </row>
    <row r="26" ht="18" customHeight="1" s="12">
      <c r="A26" s="29" t="inlineStr">
        <is>
          <t>Adjustments for impairment loss (reversal of impairment loss) recognised in profit or loss</t>
        </is>
      </c>
      <c r="B26" s="30" t="n"/>
      <c r="C26" s="30" t="n"/>
      <c r="D26" s="38" t="n"/>
    </row>
    <row r="27" ht="18" customHeight="1" s="12">
      <c r="A27" s="35" t="inlineStr">
        <is>
          <t>Impairment (reversal of impairment) of property, plant and equipment</t>
        </is>
      </c>
      <c r="B27" s="32" t="n"/>
      <c r="C27" s="32" t="n"/>
      <c r="D27" s="39" t="n"/>
    </row>
    <row r="28" ht="18" customHeight="1" s="12">
      <c r="A28" s="35" t="inlineStr">
        <is>
          <t>Impairment (reversal of impairment) of investment properties</t>
        </is>
      </c>
      <c r="B28" s="32" t="n"/>
      <c r="C28" s="32" t="n"/>
      <c r="D28" s="39" t="n"/>
    </row>
    <row r="29" ht="18" customHeight="1" s="12">
      <c r="A29" s="35" t="inlineStr">
        <is>
          <t>Impairment (reversal of impairment) of prepaid lease rentals</t>
        </is>
      </c>
      <c r="B29" s="32" t="n"/>
      <c r="C29" s="32" t="n"/>
      <c r="D29" s="39" t="n"/>
    </row>
    <row r="30" ht="18" customHeight="1" s="12">
      <c r="A30" s="35" t="inlineStr">
        <is>
          <t>Impairment (reversal of impairment) of intangible assets</t>
        </is>
      </c>
      <c r="B30" s="32" t="n"/>
      <c r="C30" s="32" t="n"/>
      <c r="D30" s="39" t="n"/>
    </row>
    <row r="31" ht="18" customHeight="1" s="12">
      <c r="A31" s="35" t="inlineStr">
        <is>
          <t>Impairment (reversal of impairment) of investment in subsidiaries</t>
        </is>
      </c>
      <c r="B31" s="32" t="n"/>
      <c r="C31" s="32" t="n"/>
      <c r="D31" s="39" t="n"/>
    </row>
    <row r="32" ht="18" customHeight="1" s="12">
      <c r="A32" s="35" t="inlineStr">
        <is>
          <t>Impairment (reversal of impairment) of investment in associates</t>
        </is>
      </c>
      <c r="B32" s="32" t="n"/>
      <c r="C32" s="32" t="n"/>
      <c r="D32" s="39" t="n"/>
    </row>
    <row r="33" ht="18" customHeight="1" s="12">
      <c r="A33" s="35" t="inlineStr">
        <is>
          <t>Impairment (reversal of impairment) of investment in joint ventures</t>
        </is>
      </c>
      <c r="B33" s="32" t="n"/>
      <c r="C33" s="32" t="n"/>
      <c r="D33" s="39" t="n"/>
    </row>
    <row r="34" ht="18" customHeight="1" s="12">
      <c r="A34" s="35" t="inlineStr">
        <is>
          <t>Impairment (reversal of impairment) of other investments</t>
        </is>
      </c>
      <c r="B34" s="32" t="n"/>
      <c r="C34" s="32" t="n"/>
      <c r="D34" s="39" t="n"/>
    </row>
    <row r="35" ht="18" customHeight="1" s="12">
      <c r="A35" s="35" t="inlineStr">
        <is>
          <t>Impairment (reversal of impairment) of other financial assets or receivables</t>
        </is>
      </c>
      <c r="B35" s="32" t="n"/>
      <c r="C35" s="32" t="n"/>
      <c r="D35" s="39" t="n"/>
    </row>
    <row r="36" ht="18" customHeight="1" s="12">
      <c r="A36" s="33" t="inlineStr">
        <is>
          <t>Total adjustment for impairment (reversal of impairment)</t>
        </is>
      </c>
      <c r="B36" s="34">
        <f>1*B28+1*B29+1*B30+1*B31+1*B32+1*B33+1*B34+1*B35</f>
        <v/>
      </c>
      <c r="C36" s="34">
        <f>1*C28+1*C29+1*C30+1*C31+1*C32+1*C33+1*C34+1*C35</f>
        <v/>
      </c>
      <c r="D36" s="40" t="n"/>
    </row>
    <row r="37" ht="18" customHeight="1" s="12">
      <c r="A37" s="29" t="inlineStr">
        <is>
          <t>Adjustments for losses (gains) on disposal of non-current assets</t>
        </is>
      </c>
      <c r="B37" s="30" t="n"/>
      <c r="C37" s="30" t="n"/>
      <c r="D37" s="38" t="n"/>
    </row>
    <row r="38" ht="18" customHeight="1" s="12">
      <c r="A38" s="35" t="inlineStr">
        <is>
          <t>(Gain) loss on disposal of property, plant and equipment</t>
        </is>
      </c>
      <c r="B38" s="32" t="n">
        <v>-70</v>
      </c>
      <c r="C38" s="32" t="n"/>
      <c r="D38" s="39" t="n"/>
    </row>
    <row r="39" ht="18" customHeight="1" s="12">
      <c r="A39" s="35" t="inlineStr">
        <is>
          <t>(Gain) loss on disposal of investment properties</t>
        </is>
      </c>
      <c r="B39" s="32" t="n"/>
      <c r="C39" s="32" t="n"/>
      <c r="D39" s="39" t="n"/>
    </row>
    <row r="40" ht="18" customHeight="1" s="12">
      <c r="A40" s="33" t="inlineStr">
        <is>
          <t>Total gain (loss) on disposal of non-current assets</t>
        </is>
      </c>
      <c r="B40" s="34">
        <f>1*B38+1*B39</f>
        <v/>
      </c>
      <c r="C40" s="34">
        <f>1*C38+1*C39</f>
        <v/>
      </c>
      <c r="D40" s="40" t="n"/>
    </row>
    <row r="41" ht="18" customHeight="1" s="12">
      <c r="A41" s="35" t="inlineStr">
        <is>
          <t>(Gain) loss on disposal of subsidiaries</t>
        </is>
      </c>
      <c r="B41" s="32" t="n"/>
      <c r="C41" s="32" t="n"/>
      <c r="D41" s="39" t="n"/>
    </row>
    <row r="42" ht="18" customHeight="1" s="12">
      <c r="A42" s="35" t="inlineStr">
        <is>
          <t>(Gain) loss on disposal of associates</t>
        </is>
      </c>
      <c r="B42" s="32" t="n"/>
      <c r="C42" s="32" t="n"/>
      <c r="D42" s="39" t="n"/>
    </row>
    <row r="43" ht="18" customHeight="1" s="12">
      <c r="A43" s="35" t="inlineStr">
        <is>
          <t>(Gain) loss on disposal of joint ventures</t>
        </is>
      </c>
      <c r="B43" s="32" t="n"/>
      <c r="C43" s="32" t="n"/>
      <c r="D43" s="39" t="n"/>
    </row>
    <row r="44" ht="18" customHeight="1" s="12">
      <c r="A44" s="35" t="inlineStr">
        <is>
          <t>Gain on disposal of other investments</t>
        </is>
      </c>
      <c r="B44" s="32" t="n"/>
      <c r="C44" s="32" t="n"/>
      <c r="D44" s="39" t="n"/>
    </row>
    <row r="45" ht="18" customHeight="1" s="12">
      <c r="A45" s="35" t="inlineStr">
        <is>
          <t>Realised foreign currencies exchange gain transferred from equity</t>
        </is>
      </c>
      <c r="B45" s="32" t="n"/>
      <c r="C45" s="32" t="n"/>
      <c r="D45" s="39" t="n"/>
    </row>
    <row r="46" ht="18" customHeight="1" s="12">
      <c r="A46" s="35" t="inlineStr">
        <is>
          <t>Other adjustments for non-cash items</t>
        </is>
      </c>
      <c r="B46" s="32" t="n"/>
      <c r="C46" s="32" t="n"/>
      <c r="D46" s="39" t="n"/>
    </row>
    <row r="47" ht="18" customHeight="1" s="12">
      <c r="A47" s="29" t="inlineStr">
        <is>
          <t>Write–off:</t>
        </is>
      </c>
      <c r="B47" s="30" t="n"/>
      <c r="C47" s="30" t="n"/>
      <c r="D47" s="38" t="n"/>
    </row>
    <row r="48" ht="18" customHeight="1" s="12">
      <c r="A48" s="35" t="inlineStr">
        <is>
          <t>Write offs of property, plant and equipment</t>
        </is>
      </c>
      <c r="B48" s="32" t="n"/>
      <c r="C48" s="32" t="n"/>
      <c r="D48" s="39" t="n"/>
    </row>
    <row r="49" ht="18" customHeight="1" s="12">
      <c r="A49" s="35" t="inlineStr">
        <is>
          <t>Write offs of intangible assets</t>
        </is>
      </c>
      <c r="B49" s="32" t="n"/>
      <c r="C49" s="32" t="n"/>
      <c r="D49" s="39" t="n"/>
    </row>
    <row r="50" ht="18" customHeight="1" s="12">
      <c r="A50" s="35" t="inlineStr">
        <is>
          <t>Write offs of investments</t>
        </is>
      </c>
      <c r="B50" s="32" t="n"/>
      <c r="C50" s="32" t="n"/>
      <c r="D50" s="39" t="n"/>
    </row>
    <row r="51" ht="18" customHeight="1" s="12">
      <c r="A51" s="35" t="inlineStr">
        <is>
          <t>Write offs of inventories</t>
        </is>
      </c>
      <c r="B51" s="32" t="n"/>
      <c r="C51" s="32" t="n"/>
      <c r="D51" s="39" t="n"/>
    </row>
    <row r="52" ht="18" customHeight="1" s="12">
      <c r="A52" s="35" t="inlineStr">
        <is>
          <t>Write off of trade and other receivables</t>
        </is>
      </c>
      <c r="B52" s="32" t="n"/>
      <c r="C52" s="32" t="n"/>
      <c r="D52" s="39" t="n"/>
    </row>
    <row r="53" ht="18" customHeight="1" s="12">
      <c r="A53" s="35" t="inlineStr">
        <is>
          <t>Write offs of other financial assets</t>
        </is>
      </c>
      <c r="B53" s="32" t="n"/>
      <c r="C53" s="32" t="n"/>
      <c r="D53" s="39" t="n"/>
    </row>
    <row r="54" ht="18" customHeight="1" s="12">
      <c r="A54" s="33" t="inlineStr">
        <is>
          <t>Total write-off</t>
        </is>
      </c>
      <c r="B54" s="34">
        <f>1*B48+1*B49+1*B50+1*B51+1*B52+1*B53</f>
        <v/>
      </c>
      <c r="C54" s="34">
        <f>1*C48+1*C49+1*C50+1*C51+1*C52+1*C53</f>
        <v/>
      </c>
      <c r="D54" s="40" t="n"/>
    </row>
    <row r="55" ht="18" customHeight="1" s="12">
      <c r="A55" s="35" t="inlineStr">
        <is>
          <t>Write back of expenses</t>
        </is>
      </c>
      <c r="B55" s="32" t="n"/>
      <c r="C55" s="32" t="n"/>
      <c r="D55" s="39" t="n"/>
    </row>
    <row r="56" ht="18" customHeight="1" s="12">
      <c r="A56" s="35" t="inlineStr">
        <is>
          <t>Other adjustments to reconcile profit (loss)</t>
        </is>
      </c>
      <c r="B56" s="32" t="n"/>
      <c r="C56" s="32" t="n"/>
      <c r="D56" s="39" t="n"/>
    </row>
    <row r="57" ht="18" customHeight="1" s="12">
      <c r="A57" s="33" t="inlineStr">
        <is>
          <t>*Total adjustments to reconcile profit (loss)</t>
        </is>
      </c>
      <c r="B57" s="34">
        <f>1*B11+1*B12+-1*B13+1*B14+-1*B15+1*B16+-1*B17+1*B18+1*B19+1*B20+-1*B21+1*B22+-1*B23+-1*B24+1*B25+1*B56+-1*B60+-1*B41+-1*B42+-1*B43+-1*B44+-1*B45+1*B46+1*B54+1*B55+1*B56</f>
        <v/>
      </c>
      <c r="C57" s="34">
        <f>1*C11+1*C12+-1*C13+1*C14+-1*C15+1*C16+-1*C17+1*C18+1*C19+1*C20+-1*C21+1*C22+-1*C23+-1*C24+1*C25+1*C56+-1*C60+-1*C41+-1*C42+-1*C43+-1*C44+-1*C45+1*C46+1*C54+1*C55+1*C56</f>
        <v/>
      </c>
      <c r="D57" s="40" t="n"/>
    </row>
    <row r="58" ht="18" customHeight="1" s="12">
      <c r="A58" s="31" t="inlineStr">
        <is>
          <t>*Operating surplus (deficit) before working capital changes</t>
        </is>
      </c>
      <c r="B58" s="36">
        <f>1*B9+1*B57</f>
        <v/>
      </c>
      <c r="C58" s="36">
        <f>1*C9+1*C57</f>
        <v/>
      </c>
      <c r="D58" s="39" t="n"/>
    </row>
    <row r="59" ht="18" customHeight="1" s="12">
      <c r="A59" s="29" t="inlineStr">
        <is>
          <t>Changes in working capital</t>
        </is>
      </c>
      <c r="B59" s="30" t="n"/>
      <c r="C59" s="30" t="n"/>
      <c r="D59" s="38" t="n"/>
    </row>
    <row r="60" ht="18" customHeight="1" s="12">
      <c r="A60" s="35" t="inlineStr">
        <is>
          <t>Adjustments for decrease (increase) in inventories</t>
        </is>
      </c>
      <c r="B60" s="32" t="n"/>
      <c r="C60" s="32" t="n"/>
      <c r="D60" s="39" t="n"/>
    </row>
    <row r="61" ht="18" customHeight="1" s="12">
      <c r="A61" s="35" t="inlineStr">
        <is>
          <t>Adjustments for decrease (increase) in trade and other receivables</t>
        </is>
      </c>
      <c r="B61" s="32" t="n"/>
      <c r="C61" s="32" t="n"/>
      <c r="D61" s="39" t="n"/>
    </row>
    <row r="62" ht="18" customHeight="1" s="12">
      <c r="A62" s="35" t="inlineStr">
        <is>
          <t>Adjustments for increase (decrease) in trade and other payables</t>
        </is>
      </c>
      <c r="B62" s="32" t="n"/>
      <c r="C62" s="32" t="n"/>
      <c r="D62" s="39" t="n"/>
    </row>
    <row r="63" ht="18" customHeight="1" s="12">
      <c r="A63" s="35" t="inlineStr">
        <is>
          <t>Adjustments for decrease (increase) in property development costs</t>
        </is>
      </c>
      <c r="B63" s="32" t="n"/>
      <c r="C63" s="32" t="n"/>
      <c r="D63" s="39" t="n"/>
    </row>
    <row r="64" ht="18" customHeight="1" s="12">
      <c r="A64" s="35" t="inlineStr">
        <is>
          <t>Adjustments for decrease (increase) in contract assets</t>
        </is>
      </c>
      <c r="B64" s="32" t="n"/>
      <c r="C64" s="32" t="n"/>
      <c r="D64" s="39" t="n"/>
    </row>
    <row r="65" ht="18" customHeight="1" s="12">
      <c r="A65" s="35" t="inlineStr">
        <is>
          <t>Adjustments for decrease (increase) in contract liabilities</t>
        </is>
      </c>
      <c r="B65" s="32" t="n"/>
      <c r="C65" s="32" t="n"/>
      <c r="D65" s="39" t="n"/>
    </row>
    <row r="66" ht="18" customHeight="1" s="12">
      <c r="A66" s="33" t="inlineStr">
        <is>
          <t>*Total changes in working capital</t>
        </is>
      </c>
      <c r="B66" s="34">
        <f>-1*B60+-1*B61+-1*B62+-1*B63+-1*B64+-1*B65</f>
        <v/>
      </c>
      <c r="C66" s="34">
        <f>-1*C60+-1*C61+-1*C62+-1*C63+-1*C64+-1*C65</f>
        <v/>
      </c>
      <c r="D66" s="40" t="n"/>
    </row>
    <row r="67" ht="18" customHeight="1" s="12">
      <c r="A67" s="31" t="inlineStr">
        <is>
          <t>*Cash generated from (used in) operations</t>
        </is>
      </c>
      <c r="B67" s="36">
        <f>1*B58+1*B66</f>
        <v/>
      </c>
      <c r="C67" s="36">
        <f>1*C58+1*C66</f>
        <v/>
      </c>
      <c r="D67" s="39" t="n"/>
    </row>
    <row r="68" ht="18" customHeight="1" s="12">
      <c r="A68" s="35" t="inlineStr">
        <is>
          <t>Dividends received</t>
        </is>
      </c>
      <c r="B68" s="32" t="n"/>
      <c r="C68" s="32" t="n"/>
      <c r="D68" s="39" t="n"/>
    </row>
    <row r="69" ht="18" customHeight="1" s="12">
      <c r="A69" s="35" t="inlineStr">
        <is>
          <t>Dividends paid</t>
        </is>
      </c>
      <c r="B69" s="32" t="n"/>
      <c r="C69" s="32" t="n"/>
      <c r="D69" s="39" t="n"/>
    </row>
    <row r="70" ht="18" customHeight="1" s="12">
      <c r="A70" s="35" t="inlineStr">
        <is>
          <t>Interest received</t>
        </is>
      </c>
      <c r="B70" s="32" t="n"/>
      <c r="C70" s="32" t="n"/>
      <c r="D70" s="39" t="n"/>
    </row>
    <row r="71" ht="18" customHeight="1" s="12">
      <c r="A71" s="35" t="inlineStr">
        <is>
          <t>Interest paid</t>
        </is>
      </c>
      <c r="B71" s="32" t="n"/>
      <c r="C71" s="32" t="n"/>
      <c r="D71" s="39" t="n"/>
    </row>
    <row r="72" ht="18" customHeight="1" s="12">
      <c r="A72" s="35" t="inlineStr">
        <is>
          <t>Payment to a retirement benefits scheme</t>
        </is>
      </c>
      <c r="B72" s="32" t="n"/>
      <c r="C72" s="32" t="n"/>
      <c r="D72" s="39" t="n"/>
    </row>
    <row r="73" ht="18" customHeight="1" s="12">
      <c r="A73" s="35" t="inlineStr">
        <is>
          <t>Income taxes refund (paid)</t>
        </is>
      </c>
      <c r="B73" s="32" t="n"/>
      <c r="C73" s="32" t="n"/>
      <c r="D73" s="39" t="n"/>
    </row>
    <row r="74" ht="18" customHeight="1" s="12">
      <c r="A74" s="35" t="inlineStr">
        <is>
          <t>Other cash inflows (outflows) from operating activities</t>
        </is>
      </c>
      <c r="B74" s="32" t="n"/>
      <c r="C74" s="32" t="n"/>
      <c r="D74" s="39" t="n"/>
    </row>
    <row r="75" ht="18" customHeight="1" s="12">
      <c r="A75" s="31" t="inlineStr">
        <is>
          <t>*Net cash flows from (used in) operating activities</t>
        </is>
      </c>
      <c r="B75" s="36">
        <f>1*B24+1*B68+1*B69+1*B70+1*B71+1*B72+1*B73+1*B74+1*B67</f>
        <v/>
      </c>
      <c r="C75" s="36">
        <f>1*C24+1*C68+1*C69+1*C70+1*C71+1*C72+1*C73+1*C74+1*C67</f>
        <v/>
      </c>
      <c r="D75" s="39" t="n"/>
    </row>
    <row r="76" ht="18" customHeight="1" s="12">
      <c r="A76" s="29" t="inlineStr">
        <is>
          <t>Cash flows from (used in) investing activities</t>
        </is>
      </c>
      <c r="B76" s="30" t="n"/>
      <c r="C76" s="30" t="n"/>
      <c r="D76" s="38" t="n"/>
    </row>
    <row r="77" ht="18" customHeight="1" s="12">
      <c r="A77" s="35" t="inlineStr">
        <is>
          <t>Proceeds from disposal of subsidiaries</t>
        </is>
      </c>
      <c r="B77" s="32" t="n"/>
      <c r="C77" s="32" t="n"/>
      <c r="D77" s="39" t="n"/>
    </row>
    <row r="78" ht="18" customHeight="1" s="12">
      <c r="A78" s="35" t="inlineStr">
        <is>
          <t>Acquisition and subscription of shares in subsidiaries</t>
        </is>
      </c>
      <c r="B78" s="32" t="n"/>
      <c r="C78" s="32" t="n"/>
      <c r="D78" s="39" t="n"/>
    </row>
    <row r="79" ht="18" customHeight="1" s="12">
      <c r="A79" s="35" t="inlineStr">
        <is>
          <t>Proceeds from disposal of associates</t>
        </is>
      </c>
      <c r="B79" s="32" t="n"/>
      <c r="C79" s="32" t="n"/>
      <c r="D79" s="39" t="n"/>
    </row>
    <row r="80" ht="18" customHeight="1" s="12">
      <c r="A80" s="35" t="inlineStr">
        <is>
          <t>Acquisition and subscription of shares in associates</t>
        </is>
      </c>
      <c r="B80" s="32" t="n"/>
      <c r="C80" s="32" t="n"/>
      <c r="D80" s="39" t="n"/>
    </row>
    <row r="81" ht="18" customHeight="1" s="12">
      <c r="A81" s="35" t="inlineStr">
        <is>
          <t>Proceeds from disposal of joint ventures</t>
        </is>
      </c>
      <c r="B81" s="32" t="n"/>
      <c r="C81" s="32" t="n"/>
      <c r="D81" s="39" t="n"/>
    </row>
    <row r="82" ht="18" customHeight="1" s="12">
      <c r="A82" s="35" t="inlineStr">
        <is>
          <t>Acquisition and subscription of shares in joint ventures</t>
        </is>
      </c>
      <c r="B82" s="32" t="n"/>
      <c r="C82" s="32" t="n"/>
      <c r="D82" s="39" t="n"/>
    </row>
    <row r="83" ht="18" customHeight="1" s="12">
      <c r="A83" s="35" t="inlineStr">
        <is>
          <t>Cash receipts from repayment of advances and loans made to other parties, classified as investing activities</t>
        </is>
      </c>
      <c r="B83" s="32" t="n"/>
      <c r="C83" s="32" t="n"/>
      <c r="D83" s="39" t="n"/>
    </row>
    <row r="84" ht="18" customHeight="1" s="12">
      <c r="A84" s="35" t="inlineStr">
        <is>
          <t>Cash advances and loans made to other parties</t>
        </is>
      </c>
      <c r="B84" s="32" t="n"/>
      <c r="C84" s="32" t="n"/>
      <c r="D84" s="39" t="n"/>
    </row>
    <row r="85" ht="18" customHeight="1" s="12">
      <c r="A85" s="35" t="inlineStr">
        <is>
          <t>Deposit placed with investment brokers</t>
        </is>
      </c>
      <c r="B85" s="32" t="n"/>
      <c r="C85" s="32" t="n"/>
      <c r="D85" s="39" t="n"/>
    </row>
    <row r="86" ht="18" customHeight="1" s="12">
      <c r="A86" s="35" t="inlineStr">
        <is>
          <t>Other cash payments to acquire equity or debt instruments of other entities</t>
        </is>
      </c>
      <c r="B86" s="32" t="n"/>
      <c r="C86" s="32" t="n"/>
      <c r="D86" s="39" t="n"/>
    </row>
    <row r="87" ht="18" customHeight="1" s="12">
      <c r="A87" s="35" t="inlineStr">
        <is>
          <t>Other cash receipts from sales of equity or debt instruments of other entities</t>
        </is>
      </c>
      <c r="B87" s="32" t="n"/>
      <c r="C87" s="32" t="n"/>
      <c r="D87" s="39" t="n"/>
    </row>
    <row r="88" ht="18" customHeight="1" s="12">
      <c r="A88" s="35" t="inlineStr">
        <is>
          <t>Disposal of discontinued operation, proceeds from disposal, net of cash and cash equivalents disposed of</t>
        </is>
      </c>
      <c r="B88" s="32" t="n"/>
      <c r="C88" s="32" t="n"/>
      <c r="D88" s="39" t="n"/>
    </row>
    <row r="89" ht="18" customHeight="1" s="12">
      <c r="A89" s="35" t="inlineStr">
        <is>
          <t>Disposal of discontinued operation, tax paid on gain on disposal</t>
        </is>
      </c>
      <c r="B89" s="32" t="n"/>
      <c r="C89" s="32" t="n"/>
      <c r="D89" s="39" t="n"/>
    </row>
    <row r="90" ht="18" customHeight="1" s="12">
      <c r="A90" s="35" t="inlineStr">
        <is>
          <t>Proceeds from government grants</t>
        </is>
      </c>
      <c r="B90" s="32" t="n"/>
      <c r="C90" s="32" t="n"/>
      <c r="D90" s="39" t="n"/>
    </row>
    <row r="91" ht="18" customHeight="1" s="12">
      <c r="A91" s="35" t="inlineStr">
        <is>
          <t>Proceeds from sales of intangible assets</t>
        </is>
      </c>
      <c r="B91" s="32" t="n"/>
      <c r="C91" s="32" t="n"/>
      <c r="D91" s="39" t="n"/>
    </row>
    <row r="92" ht="18" customHeight="1" s="12">
      <c r="A92" s="35" t="inlineStr">
        <is>
          <t>Proceeds from sales of other non-current assets</t>
        </is>
      </c>
      <c r="B92" s="32" t="n"/>
      <c r="C92" s="32" t="n"/>
      <c r="D92" s="39" t="n"/>
    </row>
    <row r="93" ht="18" customHeight="1" s="12">
      <c r="A93" s="35" t="inlineStr">
        <is>
          <t>Proceeds from sales of property, plant and equipment</t>
        </is>
      </c>
      <c r="B93" s="32" t="n"/>
      <c r="C93" s="32" t="n"/>
      <c r="D93" s="39" t="n"/>
    </row>
    <row r="94" ht="18" customHeight="1" s="12">
      <c r="A94" s="35" t="inlineStr">
        <is>
          <t>Proceeds from sale of prepaid lease payments</t>
        </is>
      </c>
      <c r="B94" s="32" t="n"/>
      <c r="C94" s="32" t="n"/>
      <c r="D94" s="39" t="n"/>
    </row>
    <row r="95" ht="18" customHeight="1" s="12">
      <c r="A95" s="35" t="inlineStr">
        <is>
          <t>Purchase of intangible assets</t>
        </is>
      </c>
      <c r="B95" s="32" t="n"/>
      <c r="C95" s="32" t="n"/>
      <c r="D95" s="39" t="n"/>
    </row>
    <row r="96" ht="18" customHeight="1" s="12">
      <c r="A96" s="35" t="inlineStr">
        <is>
          <t>Purchase of other non-current assets</t>
        </is>
      </c>
      <c r="B96" s="32" t="n"/>
      <c r="C96" s="32" t="n"/>
      <c r="D96" s="39" t="n"/>
    </row>
    <row r="97" ht="18" customHeight="1" s="12">
      <c r="A97" s="35" t="inlineStr">
        <is>
          <t>Purchase of property, plant and equipment</t>
        </is>
      </c>
      <c r="B97" s="32" t="n"/>
      <c r="C97" s="32" t="n"/>
      <c r="D97" s="39" t="n"/>
    </row>
    <row r="98" ht="18" customHeight="1" s="12">
      <c r="A98" s="35" t="inlineStr">
        <is>
          <t>Dividends received</t>
        </is>
      </c>
      <c r="B98" s="32" t="n"/>
      <c r="C98" s="32" t="n"/>
      <c r="D98" s="39" t="n"/>
    </row>
    <row r="99" ht="18" customHeight="1" s="12">
      <c r="A99" s="35" t="inlineStr">
        <is>
          <t>Interest received</t>
        </is>
      </c>
      <c r="B99" s="32" t="n"/>
      <c r="C99" s="32" t="n"/>
      <c r="D99" s="39" t="n"/>
    </row>
    <row r="100" ht="18" customHeight="1" s="12">
      <c r="A100" s="35" t="inlineStr">
        <is>
          <t>Proceeds from sale of other investment</t>
        </is>
      </c>
      <c r="B100" s="32" t="n"/>
      <c r="C100" s="32" t="n"/>
      <c r="D100" s="39" t="n"/>
    </row>
    <row r="101" ht="18" customHeight="1" s="12">
      <c r="A101" s="35" t="inlineStr">
        <is>
          <t>Purchase of other investment</t>
        </is>
      </c>
      <c r="B101" s="32" t="n"/>
      <c r="C101" s="32" t="n"/>
      <c r="D101" s="39" t="n"/>
    </row>
    <row r="102" ht="18" customHeight="1" s="12">
      <c r="A102" s="35" t="inlineStr">
        <is>
          <t>Development expenditure incurred</t>
        </is>
      </c>
      <c r="B102" s="32" t="n"/>
      <c r="C102" s="32" t="n"/>
      <c r="D102" s="39" t="n"/>
    </row>
    <row r="103" ht="18" customHeight="1" s="12">
      <c r="A103" s="35" t="inlineStr">
        <is>
          <t>Net repayment from joint ventures</t>
        </is>
      </c>
      <c r="B103" s="32" t="n"/>
      <c r="C103" s="32" t="n"/>
      <c r="D103" s="39" t="n"/>
    </row>
    <row r="104" ht="18" customHeight="1" s="12">
      <c r="A104" s="35" t="inlineStr">
        <is>
          <t>Net repayment from associates</t>
        </is>
      </c>
      <c r="B104" s="32" t="n"/>
      <c r="C104" s="32" t="n"/>
      <c r="D104" s="39" t="n"/>
    </row>
    <row r="105" ht="18" customHeight="1" s="12">
      <c r="A105" s="35" t="inlineStr">
        <is>
          <t>Capital distributions from associates</t>
        </is>
      </c>
      <c r="B105" s="32" t="n"/>
      <c r="C105" s="32" t="n"/>
      <c r="D105" s="39" t="n"/>
    </row>
    <row r="106" ht="18" customHeight="1" s="12">
      <c r="A106" s="35" t="inlineStr">
        <is>
          <t>Other cash inflows (outflows) from investing activities</t>
        </is>
      </c>
      <c r="B106" s="32" t="n"/>
      <c r="C106" s="32" t="n"/>
      <c r="D106" s="39" t="n"/>
    </row>
    <row r="107" ht="18" customHeight="1" s="12">
      <c r="A107" s="31" t="inlineStr">
        <is>
          <t>*Net cash flows from (used in) investing activities</t>
        </is>
      </c>
      <c r="B107" s="36">
        <f>1*B77+-1*B78+1*B79+1*B81+-1*B82+1*B83+-1*B84+1*B85+-1*B86+1*B87+-1*B88+1*B89+1*B90+1*B91+1*B92+1*B93+-1*B95+-1*B96+-1*B97+1*B98+1*B99+1*B100+-1*B101+1*B106+1*B80+-1*B102+1*B94+-1*B103+-1*B104+1*B105</f>
        <v/>
      </c>
      <c r="C107" s="36">
        <f>1*C77+-1*C78+1*C79+1*C81+-1*C82+1*C83+-1*C84+1*C85+-1*C86+1*C87+-1*C88+1*C89+1*C90+1*C91+1*C92+1*C93+-1*C95+-1*C96+-1*C97+1*C98+1*C99+1*C100+-1*C101+1*C106+1*C80+-1*C102+1*C94+-1*C103+-1*C104+1*C105</f>
        <v/>
      </c>
      <c r="D107" s="39" t="n"/>
    </row>
    <row r="108" ht="18" customHeight="1" s="12">
      <c r="A108" s="29" t="inlineStr">
        <is>
          <t>Cash flows from (used in) financing activities</t>
        </is>
      </c>
      <c r="B108" s="30" t="n"/>
      <c r="C108" s="30" t="n"/>
      <c r="D108" s="38" t="n"/>
    </row>
    <row r="109" ht="18" customHeight="1" s="12">
      <c r="A109" s="35" t="inlineStr">
        <is>
          <t>Cash payments for the principal portion of the lease liability</t>
        </is>
      </c>
      <c r="B109" s="32" t="n">
        <v>3732</v>
      </c>
      <c r="C109" s="32" t="n"/>
      <c r="D109" s="39" t="n"/>
    </row>
    <row r="110" ht="18" customHeight="1" s="12">
      <c r="A110" s="35" t="inlineStr">
        <is>
          <t>Cash payments for the interest portion of the lease liability</t>
        </is>
      </c>
      <c r="B110" s="32" t="n"/>
      <c r="C110" s="32" t="n"/>
      <c r="D110" s="39" t="n"/>
    </row>
    <row r="111" ht="18" customHeight="1" s="12">
      <c r="A111" s="35" t="inlineStr">
        <is>
          <t>Proceeds from issuing shares</t>
        </is>
      </c>
      <c r="B111" s="32" t="n"/>
      <c r="C111" s="32" t="n"/>
      <c r="D111" s="39" t="n"/>
    </row>
    <row r="112" ht="18" customHeight="1" s="12">
      <c r="A112" s="35" t="inlineStr">
        <is>
          <t>Proceeds from issue of shares in subsidiary to non-controlling interests</t>
        </is>
      </c>
      <c r="B112" s="32" t="n"/>
      <c r="C112" s="32" t="n"/>
      <c r="D112" s="39" t="n"/>
    </row>
    <row r="113" ht="18" customHeight="1" s="12">
      <c r="A113" s="35" t="inlineStr">
        <is>
          <t>Proceeds from issuing other equity instruments</t>
        </is>
      </c>
      <c r="B113" s="32" t="n"/>
      <c r="C113" s="32" t="n"/>
      <c r="D113" s="39" t="n"/>
    </row>
    <row r="114" ht="18" customHeight="1" s="12">
      <c r="A114" s="35" t="inlineStr">
        <is>
          <t>Proceeds from share-based compensation transactions</t>
        </is>
      </c>
      <c r="B114" s="32" t="n"/>
      <c r="C114" s="32" t="n"/>
      <c r="D114" s="39" t="n"/>
    </row>
    <row r="115" ht="18" customHeight="1" s="12">
      <c r="A115" s="35" t="inlineStr">
        <is>
          <t>Payments to acquire or redeem entity's shares</t>
        </is>
      </c>
      <c r="B115" s="32" t="n"/>
      <c r="C115" s="32" t="n"/>
      <c r="D115" s="39" t="n"/>
    </row>
    <row r="116" ht="18" customHeight="1" s="12">
      <c r="A116" s="35" t="inlineStr">
        <is>
          <t>Acquisition of non-controlling interests</t>
        </is>
      </c>
      <c r="B116" s="32" t="n"/>
      <c r="C116" s="32" t="n"/>
      <c r="D116" s="39" t="n"/>
    </row>
    <row r="117" ht="18" customHeight="1" s="12">
      <c r="A117" s="35" t="inlineStr">
        <is>
          <t>Payments of other equity instruments</t>
        </is>
      </c>
      <c r="B117" s="32" t="n"/>
      <c r="C117" s="32" t="n"/>
      <c r="D117" s="39" t="n"/>
    </row>
    <row r="118" ht="18" customHeight="1" s="12">
      <c r="A118" s="35" t="inlineStr">
        <is>
          <t>Perpetual sukuk issuance expenses</t>
        </is>
      </c>
      <c r="B118" s="32" t="n"/>
      <c r="C118" s="32" t="n"/>
      <c r="D118" s="39" t="n"/>
    </row>
    <row r="119" ht="18" customHeight="1" s="12">
      <c r="A119" s="35" t="inlineStr">
        <is>
          <t>Proceeds from issuing debentures, loans, notes, bonds, mortgages and other short-term and long-term borrowings</t>
        </is>
      </c>
      <c r="B119" s="32" t="n"/>
      <c r="C119" s="32" t="n"/>
      <c r="D119" s="39" t="n"/>
    </row>
    <row r="120" ht="18" customHeight="1" s="12">
      <c r="A120" s="35" t="inlineStr">
        <is>
          <t>Repayments of borrowings</t>
        </is>
      </c>
      <c r="B120" s="32" t="n"/>
      <c r="C120" s="32" t="n"/>
      <c r="D120" s="39" t="n"/>
    </row>
    <row r="121" ht="18" customHeight="1" s="12">
      <c r="A121" s="35" t="inlineStr">
        <is>
          <t>Repurchase of treasury shares</t>
        </is>
      </c>
      <c r="B121" s="32" t="n"/>
      <c r="C121" s="32" t="n"/>
      <c r="D121" s="39" t="n"/>
    </row>
    <row r="122" ht="18" customHeight="1" s="12">
      <c r="A122" s="35" t="inlineStr">
        <is>
          <t>Withdrawal(Placement) of bank deposits</t>
        </is>
      </c>
      <c r="B122" s="32" t="n"/>
      <c r="C122" s="32" t="n"/>
      <c r="D122" s="39" t="n"/>
    </row>
    <row r="123" ht="18" customHeight="1" s="12">
      <c r="A123" s="35" t="inlineStr">
        <is>
          <t>Withdrawal(Placement) of securities pledged for borrowings</t>
        </is>
      </c>
      <c r="B123" s="32" t="n"/>
      <c r="C123" s="32" t="n"/>
      <c r="D123" s="39" t="n"/>
    </row>
    <row r="124" ht="18" customHeight="1" s="12">
      <c r="A124" s="35" t="inlineStr">
        <is>
          <t>Dividends paid</t>
        </is>
      </c>
      <c r="B124" s="32" t="n"/>
      <c r="C124" s="32" t="n"/>
      <c r="D124" s="39" t="n"/>
    </row>
    <row r="125" ht="18" customHeight="1" s="12">
      <c r="A125" s="35" t="inlineStr">
        <is>
          <t>Interest paid</t>
        </is>
      </c>
      <c r="B125" s="32" t="n"/>
      <c r="C125" s="32" t="n"/>
      <c r="D125" s="39" t="n"/>
    </row>
    <row r="126" ht="18" customHeight="1" s="12">
      <c r="A126" s="35" t="inlineStr">
        <is>
          <t>Other cash inflows (outflows) from financing activities</t>
        </is>
      </c>
      <c r="B126" s="32" t="n"/>
      <c r="C126" s="32" t="n"/>
      <c r="D126" s="39" t="n"/>
    </row>
    <row r="127" ht="18" customHeight="1" s="12">
      <c r="A127" s="31" t="inlineStr">
        <is>
          <t>*Net cash flows from (used in) financing activities</t>
        </is>
      </c>
      <c r="B127" s="36">
        <f>1*B109+1*B110+1*B111+1*B112+1*B113+-1*B115+-1*B116+-1*B117+1*B119+-1*B120+1*B121+1*B122+1*B123+-1*B124+-1*B125+1*B126+1*B114+1*B118</f>
        <v/>
      </c>
      <c r="C127" s="36">
        <f>1*C109+1*C110+1*C111+1*C112+1*C113+-1*C115+-1*C116+-1*C117+1*C119+-1*C120+1*C121+1*C122+1*C123+-1*C124+-1*C125+1*C126+1*C114+1*C118</f>
        <v/>
      </c>
      <c r="D127" s="39" t="n"/>
    </row>
    <row r="128" ht="18" customHeight="1" s="12">
      <c r="A128" s="31" t="inlineStr">
        <is>
          <t>*Net increase (decrease) in cash and cash equivalents before effect of exchange rate changes</t>
        </is>
      </c>
      <c r="B128" s="36">
        <f>1*B75+1*B107+1*B127</f>
        <v/>
      </c>
      <c r="C128" s="36">
        <f>1*C75+1*C107+1*C127</f>
        <v/>
      </c>
      <c r="D128" s="39" t="n"/>
    </row>
    <row r="129" ht="18" customHeight="1" s="12">
      <c r="A129" s="35" t="inlineStr">
        <is>
          <t>Effect of exchange rate changes on cash and cash equivalents</t>
        </is>
      </c>
      <c r="B129" s="32" t="n"/>
      <c r="C129" s="32" t="n"/>
      <c r="D129" s="39" t="n"/>
    </row>
    <row r="130" ht="18" customHeight="1" s="12">
      <c r="A130" s="31" t="inlineStr">
        <is>
          <t>*Net increase (decrease) in cash and cash equivalents after effect of exchange rate changes</t>
        </is>
      </c>
      <c r="B130" s="36">
        <f>1*B128+1*B129</f>
        <v/>
      </c>
      <c r="C130" s="36">
        <f>1*C128+1*C129</f>
        <v/>
      </c>
      <c r="D130" s="39" t="n"/>
    </row>
    <row r="131" ht="18" customHeight="1" s="12">
      <c r="A131" s="31" t="inlineStr">
        <is>
          <t>*Cash and cash equivalents at beginning of period</t>
        </is>
      </c>
      <c r="B131" s="32" t="n"/>
      <c r="C131" s="32" t="n"/>
      <c r="D131" s="39" t="n"/>
    </row>
    <row r="132" ht="18" customHeight="1" s="12">
      <c r="A132" s="31" t="inlineStr">
        <is>
          <t>*Cash and cash equivalents at end of period</t>
        </is>
      </c>
      <c r="B132" s="32" t="n"/>
      <c r="C132" s="32" t="n"/>
      <c r="D132" s="39" t="n"/>
    </row>
    <row r="133" ht="18" customHeight="1" s="12">
      <c r="A133" s="29" t="inlineStr">
        <is>
          <t>Details of cash flows</t>
        </is>
      </c>
      <c r="B133" s="30" t="n"/>
      <c r="C133" s="30" t="n"/>
      <c r="D133" s="38" t="n"/>
    </row>
    <row r="134" ht="18" customHeight="1" s="12">
      <c r="A134" s="31" t="inlineStr">
        <is>
          <t>*Cash and bank balances</t>
        </is>
      </c>
      <c r="B134" s="32" t="n"/>
      <c r="C134" s="32" t="n"/>
      <c r="D134" s="39" t="n"/>
    </row>
    <row r="135" ht="18" customHeight="1" s="12">
      <c r="A135" s="35" t="inlineStr">
        <is>
          <t>Bank overdraft</t>
        </is>
      </c>
      <c r="B135" s="32" t="n"/>
      <c r="C135" s="32" t="n"/>
      <c r="D135" s="39" t="n"/>
    </row>
    <row r="136" ht="18" customHeight="1" s="12">
      <c r="A136" s="35" t="inlineStr">
        <is>
          <t>Other adjustments to reconcile cash and cash equivalents</t>
        </is>
      </c>
      <c r="B136" s="32" t="n"/>
      <c r="C136" s="32" t="n"/>
      <c r="D136" s="39" t="n"/>
    </row>
    <row r="137" ht="18" customHeight="1" s="12">
      <c r="A137" s="31" t="inlineStr">
        <is>
          <t>*Cash and cash equivalents at end of period</t>
        </is>
      </c>
      <c r="B137" s="36">
        <f>1*B134+-1*B135+1*B136</f>
        <v/>
      </c>
      <c r="C137" s="36">
        <f>1*C134+-1*C135+1*C136</f>
        <v/>
      </c>
      <c r="D137" s="3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2026-04-26T11:16:49Z</dcterms:modified>
  <cp:revision>0</cp:revision>
</cp:coreProperties>
</file>