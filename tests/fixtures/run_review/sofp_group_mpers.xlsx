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P-CuNonCu" sheetId="1" state="visible" r:id="rId1"/>
    <sheet xmlns:r="http://schemas.openxmlformats.org/officeDocument/2006/relationships" name="SOFP-Sub-CuNonC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s="1" t="inlineStr">
        <is>
          <t>Disclosure on statement of financial position</t>
        </is>
      </c>
    </row>
    <row r="4">
      <c r="A4" s="1" t="inlineStr">
        <is>
          <t>Statement of financial position</t>
        </is>
      </c>
    </row>
    <row r="5">
      <c r="A5" s="1" t="inlineStr">
        <is>
          <t>Assets</t>
        </is>
      </c>
    </row>
    <row r="6">
      <c r="A6" s="1" t="inlineStr">
        <is>
          <t>Non-current assets</t>
        </is>
      </c>
    </row>
    <row r="7">
      <c r="A7" t="inlineStr">
        <is>
          <t>Property, plant and equipment</t>
        </is>
      </c>
      <c r="B7">
        <f>'SOFP-Sub-CuNonCu'!B26</f>
        <v/>
      </c>
      <c r="C7">
        <f>'SOFP-Sub-CuNonCu'!C26</f>
        <v/>
      </c>
      <c r="D7">
        <f>'SOFP-Sub-CuNonCu'!D26</f>
        <v/>
      </c>
      <c r="E7">
        <f>'SOFP-Sub-CuNonCu'!E26</f>
        <v/>
      </c>
    </row>
    <row r="8">
      <c r="A8" t="inlineStr">
        <is>
          <t>Investment properties</t>
        </is>
      </c>
      <c r="B8">
        <f>'SOFP-Sub-CuNonCu'!B33</f>
        <v/>
      </c>
      <c r="C8">
        <f>'SOFP-Sub-CuNonCu'!C33</f>
        <v/>
      </c>
      <c r="D8">
        <f>'SOFP-Sub-CuNonCu'!D33</f>
        <v/>
      </c>
      <c r="E8">
        <f>'SOFP-Sub-CuNonCu'!E33</f>
        <v/>
      </c>
    </row>
    <row r="9">
      <c r="A9" t="inlineStr">
        <is>
          <t>Biological assets</t>
        </is>
      </c>
    </row>
    <row r="10">
      <c r="A10" t="inlineStr">
        <is>
          <t>Intangible assets</t>
        </is>
      </c>
      <c r="B10">
        <f>'SOFP-Sub-CuNonCu'!B40</f>
        <v/>
      </c>
      <c r="C10">
        <f>'SOFP-Sub-CuNonCu'!C40</f>
        <v/>
      </c>
      <c r="D10">
        <f>'SOFP-Sub-CuNonCu'!D40</f>
        <v/>
      </c>
      <c r="E10">
        <f>'SOFP-Sub-CuNonCu'!E40</f>
        <v/>
      </c>
    </row>
    <row r="11">
      <c r="A11" t="inlineStr">
        <is>
          <t>Investments in subsidiaries</t>
        </is>
      </c>
      <c r="B11">
        <f>'SOFP-Sub-CuNonCu'!B46</f>
        <v/>
      </c>
      <c r="C11">
        <f>'SOFP-Sub-CuNonCu'!C46</f>
        <v/>
      </c>
      <c r="D11">
        <f>'SOFP-Sub-CuNonCu'!D46</f>
        <v/>
      </c>
      <c r="E11">
        <f>'SOFP-Sub-CuNonCu'!E46</f>
        <v/>
      </c>
    </row>
    <row r="12">
      <c r="A12" t="inlineStr">
        <is>
          <t>Investments in associates</t>
        </is>
      </c>
      <c r="B12">
        <f>'SOFP-Sub-CuNonCu'!B53</f>
        <v/>
      </c>
      <c r="C12">
        <f>'SOFP-Sub-CuNonCu'!C53</f>
        <v/>
      </c>
      <c r="D12">
        <f>'SOFP-Sub-CuNonCu'!D53</f>
        <v/>
      </c>
      <c r="E12">
        <f>'SOFP-Sub-CuNonCu'!E53</f>
        <v/>
      </c>
    </row>
    <row r="13">
      <c r="A13" t="inlineStr">
        <is>
          <t>Investments in joint ventures</t>
        </is>
      </c>
      <c r="B13">
        <f>'SOFP-Sub-CuNonCu'!B60</f>
        <v/>
      </c>
      <c r="C13">
        <f>'SOFP-Sub-CuNonCu'!C60</f>
        <v/>
      </c>
      <c r="D13">
        <f>'SOFP-Sub-CuNonCu'!D60</f>
        <v/>
      </c>
      <c r="E13">
        <f>'SOFP-Sub-CuNonCu'!E60</f>
        <v/>
      </c>
    </row>
    <row r="14">
      <c r="A14" t="inlineStr">
        <is>
          <t>Other investments</t>
        </is>
      </c>
    </row>
    <row r="15">
      <c r="A15" t="inlineStr">
        <is>
          <t>Trade and other non-current receivables</t>
        </is>
      </c>
      <c r="B15">
        <f>'SOFP-Sub-CuNonCu'!B84</f>
        <v/>
      </c>
      <c r="C15">
        <f>'SOFP-Sub-CuNonCu'!C84</f>
        <v/>
      </c>
      <c r="D15">
        <f>'SOFP-Sub-CuNonCu'!D84</f>
        <v/>
      </c>
      <c r="E15">
        <f>'SOFP-Sub-CuNonCu'!E84</f>
        <v/>
      </c>
    </row>
    <row r="16">
      <c r="A16" t="inlineStr">
        <is>
          <t>Deferred tax assets</t>
        </is>
      </c>
    </row>
    <row r="17">
      <c r="A17" t="inlineStr">
        <is>
          <t>Other non-current assets</t>
        </is>
      </c>
    </row>
    <row r="18">
      <c r="A18" s="2" t="inlineStr">
        <is>
          <t>*Total non-current assets</t>
        </is>
      </c>
      <c r="B18">
        <f>1*B7+1*B8+1*B9+1*B10+1*B11+1*B12+1*B13+1*B14+1*B15+1*B16+1*B17</f>
        <v/>
      </c>
      <c r="C18">
        <f>1*C7+1*C8+1*C9+1*C10+1*C11+1*C12+1*C13+1*C14+1*C15+1*C16+1*C17</f>
        <v/>
      </c>
      <c r="D18">
        <f>1*D7+1*D8+1*D9+1*D10+1*D11+1*D12+1*D13+1*D14+1*D15+1*D16+1*D17</f>
        <v/>
      </c>
      <c r="E18">
        <f>1*E7+1*E8+1*E9+1*E10+1*E11+1*E12+1*E13+1*E14+1*E15+1*E16+1*E17</f>
        <v/>
      </c>
    </row>
    <row r="19">
      <c r="A19" s="1" t="inlineStr">
        <is>
          <t>Current assets</t>
        </is>
      </c>
    </row>
    <row r="20">
      <c r="A20" t="inlineStr">
        <is>
          <t>Inventories</t>
        </is>
      </c>
      <c r="B20">
        <f>'SOFP-Sub-CuNonCu'!B91</f>
        <v/>
      </c>
      <c r="C20">
        <f>'SOFP-Sub-CuNonCu'!C91</f>
        <v/>
      </c>
      <c r="D20">
        <f>'SOFP-Sub-CuNonCu'!D91</f>
        <v/>
      </c>
      <c r="E20">
        <f>'SOFP-Sub-CuNonCu'!E91</f>
        <v/>
      </c>
    </row>
    <row r="21">
      <c r="A21" t="inlineStr">
        <is>
          <t>Biological assets</t>
        </is>
      </c>
    </row>
    <row r="22">
      <c r="A22" t="inlineStr">
        <is>
          <t>Other investments</t>
        </is>
      </c>
    </row>
    <row r="23">
      <c r="A23" t="inlineStr">
        <is>
          <t>Trade and other current receivables</t>
        </is>
      </c>
      <c r="B23">
        <f>'SOFP-Sub-CuNonCu'!B122</f>
        <v/>
      </c>
      <c r="C23">
        <f>'SOFP-Sub-CuNonCu'!C122</f>
        <v/>
      </c>
      <c r="D23">
        <f>'SOFP-Sub-CuNonCu'!D122</f>
        <v/>
      </c>
      <c r="E23">
        <f>'SOFP-Sub-CuNonCu'!E122</f>
        <v/>
      </c>
    </row>
    <row r="24">
      <c r="A24" t="inlineStr">
        <is>
          <t>Current tax assets</t>
        </is>
      </c>
    </row>
    <row r="25">
      <c r="A25" t="inlineStr">
        <is>
          <t>Derivative financial assets</t>
        </is>
      </c>
    </row>
    <row r="26">
      <c r="A26" t="inlineStr">
        <is>
          <t>Cash and cash equivalents</t>
        </is>
      </c>
      <c r="B26">
        <f>'SOFP-Sub-CuNonCu'!B138</f>
        <v/>
      </c>
      <c r="C26">
        <f>'SOFP-Sub-CuNonCu'!C138</f>
        <v/>
      </c>
      <c r="D26">
        <f>'SOFP-Sub-CuNonCu'!D138</f>
        <v/>
      </c>
      <c r="E26">
        <f>'SOFP-Sub-CuNonCu'!E138</f>
        <v/>
      </c>
    </row>
    <row r="27">
      <c r="A27" t="inlineStr">
        <is>
          <t>Other current assets</t>
        </is>
      </c>
    </row>
    <row r="28">
      <c r="A28" s="2" t="inlineStr">
        <is>
          <t>*Total current assets</t>
        </is>
      </c>
      <c r="B28">
        <f>1*B20+1*B21+1*B22+1*B23+1*B24+1*B25+1*B26+1*B27</f>
        <v/>
      </c>
      <c r="C28">
        <f>1*C20+1*C21+1*C22+1*C23+1*C24+1*C25+1*C26+1*C27</f>
        <v/>
      </c>
      <c r="D28">
        <f>1*D20+1*D21+1*D22+1*D23+1*D24+1*D25+1*D26+1*D27</f>
        <v/>
      </c>
      <c r="E28">
        <f>1*E20+1*E21+1*E22+1*E23+1*E24+1*E25+1*E26+1*E27</f>
        <v/>
      </c>
    </row>
    <row r="29">
      <c r="A29" s="2" t="inlineStr">
        <is>
          <t>*Total assets</t>
        </is>
      </c>
      <c r="B29">
        <f>1*B7+1*B8+1*B11+1*B12+1*B13+1*B14+1*B15+1*B16+1*B17+1*B20+1*B22+1*B23+1*B24+1*B25+1*B26+1*B27+1*B10+1*B9+1*B21</f>
        <v/>
      </c>
      <c r="C29">
        <f>1*C7+1*C8+1*C11+1*C12+1*C13+1*C14+1*C15+1*C16+1*C17+1*C20+1*C22+1*C23+1*C24+1*C25+1*C26+1*C27+1*C10+1*C9+1*C21</f>
        <v/>
      </c>
      <c r="D29">
        <f>1*D7+1*D8+1*D11+1*D12+1*D13+1*D14+1*D15+1*D16+1*D17+1*D20+1*D22+1*D23+1*D24+1*D25+1*D26+1*D27+1*D10+1*D9+1*D21</f>
        <v/>
      </c>
      <c r="E29">
        <f>1*E7+1*E8+1*E11+1*E12+1*E13+1*E14+1*E15+1*E16+1*E17+1*E20+1*E22+1*E23+1*E24+1*E25+1*E26+1*E27+1*E10+1*E9+1*E21</f>
        <v/>
      </c>
    </row>
    <row r="30">
      <c r="A30" s="1" t="inlineStr">
        <is>
          <t>Equity and liabilities</t>
        </is>
      </c>
    </row>
    <row r="31">
      <c r="A31" s="1" t="inlineStr">
        <is>
          <t>Equity</t>
        </is>
      </c>
    </row>
    <row r="32">
      <c r="A32" t="inlineStr">
        <is>
          <t>Issued capital</t>
        </is>
      </c>
      <c r="B32">
        <f>'SOFP-Sub-CuNonCu'!B143</f>
        <v/>
      </c>
      <c r="C32">
        <f>'SOFP-Sub-CuNonCu'!C143</f>
        <v/>
      </c>
      <c r="D32">
        <f>'SOFP-Sub-CuNonCu'!D143</f>
        <v/>
      </c>
      <c r="E32">
        <f>'SOFP-Sub-CuNonCu'!E143</f>
        <v/>
      </c>
    </row>
    <row r="33">
      <c r="A33" t="inlineStr">
        <is>
          <t>Retained earnings</t>
        </is>
      </c>
    </row>
    <row r="34">
      <c r="A34" t="inlineStr">
        <is>
          <t>Treasury shares</t>
        </is>
      </c>
    </row>
    <row r="35">
      <c r="A35" t="inlineStr">
        <is>
          <t>Reserves</t>
        </is>
      </c>
      <c r="B35">
        <f>'SOFP-Sub-CuNonCu'!B154</f>
        <v/>
      </c>
      <c r="C35">
        <f>'SOFP-Sub-CuNonCu'!C154</f>
        <v/>
      </c>
      <c r="D35">
        <f>'SOFP-Sub-CuNonCu'!D154</f>
        <v/>
      </c>
      <c r="E35">
        <f>'SOFP-Sub-CuNonCu'!E154</f>
        <v/>
      </c>
    </row>
    <row r="36">
      <c r="A36" s="2" t="inlineStr">
        <is>
          <t>*Total equity attributable to owners</t>
        </is>
      </c>
      <c r="B36">
        <f>1*B32+1*B33+-1*B34+1*B35</f>
        <v/>
      </c>
      <c r="C36">
        <f>1*C32+1*C33+-1*C34+1*C35</f>
        <v/>
      </c>
      <c r="D36">
        <f>1*D32+1*D33+-1*D34+1*D35</f>
        <v/>
      </c>
      <c r="E36">
        <f>1*E32+1*E33+-1*E34+1*E35</f>
        <v/>
      </c>
    </row>
    <row r="37">
      <c r="A37" t="inlineStr">
        <is>
          <t>Equity - other components</t>
        </is>
      </c>
      <c r="B37">
        <f>'SOFP-Sub-CuNonCu'!B160</f>
        <v/>
      </c>
      <c r="C37">
        <f>'SOFP-Sub-CuNonCu'!C160</f>
        <v/>
      </c>
      <c r="D37">
        <f>'SOFP-Sub-CuNonCu'!D160</f>
        <v/>
      </c>
      <c r="E37">
        <f>'SOFP-Sub-CuNonCu'!E160</f>
        <v/>
      </c>
    </row>
    <row r="38">
      <c r="A38" t="inlineStr">
        <is>
          <t>Non-controlling interests</t>
        </is>
      </c>
    </row>
    <row r="39">
      <c r="A39" s="2" t="inlineStr">
        <is>
          <t>*Total equity</t>
        </is>
      </c>
      <c r="B39">
        <f>1*B32+1*B33+-1*B34+1*B35+1*B37+1*B38</f>
        <v/>
      </c>
      <c r="C39">
        <f>1*C32+1*C33+-1*C34+1*C35+1*C37+1*C38</f>
        <v/>
      </c>
      <c r="D39">
        <f>1*D32+1*D33+-1*D34+1*D35+1*D37+1*D38</f>
        <v/>
      </c>
      <c r="E39">
        <f>1*E32+1*E33+-1*E34+1*E35+1*E37+1*E38</f>
        <v/>
      </c>
    </row>
    <row r="40">
      <c r="A40" s="1" t="inlineStr">
        <is>
          <t>Liabilities</t>
        </is>
      </c>
    </row>
    <row r="41">
      <c r="A41" s="1" t="inlineStr">
        <is>
          <t>Non-current liabilities</t>
        </is>
      </c>
    </row>
    <row r="42">
      <c r="A42" t="inlineStr">
        <is>
          <t>Loans and borrowings</t>
        </is>
      </c>
      <c r="B42">
        <f>'SOFP-Sub-CuNonCu'!B176</f>
        <v/>
      </c>
      <c r="C42">
        <f>'SOFP-Sub-CuNonCu'!C176</f>
        <v/>
      </c>
      <c r="D42">
        <f>'SOFP-Sub-CuNonCu'!D176</f>
        <v/>
      </c>
      <c r="E42">
        <f>'SOFP-Sub-CuNonCu'!E176</f>
        <v/>
      </c>
    </row>
    <row r="43">
      <c r="A43" t="inlineStr">
        <is>
          <t>Employee benefits</t>
        </is>
      </c>
      <c r="B43">
        <f>'SOFP-Sub-CuNonCu'!B184</f>
        <v/>
      </c>
      <c r="C43">
        <f>'SOFP-Sub-CuNonCu'!C184</f>
        <v/>
      </c>
      <c r="D43">
        <f>'SOFP-Sub-CuNonCu'!D184</f>
        <v/>
      </c>
      <c r="E43">
        <f>'SOFP-Sub-CuNonCu'!E184</f>
        <v/>
      </c>
    </row>
    <row r="44">
      <c r="A44" t="inlineStr">
        <is>
          <t>Provisions</t>
        </is>
      </c>
      <c r="B44">
        <f>'SOFP-Sub-CuNonCu'!B192</f>
        <v/>
      </c>
      <c r="C44">
        <f>'SOFP-Sub-CuNonCu'!C192</f>
        <v/>
      </c>
      <c r="D44">
        <f>'SOFP-Sub-CuNonCu'!D192</f>
        <v/>
      </c>
      <c r="E44">
        <f>'SOFP-Sub-CuNonCu'!E192</f>
        <v/>
      </c>
    </row>
    <row r="45">
      <c r="A45" t="inlineStr">
        <is>
          <t>Deferred tax liabilities</t>
        </is>
      </c>
    </row>
    <row r="46">
      <c r="A46" t="inlineStr">
        <is>
          <t>Trade and other non-current payables</t>
        </is>
      </c>
      <c r="B46">
        <f>'SOFP-Sub-CuNonCu'!B217</f>
        <v/>
      </c>
      <c r="C46">
        <f>'SOFP-Sub-CuNonCu'!C217</f>
        <v/>
      </c>
      <c r="D46">
        <f>'SOFP-Sub-CuNonCu'!D217</f>
        <v/>
      </c>
      <c r="E46">
        <f>'SOFP-Sub-CuNonCu'!E217</f>
        <v/>
      </c>
    </row>
    <row r="47">
      <c r="A47" t="inlineStr">
        <is>
          <t>Other non-current liabilities</t>
        </is>
      </c>
    </row>
    <row r="48">
      <c r="A48" s="2" t="inlineStr">
        <is>
          <t>*Total non-current liabilities</t>
        </is>
      </c>
      <c r="B48">
        <f>1*B42+1*B43+1*B44+1*B45+1*B46+1*B47</f>
        <v/>
      </c>
      <c r="C48">
        <f>1*C42+1*C43+1*C44+1*C45+1*C46+1*C47</f>
        <v/>
      </c>
      <c r="D48">
        <f>1*D42+1*D43+1*D44+1*D45+1*D46+1*D47</f>
        <v/>
      </c>
      <c r="E48">
        <f>1*E42+1*E43+1*E44+1*E45+1*E46+1*E47</f>
        <v/>
      </c>
    </row>
    <row r="49">
      <c r="A49" s="1" t="inlineStr">
        <is>
          <t>Current liabilities</t>
        </is>
      </c>
    </row>
    <row r="50">
      <c r="A50" t="inlineStr">
        <is>
          <t>Loans and borrowings</t>
        </is>
      </c>
      <c r="B50">
        <f>'SOFP-Sub-CuNonCu'!B235</f>
        <v/>
      </c>
      <c r="C50">
        <f>'SOFP-Sub-CuNonCu'!C235</f>
        <v/>
      </c>
      <c r="D50">
        <f>'SOFP-Sub-CuNonCu'!D235</f>
        <v/>
      </c>
      <c r="E50">
        <f>'SOFP-Sub-CuNonCu'!E235</f>
        <v/>
      </c>
    </row>
    <row r="51">
      <c r="A51" t="inlineStr">
        <is>
          <t>Employee benefits</t>
        </is>
      </c>
      <c r="B51">
        <f>'SOFP-Sub-CuNonCu'!B243</f>
        <v/>
      </c>
      <c r="C51">
        <f>'SOFP-Sub-CuNonCu'!C243</f>
        <v/>
      </c>
      <c r="D51">
        <f>'SOFP-Sub-CuNonCu'!D243</f>
        <v/>
      </c>
      <c r="E51">
        <f>'SOFP-Sub-CuNonCu'!E243</f>
        <v/>
      </c>
    </row>
    <row r="52">
      <c r="A52" t="inlineStr">
        <is>
          <t>Provisions</t>
        </is>
      </c>
      <c r="B52">
        <f>'SOFP-Sub-CuNonCu'!B251</f>
        <v/>
      </c>
      <c r="C52">
        <f>'SOFP-Sub-CuNonCu'!C251</f>
        <v/>
      </c>
      <c r="D52">
        <f>'SOFP-Sub-CuNonCu'!D251</f>
        <v/>
      </c>
      <c r="E52">
        <f>'SOFP-Sub-CuNonCu'!E251</f>
        <v/>
      </c>
    </row>
    <row r="53">
      <c r="A53" t="inlineStr">
        <is>
          <t>Trade and other current payables</t>
        </is>
      </c>
      <c r="B53">
        <f>'SOFP-Sub-CuNonCu'!B277</f>
        <v/>
      </c>
      <c r="C53">
        <f>'SOFP-Sub-CuNonCu'!C277</f>
        <v/>
      </c>
      <c r="D53">
        <f>'SOFP-Sub-CuNonCu'!D277</f>
        <v/>
      </c>
      <c r="E53">
        <f>'SOFP-Sub-CuNonCu'!E277</f>
        <v/>
      </c>
    </row>
    <row r="54">
      <c r="A54" t="inlineStr">
        <is>
          <t>Current tax liabilities</t>
        </is>
      </c>
    </row>
    <row r="55">
      <c r="A55" t="inlineStr">
        <is>
          <t>Derivative financial liabilities</t>
        </is>
      </c>
    </row>
    <row r="56">
      <c r="A56" t="inlineStr">
        <is>
          <t>Other current liabilities</t>
        </is>
      </c>
    </row>
    <row r="57">
      <c r="A57" s="2" t="inlineStr">
        <is>
          <t>*Total current liabilities</t>
        </is>
      </c>
      <c r="B57">
        <f>1*B50+1*B51+1*B52+1*B53+1*B54+1*B55+1*B56</f>
        <v/>
      </c>
      <c r="C57">
        <f>1*C50+1*C51+1*C52+1*C53+1*C54+1*C55+1*C56</f>
        <v/>
      </c>
      <c r="D57">
        <f>1*D50+1*D51+1*D52+1*D53+1*D54+1*D55+1*D56</f>
        <v/>
      </c>
      <c r="E57">
        <f>1*E50+1*E51+1*E52+1*E53+1*E54+1*E55+1*E56</f>
        <v/>
      </c>
    </row>
    <row r="58">
      <c r="A58" s="2" t="inlineStr">
        <is>
          <t>*Total liabilities</t>
        </is>
      </c>
      <c r="B58">
        <f>1*B50+1*B51+1*B52+1*B53+1*B54+1*B55+1*B56+1*B42+1*B43+1*B44+1*B45+1*B46+1*B47</f>
        <v/>
      </c>
      <c r="C58">
        <f>1*C50+1*C51+1*C52+1*C53+1*C54+1*C55+1*C56+1*C42+1*C43+1*C44+1*C45+1*C46+1*C47</f>
        <v/>
      </c>
      <c r="D58">
        <f>1*D50+1*D51+1*D52+1*D53+1*D54+1*D55+1*D56+1*D42+1*D43+1*D44+1*D45+1*D46+1*D47</f>
        <v/>
      </c>
      <c r="E58">
        <f>1*E50+1*E51+1*E52+1*E53+1*E54+1*E55+1*E56+1*E42+1*E43+1*E44+1*E45+1*E46+1*E47</f>
        <v/>
      </c>
    </row>
    <row r="59">
      <c r="A59" s="2" t="inlineStr">
        <is>
          <t>*Total equity and liabilities</t>
        </is>
      </c>
      <c r="B59">
        <f>1*B39+1*B58</f>
        <v/>
      </c>
      <c r="C59">
        <f>1*C39+1*C58</f>
        <v/>
      </c>
      <c r="D59">
        <f>1*D39+1*D58</f>
        <v/>
      </c>
      <c r="E59">
        <f>1*E39+1*E58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s="1" t="inlineStr">
        <is>
          <t>Disclosure on sub-classification of assets, liabilities and equity</t>
        </is>
      </c>
    </row>
    <row r="4">
      <c r="A4" s="1" t="inlineStr">
        <is>
          <t>Statement on sub-classification of assets, liabilities and equity</t>
        </is>
      </c>
    </row>
    <row r="5">
      <c r="A5" s="1" t="inlineStr">
        <is>
          <t>Sub-classification of assets, liabilities and equity</t>
        </is>
      </c>
    </row>
    <row r="6">
      <c r="A6" s="1" t="inlineStr">
        <is>
          <t>Property, plant and equipment</t>
        </is>
      </c>
    </row>
    <row r="7">
      <c r="A7" s="1" t="inlineStr">
        <is>
          <t>Land and buildings</t>
        </is>
      </c>
    </row>
    <row r="8">
      <c r="A8" s="1" t="inlineStr">
        <is>
          <t>Land</t>
        </is>
      </c>
    </row>
    <row r="9">
      <c r="A9" t="inlineStr">
        <is>
          <t>Freehold land</t>
        </is>
      </c>
    </row>
    <row r="10">
      <c r="A10" t="inlineStr">
        <is>
          <t>Long term leasehold land</t>
        </is>
      </c>
      <c r="B10" t="n">
        <v>12420</v>
      </c>
      <c r="C10" t="n">
        <v>12688</v>
      </c>
      <c r="D10" t="n">
        <v>12420</v>
      </c>
      <c r="E10" t="n">
        <v>12688</v>
      </c>
    </row>
    <row r="11">
      <c r="A11" t="inlineStr">
        <is>
          <t>Short term leasehold land</t>
        </is>
      </c>
    </row>
    <row r="12">
      <c r="A12" s="2" t="inlineStr">
        <is>
          <t>*Total land</t>
        </is>
      </c>
      <c r="B12">
        <f>1*B9+1*B10+1*B11</f>
        <v/>
      </c>
      <c r="C12">
        <f>1*C9+1*C10+1*C11</f>
        <v/>
      </c>
      <c r="D12">
        <f>1*D9+1*D10+1*D11</f>
        <v/>
      </c>
      <c r="E12">
        <f>1*E9+1*E10+1*E11</f>
        <v/>
      </c>
    </row>
    <row r="13">
      <c r="A13" s="1" t="inlineStr">
        <is>
          <t>Buildings</t>
        </is>
      </c>
    </row>
    <row r="14">
      <c r="A14" t="inlineStr">
        <is>
          <t>Building on freehold land</t>
        </is>
      </c>
    </row>
    <row r="15">
      <c r="A15" t="inlineStr">
        <is>
          <t>Building on long term leasehold land</t>
        </is>
      </c>
      <c r="B15" t="n">
        <v>23345</v>
      </c>
      <c r="C15" t="n">
        <v>23978</v>
      </c>
      <c r="D15" t="n">
        <v>23345</v>
      </c>
      <c r="E15" t="n">
        <v>23978</v>
      </c>
    </row>
    <row r="16">
      <c r="A16" t="inlineStr">
        <is>
          <t>Building on short term leasehold land</t>
        </is>
      </c>
    </row>
    <row r="17">
      <c r="A17" t="inlineStr">
        <is>
          <t>Leased properties</t>
        </is>
      </c>
    </row>
    <row r="18">
      <c r="A18" s="2" t="inlineStr">
        <is>
          <t>*Total buildings</t>
        </is>
      </c>
      <c r="B18">
        <f>1*B14+1*B15+1*B16+1*B17</f>
        <v/>
      </c>
      <c r="C18">
        <f>1*C14+1*C15+1*C16+1*C17</f>
        <v/>
      </c>
      <c r="D18">
        <f>1*D14+1*D15+1*D16+1*D17</f>
        <v/>
      </c>
      <c r="E18">
        <f>1*E14+1*E15+1*E16+1*E17</f>
        <v/>
      </c>
    </row>
    <row r="19">
      <c r="A19" s="2" t="inlineStr">
        <is>
          <t>*Total land and buildings</t>
        </is>
      </c>
      <c r="B19">
        <f>1*B12+1*B18</f>
        <v/>
      </c>
      <c r="C19">
        <f>1*C12+1*C18</f>
        <v/>
      </c>
      <c r="D19">
        <f>1*D12+1*D18</f>
        <v/>
      </c>
      <c r="E19">
        <f>1*E12+1*E18</f>
        <v/>
      </c>
    </row>
    <row r="20">
      <c r="A20" t="inlineStr">
        <is>
          <t>Machinery</t>
        </is>
      </c>
    </row>
    <row r="21">
      <c r="A21" t="inlineStr">
        <is>
          <t>Vehicles</t>
        </is>
      </c>
    </row>
    <row r="22">
      <c r="A22" t="inlineStr">
        <is>
          <t>Office equipment, fixture and fittings</t>
        </is>
      </c>
      <c r="B22" t="n">
        <v>16958</v>
      </c>
      <c r="C22" t="n">
        <v>9906</v>
      </c>
      <c r="D22" t="n">
        <v>16958</v>
      </c>
      <c r="E22" t="n">
        <v>9906</v>
      </c>
    </row>
    <row r="23">
      <c r="A23" t="inlineStr">
        <is>
          <t>Plant and equipment</t>
        </is>
      </c>
    </row>
    <row r="24">
      <c r="A24" t="inlineStr">
        <is>
          <t>Construction in progress/Asset work-in progress</t>
        </is>
      </c>
      <c r="B24" t="n">
        <v>2275</v>
      </c>
      <c r="D24" t="n">
        <v>2275</v>
      </c>
    </row>
    <row r="25">
      <c r="A25" t="inlineStr">
        <is>
          <t>Other property, plant and equipment</t>
        </is>
      </c>
      <c r="B25" t="n">
        <v>9525</v>
      </c>
      <c r="C25" t="n">
        <v>9592</v>
      </c>
      <c r="D25" t="n">
        <v>9525</v>
      </c>
      <c r="E25" t="n">
        <v>9592</v>
      </c>
    </row>
    <row r="26">
      <c r="A26" s="2" t="inlineStr">
        <is>
          <t>*Total property, plant and equipment</t>
        </is>
      </c>
      <c r="B26">
        <f>1*B19+1*B20+1*B21+1*B22+1*B23+1*B24+1*B25</f>
        <v/>
      </c>
      <c r="C26">
        <f>1*C19+1*C20+1*C21+1*C22+1*C23+1*C24+1*C25</f>
        <v/>
      </c>
      <c r="D26">
        <f>1*D19+1*D20+1*D21+1*D22+1*D23+1*D24+1*D25</f>
        <v/>
      </c>
      <c r="E26">
        <f>1*E19+1*E20+1*E21+1*E22+1*E23+1*E24+1*E25</f>
        <v/>
      </c>
    </row>
    <row r="27">
      <c r="A27" s="1" t="inlineStr">
        <is>
          <t>Investment properties</t>
        </is>
      </c>
    </row>
    <row r="28">
      <c r="A28" t="inlineStr">
        <is>
          <t>Freehold land</t>
        </is>
      </c>
    </row>
    <row r="29">
      <c r="A29" t="inlineStr">
        <is>
          <t>Long term leasehold land</t>
        </is>
      </c>
    </row>
    <row r="30">
      <c r="A30" t="inlineStr">
        <is>
          <t>Short term leasehold land</t>
        </is>
      </c>
    </row>
    <row r="31">
      <c r="A31" t="inlineStr">
        <is>
          <t>Buildings</t>
        </is>
      </c>
    </row>
    <row r="32">
      <c r="A32" t="inlineStr">
        <is>
          <t>Other investment property</t>
        </is>
      </c>
    </row>
    <row r="33">
      <c r="A33" s="2" t="inlineStr">
        <is>
          <t>*Total investment properties</t>
        </is>
      </c>
      <c r="B33">
        <f>1*B28+1*B29+1*B30+1*B31+1*B32</f>
        <v/>
      </c>
      <c r="C33">
        <f>1*C28+1*C29+1*C30+1*C31+1*C32</f>
        <v/>
      </c>
      <c r="D33">
        <f>1*D28+1*D29+1*D30+1*D31+1*D32</f>
        <v/>
      </c>
      <c r="E33">
        <f>1*E28+1*E29+1*E30+1*E31+1*E32</f>
        <v/>
      </c>
    </row>
    <row r="34">
      <c r="A34" s="1" t="inlineStr">
        <is>
          <t>Intangible assets and goodwill</t>
        </is>
      </c>
    </row>
    <row r="35">
      <c r="A35" s="1" t="inlineStr">
        <is>
          <t>Intangible assets other than goodwill</t>
        </is>
      </c>
    </row>
    <row r="36">
      <c r="A36" t="inlineStr">
        <is>
          <t>Copyrights, patents and other industrial property rights, service and operating rights</t>
        </is>
      </c>
    </row>
    <row r="37">
      <c r="A37" t="inlineStr">
        <is>
          <t>Other intangible assets</t>
        </is>
      </c>
    </row>
    <row r="38">
      <c r="A38" s="2" t="inlineStr">
        <is>
          <t>*Total intangible assets other than goodwill</t>
        </is>
      </c>
      <c r="B38">
        <f>1*B36+1*B37</f>
        <v/>
      </c>
      <c r="C38">
        <f>1*C36+1*C37</f>
        <v/>
      </c>
      <c r="D38">
        <f>1*D36+1*D37</f>
        <v/>
      </c>
      <c r="E38">
        <f>1*E36+1*E37</f>
        <v/>
      </c>
    </row>
    <row r="39">
      <c r="A39" t="inlineStr">
        <is>
          <t>Goodwill</t>
        </is>
      </c>
    </row>
    <row r="40">
      <c r="A40" s="2" t="inlineStr">
        <is>
          <t>*Total intangible assets and goodwill</t>
        </is>
      </c>
      <c r="B40">
        <f>1*B39+1*B38</f>
        <v/>
      </c>
      <c r="C40">
        <f>1*C39+1*C38</f>
        <v/>
      </c>
      <c r="D40">
        <f>1*D39+1*D38</f>
        <v/>
      </c>
      <c r="E40">
        <f>1*E39+1*E38</f>
        <v/>
      </c>
    </row>
    <row r="41">
      <c r="A41" s="1" t="inlineStr">
        <is>
          <t>Investments in subsidiaries</t>
        </is>
      </c>
    </row>
    <row r="42">
      <c r="A42" t="inlineStr">
        <is>
          <t>Unquoted shares, net of impairment losses</t>
        </is>
      </c>
      <c r="B42" t="n">
        <v>7648</v>
      </c>
      <c r="C42" t="n">
        <v>7648</v>
      </c>
      <c r="D42" t="n">
        <v>7648</v>
      </c>
      <c r="E42" t="n">
        <v>7648</v>
      </c>
    </row>
    <row r="43">
      <c r="A43" t="inlineStr">
        <is>
          <t>Quoted shares in Malaysia</t>
        </is>
      </c>
    </row>
    <row r="44">
      <c r="A44" t="inlineStr">
        <is>
          <t>Quoted shares outside Malaysia</t>
        </is>
      </c>
    </row>
    <row r="45">
      <c r="A45" t="inlineStr">
        <is>
          <t>Other investments in subsidiaries</t>
        </is>
      </c>
    </row>
    <row r="46">
      <c r="A46" s="2" t="inlineStr">
        <is>
          <t>*Total investments in subsidiaries</t>
        </is>
      </c>
      <c r="B46">
        <f>1*B42+1*B43+1*B44+1*B45</f>
        <v/>
      </c>
      <c r="C46">
        <f>1*C42+1*C43+1*C44+1*C45</f>
        <v/>
      </c>
      <c r="D46">
        <f>1*D42+1*D43+1*D44+1*D45</f>
        <v/>
      </c>
      <c r="E46">
        <f>1*E42+1*E43+1*E44+1*E45</f>
        <v/>
      </c>
    </row>
    <row r="47">
      <c r="A47" s="1" t="inlineStr">
        <is>
          <t>Investments in associates</t>
        </is>
      </c>
    </row>
    <row r="48">
      <c r="A48" t="inlineStr">
        <is>
          <t>Unquoted shares, net of impairment losses</t>
        </is>
      </c>
    </row>
    <row r="49">
      <c r="A49" t="inlineStr">
        <is>
          <t>Quoted shares in Malaysia</t>
        </is>
      </c>
    </row>
    <row r="50">
      <c r="A50" t="inlineStr">
        <is>
          <t>Quoted shares outside Malaysia</t>
        </is>
      </c>
    </row>
    <row r="51">
      <c r="A51" t="inlineStr">
        <is>
          <t>Share of post-acquisition profits and reserves</t>
        </is>
      </c>
    </row>
    <row r="52">
      <c r="A52" t="inlineStr">
        <is>
          <t>Other investments in associates</t>
        </is>
      </c>
    </row>
    <row r="53">
      <c r="A53" s="2" t="inlineStr">
        <is>
          <t>*Total investments in associates</t>
        </is>
      </c>
      <c r="B53">
        <f>1*B48+1*B49+1*B50+1*B51+1*B52</f>
        <v/>
      </c>
      <c r="C53">
        <f>1*C48+1*C49+1*C50+1*C51+1*C52</f>
        <v/>
      </c>
      <c r="D53">
        <f>1*D48+1*D49+1*D50+1*D51+1*D52</f>
        <v/>
      </c>
      <c r="E53">
        <f>1*E48+1*E49+1*E50+1*E51+1*E52</f>
        <v/>
      </c>
    </row>
    <row r="54">
      <c r="A54" s="1" t="inlineStr">
        <is>
          <t>Investments in joint ventures</t>
        </is>
      </c>
    </row>
    <row r="55">
      <c r="A55" t="inlineStr">
        <is>
          <t>Unquoted shares, net of impairment losses</t>
        </is>
      </c>
    </row>
    <row r="56">
      <c r="A56" t="inlineStr">
        <is>
          <t>Quoted shares in Malaysia</t>
        </is>
      </c>
    </row>
    <row r="57">
      <c r="A57" t="inlineStr">
        <is>
          <t>Quoted shares outside Malaysia</t>
        </is>
      </c>
    </row>
    <row r="58">
      <c r="A58" t="inlineStr">
        <is>
          <t>Share of post-acquisition profits and reserves</t>
        </is>
      </c>
    </row>
    <row r="59">
      <c r="A59" t="inlineStr">
        <is>
          <t>Other investments in joint ventures</t>
        </is>
      </c>
    </row>
    <row r="60">
      <c r="A60" s="2" t="inlineStr">
        <is>
          <t>*Total of investments in joint ventures</t>
        </is>
      </c>
      <c r="B60">
        <f>1*B55+1*B56+1*B57+1*B58+1*B59</f>
        <v/>
      </c>
      <c r="C60">
        <f>1*C55+1*C56+1*C57+1*C58+1*C59</f>
        <v/>
      </c>
      <c r="D60">
        <f>1*D55+1*D56+1*D57+1*D58+1*D59</f>
        <v/>
      </c>
      <c r="E60">
        <f>1*E55+1*E56+1*E57+1*E58+1*E59</f>
        <v/>
      </c>
    </row>
    <row r="61">
      <c r="A61" s="1" t="inlineStr">
        <is>
          <t>Trade and other non-current receivables</t>
        </is>
      </c>
    </row>
    <row r="62">
      <c r="A62" s="1" t="inlineStr">
        <is>
          <t>Non-current trade receivables</t>
        </is>
      </c>
    </row>
    <row r="63">
      <c r="A63" t="inlineStr">
        <is>
          <t>Trade receivables due from holding company</t>
        </is>
      </c>
    </row>
    <row r="64">
      <c r="A64" t="inlineStr">
        <is>
          <t>Trade receivables due from subsidiaries</t>
        </is>
      </c>
    </row>
    <row r="65">
      <c r="A65" t="inlineStr">
        <is>
          <t>Trade receivables from associates</t>
        </is>
      </c>
    </row>
    <row r="66">
      <c r="A66" t="inlineStr">
        <is>
          <t>Trade receivables due from joint ventures</t>
        </is>
      </c>
    </row>
    <row r="67">
      <c r="A67" t="inlineStr">
        <is>
          <t>Trade receivables due from other related parties</t>
        </is>
      </c>
    </row>
    <row r="68">
      <c r="A68" t="inlineStr">
        <is>
          <t>Other non-current trade receivables</t>
        </is>
      </c>
    </row>
    <row r="69">
      <c r="A69" s="2" t="inlineStr">
        <is>
          <t>*Total non-current trade receivables</t>
        </is>
      </c>
      <c r="B69">
        <f>1*B63+1*B64+1*B65+1*B66+1*B67+1*B68</f>
        <v/>
      </c>
      <c r="C69">
        <f>1*C63+1*C64+1*C65+1*C66+1*C67+1*C68</f>
        <v/>
      </c>
      <c r="D69">
        <f>1*D63+1*D64+1*D65+1*D66+1*D67+1*D68</f>
        <v/>
      </c>
      <c r="E69">
        <f>1*E63+1*E64+1*E65+1*E66+1*E67+1*E68</f>
        <v/>
      </c>
    </row>
    <row r="70">
      <c r="A70" s="1" t="inlineStr">
        <is>
          <t>Other non-current receivables</t>
        </is>
      </c>
    </row>
    <row r="71">
      <c r="A71" s="1" t="inlineStr">
        <is>
          <t>Other non-current receivables due from related parties</t>
        </is>
      </c>
    </row>
    <row r="72">
      <c r="A72" t="inlineStr">
        <is>
          <t>Other receivables due from holding company</t>
        </is>
      </c>
    </row>
    <row r="73">
      <c r="A73" t="inlineStr">
        <is>
          <t>Other receivables due from subsidiaries</t>
        </is>
      </c>
    </row>
    <row r="74">
      <c r="A74" t="inlineStr">
        <is>
          <t>Other receivables due from associates</t>
        </is>
      </c>
    </row>
    <row r="75">
      <c r="A75" t="inlineStr">
        <is>
          <t>Other receivables due from joint ventures</t>
        </is>
      </c>
    </row>
    <row r="76">
      <c r="A76" t="inlineStr">
        <is>
          <t>Other receivables due from other related parties</t>
        </is>
      </c>
    </row>
    <row r="77">
      <c r="A77" s="2" t="inlineStr">
        <is>
          <t>*Total other non-current receivables due from related parties</t>
        </is>
      </c>
      <c r="B77">
        <f>1*B72+1*B73+1*B74+1*B75+1*B76</f>
        <v/>
      </c>
      <c r="C77">
        <f>1*C72+1*C73+1*C74+1*C75+1*C76</f>
        <v/>
      </c>
      <c r="D77">
        <f>1*D72+1*D73+1*D74+1*D75+1*D76</f>
        <v/>
      </c>
      <c r="E77">
        <f>1*E72+1*E73+1*E74+1*E75+1*E76</f>
        <v/>
      </c>
    </row>
    <row r="78">
      <c r="A78" s="1" t="inlineStr">
        <is>
          <t>Non-current non-trade receivables</t>
        </is>
      </c>
    </row>
    <row r="79">
      <c r="A79" t="inlineStr">
        <is>
          <t>Accrued income</t>
        </is>
      </c>
    </row>
    <row r="80">
      <c r="A80" t="inlineStr">
        <is>
          <t>Lease and hire purchase receivables</t>
        </is>
      </c>
    </row>
    <row r="81">
      <c r="A81" t="inlineStr">
        <is>
          <t>Other non-current non-trade receivables</t>
        </is>
      </c>
    </row>
    <row r="82">
      <c r="A82" s="2" t="inlineStr">
        <is>
          <t>*Total other non-current non-trade receivables</t>
        </is>
      </c>
      <c r="B82">
        <f>1*B79+1*B80+1*B81</f>
        <v/>
      </c>
      <c r="C82">
        <f>1*C79+1*C80+1*C81</f>
        <v/>
      </c>
      <c r="D82">
        <f>1*D79+1*D80+1*D81</f>
        <v/>
      </c>
      <c r="E82">
        <f>1*E79+1*E80+1*E81</f>
        <v/>
      </c>
    </row>
    <row r="83">
      <c r="A83" s="2" t="inlineStr">
        <is>
          <t>*Total other non-current receivables</t>
        </is>
      </c>
      <c r="B83">
        <f>1*B82</f>
        <v/>
      </c>
      <c r="C83">
        <f>1*C82</f>
        <v/>
      </c>
      <c r="D83">
        <f>1*D82</f>
        <v/>
      </c>
      <c r="E83">
        <f>1*E82</f>
        <v/>
      </c>
    </row>
    <row r="84">
      <c r="A84" s="2" t="inlineStr">
        <is>
          <t>*Total trade and other non-current receivables</t>
        </is>
      </c>
      <c r="B84">
        <f>1*B69+1*B83+1*B77</f>
        <v/>
      </c>
      <c r="C84">
        <f>1*C69+1*C83+1*C77</f>
        <v/>
      </c>
      <c r="D84">
        <f>1*D69+1*D83+1*D77</f>
        <v/>
      </c>
      <c r="E84">
        <f>1*E69+1*E83+1*E77</f>
        <v/>
      </c>
    </row>
    <row r="85">
      <c r="A85" s="1" t="inlineStr">
        <is>
          <t>Inventories</t>
        </is>
      </c>
    </row>
    <row r="86">
      <c r="A86" t="inlineStr">
        <is>
          <t>Raw materials</t>
        </is>
      </c>
    </row>
    <row r="87">
      <c r="A87" t="inlineStr">
        <is>
          <t>Work in progress</t>
        </is>
      </c>
    </row>
    <row r="88">
      <c r="A88" t="inlineStr">
        <is>
          <t>Finished goods</t>
        </is>
      </c>
    </row>
    <row r="89">
      <c r="A89" t="inlineStr">
        <is>
          <t>Spare parts</t>
        </is>
      </c>
    </row>
    <row r="90">
      <c r="A90" t="inlineStr">
        <is>
          <t>Other inventories</t>
        </is>
      </c>
      <c r="B90" t="n">
        <v>159389</v>
      </c>
      <c r="C90" t="n">
        <v>120685</v>
      </c>
      <c r="D90" t="n">
        <v>159389</v>
      </c>
      <c r="E90" t="n">
        <v>120685</v>
      </c>
    </row>
    <row r="91">
      <c r="A91" s="2" t="inlineStr">
        <is>
          <t>*Total inventories</t>
        </is>
      </c>
      <c r="B91">
        <f>1*B86+1*B87+1*B88+1*B89+1*B90</f>
        <v/>
      </c>
      <c r="C91">
        <f>1*C86+1*C87+1*C88+1*C89+1*C90</f>
        <v/>
      </c>
      <c r="D91">
        <f>1*D86+1*D87+1*D88+1*D89+1*D90</f>
        <v/>
      </c>
      <c r="E91">
        <f>1*E86+1*E87+1*E88+1*E89+1*E90</f>
        <v/>
      </c>
    </row>
    <row r="92">
      <c r="A92" s="1" t="inlineStr">
        <is>
          <t>Trade and other current receivables</t>
        </is>
      </c>
    </row>
    <row r="93">
      <c r="A93" s="1" t="inlineStr">
        <is>
          <t>Current trade receivables</t>
        </is>
      </c>
    </row>
    <row r="94">
      <c r="A94" t="inlineStr">
        <is>
          <t>Trade receivables due from contract customers</t>
        </is>
      </c>
    </row>
    <row r="95">
      <c r="A95" t="inlineStr">
        <is>
          <t>Trade receivables due from holding company</t>
        </is>
      </c>
    </row>
    <row r="96">
      <c r="A96" t="inlineStr">
        <is>
          <t>Trade receivables due from subsidiaries</t>
        </is>
      </c>
    </row>
    <row r="97">
      <c r="A97" t="inlineStr">
        <is>
          <t>Trade receivables due from associates</t>
        </is>
      </c>
    </row>
    <row r="98">
      <c r="A98" t="inlineStr">
        <is>
          <t>Trade receivables due from joint ventures</t>
        </is>
      </c>
    </row>
    <row r="99">
      <c r="A99" t="inlineStr">
        <is>
          <t>Trade receivables due from other related parties</t>
        </is>
      </c>
    </row>
    <row r="100">
      <c r="A100" t="inlineStr">
        <is>
          <t>Other current trade receivables</t>
        </is>
      </c>
    </row>
    <row r="101">
      <c r="A101" s="2" t="inlineStr">
        <is>
          <t>*Total current trade receivables</t>
        </is>
      </c>
      <c r="B101">
        <f>1*B94+1*B95+1*B96+1*B97+1*B98+1*B99+1*B100</f>
        <v/>
      </c>
      <c r="C101">
        <f>1*C94+1*C95+1*C96+1*C97+1*C98+1*C99+1*C100</f>
        <v/>
      </c>
      <c r="D101">
        <f>1*D94+1*D95+1*D96+1*D97+1*D98+1*D99+1*D100</f>
        <v/>
      </c>
      <c r="E101">
        <f>1*E94+1*E95+1*E96+1*E97+1*E98+1*E99+1*E100</f>
        <v/>
      </c>
    </row>
    <row r="102">
      <c r="A102" s="1" t="inlineStr">
        <is>
          <t>Other current receivables</t>
        </is>
      </c>
    </row>
    <row r="103">
      <c r="A103" s="1" t="inlineStr">
        <is>
          <t>Current other receivables due from related parties</t>
        </is>
      </c>
    </row>
    <row r="104">
      <c r="A104" t="inlineStr">
        <is>
          <t>Other receivables due from holding company</t>
        </is>
      </c>
    </row>
    <row r="105">
      <c r="A105" t="inlineStr">
        <is>
          <t>Other receivables due from subsidiaries</t>
        </is>
      </c>
      <c r="B105" t="n">
        <v>95</v>
      </c>
      <c r="C105" t="n">
        <v>276</v>
      </c>
      <c r="D105" t="n">
        <v>95</v>
      </c>
      <c r="E105" t="n">
        <v>276</v>
      </c>
    </row>
    <row r="106">
      <c r="A106" t="inlineStr">
        <is>
          <t>Other receivables due from associates</t>
        </is>
      </c>
    </row>
    <row r="107">
      <c r="A107" t="inlineStr">
        <is>
          <t>Other receivables due from joint ventures</t>
        </is>
      </c>
    </row>
    <row r="108">
      <c r="A108" t="inlineStr">
        <is>
          <t>Other receivables due from other related parties</t>
        </is>
      </c>
      <c r="B108" t="n">
        <v>259</v>
      </c>
      <c r="C108" t="n">
        <v>241</v>
      </c>
      <c r="D108" t="n">
        <v>259</v>
      </c>
      <c r="E108" t="n">
        <v>241</v>
      </c>
    </row>
    <row r="109">
      <c r="A109" s="2" t="inlineStr">
        <is>
          <t>*Total current other receivables due from related parties</t>
        </is>
      </c>
      <c r="B109">
        <f>1*B104+1*B105+1*B106+1*B107+1*B108</f>
        <v/>
      </c>
      <c r="C109">
        <f>1*C104+1*C105+1*C106+1*C107+1*C108</f>
        <v/>
      </c>
      <c r="D109">
        <f>1*D104+1*D105+1*D106+1*D107+1*D108</f>
        <v/>
      </c>
      <c r="E109">
        <f>1*E104+1*E105+1*E106+1*E107+1*E108</f>
        <v/>
      </c>
    </row>
    <row r="110">
      <c r="A110" s="1" t="inlineStr">
        <is>
          <t>Current prepayments and current accrued income</t>
        </is>
      </c>
    </row>
    <row r="111">
      <c r="A111" t="inlineStr">
        <is>
          <t>Prepayments</t>
        </is>
      </c>
      <c r="B111" t="n">
        <v>2914</v>
      </c>
      <c r="C111" t="n">
        <v>1110</v>
      </c>
      <c r="D111" t="n">
        <v>2914</v>
      </c>
      <c r="E111" t="n">
        <v>1110</v>
      </c>
    </row>
    <row r="112">
      <c r="A112" t="inlineStr">
        <is>
          <t>Accrued income</t>
        </is>
      </c>
    </row>
    <row r="113">
      <c r="A113" s="2" t="inlineStr">
        <is>
          <t>*Total current prepayments and current accrued income</t>
        </is>
      </c>
      <c r="B113">
        <f>1*B111+1*B112</f>
        <v/>
      </c>
      <c r="C113">
        <f>1*C111+1*C112</f>
        <v/>
      </c>
      <c r="D113">
        <f>1*D111+1*D112</f>
        <v/>
      </c>
      <c r="E113">
        <f>1*E111+1*E112</f>
        <v/>
      </c>
    </row>
    <row r="114">
      <c r="A114" s="1" t="inlineStr">
        <is>
          <t>Current non-trade receivables</t>
        </is>
      </c>
    </row>
    <row r="115">
      <c r="A115" t="inlineStr">
        <is>
          <t>Interest receivables</t>
        </is>
      </c>
    </row>
    <row r="116">
      <c r="A116" t="inlineStr">
        <is>
          <t>Deposits</t>
        </is>
      </c>
      <c r="B116" t="n">
        <v>1795</v>
      </c>
      <c r="C116" t="n">
        <v>1737</v>
      </c>
      <c r="D116" t="n">
        <v>1795</v>
      </c>
      <c r="E116" t="n">
        <v>1737</v>
      </c>
    </row>
    <row r="117">
      <c r="A117" t="inlineStr">
        <is>
          <t>Dividend receivables</t>
        </is>
      </c>
    </row>
    <row r="118">
      <c r="A118" t="inlineStr">
        <is>
          <t>Lease and hire purchase receivables</t>
        </is>
      </c>
    </row>
    <row r="119">
      <c r="A119" t="inlineStr">
        <is>
          <t>Other current non-trade receivables</t>
        </is>
      </c>
      <c r="B119" t="n">
        <v>217</v>
      </c>
      <c r="C119" t="n">
        <v>5732</v>
      </c>
      <c r="D119" t="n">
        <v>217</v>
      </c>
      <c r="E119" t="n">
        <v>5732</v>
      </c>
    </row>
    <row r="120">
      <c r="A120" s="2" t="inlineStr">
        <is>
          <t>*Total non trade receivables</t>
        </is>
      </c>
      <c r="B120">
        <f>1*B115+1*B116+1*B117+1*B118+1*B119</f>
        <v/>
      </c>
      <c r="C120">
        <f>1*C115+1*C116+1*C117+1*C118+1*C119</f>
        <v/>
      </c>
      <c r="D120">
        <f>1*D115+1*D116+1*D117+1*D118+1*D119</f>
        <v/>
      </c>
      <c r="E120">
        <f>1*E115+1*E116+1*E117+1*E118+1*E119</f>
        <v/>
      </c>
    </row>
    <row r="121">
      <c r="A121" s="2" t="inlineStr">
        <is>
          <t>*Total other current receivables</t>
        </is>
      </c>
      <c r="B121">
        <f>1*B109+1*B113+1*B120</f>
        <v/>
      </c>
      <c r="C121">
        <f>1*C109+1*C113+1*C120</f>
        <v/>
      </c>
      <c r="D121">
        <f>1*D109+1*D113+1*D120</f>
        <v/>
      </c>
      <c r="E121">
        <f>1*E109+1*E113+1*E120</f>
        <v/>
      </c>
    </row>
    <row r="122">
      <c r="A122" s="2" t="inlineStr">
        <is>
          <t>*Total trade and other current receivables</t>
        </is>
      </c>
      <c r="B122">
        <f>1*B101+1*B121</f>
        <v/>
      </c>
      <c r="C122">
        <f>1*C101+1*C121</f>
        <v/>
      </c>
      <c r="D122">
        <f>1*D101+1*D121</f>
        <v/>
      </c>
      <c r="E122">
        <f>1*E101+1*E121</f>
        <v/>
      </c>
    </row>
    <row r="123">
      <c r="A123" s="1" t="inlineStr">
        <is>
          <t>Cash and cash equivalents</t>
        </is>
      </c>
    </row>
    <row r="124">
      <c r="A124" s="1" t="inlineStr">
        <is>
          <t>Cash</t>
        </is>
      </c>
    </row>
    <row r="125">
      <c r="A125" t="inlineStr">
        <is>
          <t>Cash in hand</t>
        </is>
      </c>
    </row>
    <row r="126">
      <c r="A126" t="inlineStr">
        <is>
          <t>Balances with banks</t>
        </is>
      </c>
      <c r="B126" t="n">
        <v>61668</v>
      </c>
      <c r="C126" t="n">
        <v>81920</v>
      </c>
      <c r="D126" t="n">
        <v>61668</v>
      </c>
      <c r="E126" t="n">
        <v>81920</v>
      </c>
    </row>
    <row r="127">
      <c r="A127" s="2" t="inlineStr">
        <is>
          <t>*Total cash</t>
        </is>
      </c>
      <c r="B127">
        <f>1*B125+1*B126</f>
        <v/>
      </c>
      <c r="C127">
        <f>1*C125+1*C126</f>
        <v/>
      </c>
      <c r="D127">
        <f>1*D125+1*D126</f>
        <v/>
      </c>
      <c r="E127">
        <f>1*E125+1*E126</f>
        <v/>
      </c>
    </row>
    <row r="128">
      <c r="A128" s="1" t="inlineStr">
        <is>
          <t>Cash equivalents</t>
        </is>
      </c>
    </row>
    <row r="129">
      <c r="A129" t="inlineStr">
        <is>
          <t>Deposits placed with licensed banks</t>
        </is>
      </c>
      <c r="B129" t="n">
        <v>63097</v>
      </c>
      <c r="C129" t="n">
        <v>156767</v>
      </c>
      <c r="D129" t="n">
        <v>63097</v>
      </c>
      <c r="E129" t="n">
        <v>156767</v>
      </c>
    </row>
    <row r="130">
      <c r="A130" t="inlineStr">
        <is>
          <t>Deposit placed with other corporations</t>
        </is>
      </c>
    </row>
    <row r="131">
      <c r="A131" t="inlineStr">
        <is>
          <t>Fixed deposits with financial institutions</t>
        </is>
      </c>
    </row>
    <row r="132">
      <c r="A132" t="inlineStr">
        <is>
          <t>Cash equivalents with other financial institutions</t>
        </is>
      </c>
    </row>
    <row r="133">
      <c r="A133" t="inlineStr">
        <is>
          <t>Short-term deposits</t>
        </is>
      </c>
    </row>
    <row r="134">
      <c r="A134" t="inlineStr">
        <is>
          <t>Short-term investments</t>
        </is>
      </c>
    </row>
    <row r="135">
      <c r="A135" t="inlineStr">
        <is>
          <t>Other banking arrangements</t>
        </is>
      </c>
    </row>
    <row r="136">
      <c r="A136" s="2" t="inlineStr">
        <is>
          <t>*Total cash equivalents</t>
        </is>
      </c>
      <c r="B136">
        <f>1*B129+1*B130+1*B131+1*B132+1*B133+1*B134+1*B135</f>
        <v/>
      </c>
      <c r="C136">
        <f>1*C129+1*C130+1*C131+1*C132+1*C133+1*C134+1*C135</f>
        <v/>
      </c>
      <c r="D136">
        <f>1*D129+1*D130+1*D131+1*D132+1*D133+1*D134+1*D135</f>
        <v/>
      </c>
      <c r="E136">
        <f>1*E129+1*E130+1*E131+1*E132+1*E133+1*E134+1*E135</f>
        <v/>
      </c>
    </row>
    <row r="137">
      <c r="A137" t="inlineStr">
        <is>
          <t>Other cash and cash equivalents</t>
        </is>
      </c>
    </row>
    <row r="138">
      <c r="A138" s="2" t="inlineStr">
        <is>
          <t>*Total cash and cash equivalents</t>
        </is>
      </c>
      <c r="B138">
        <f>1*B127+1*B136+1*B137</f>
        <v/>
      </c>
      <c r="C138">
        <f>1*C127+1*C136+1*C137</f>
        <v/>
      </c>
      <c r="D138">
        <f>1*D127+1*D136+1*D137</f>
        <v/>
      </c>
      <c r="E138">
        <f>1*E127+1*E136+1*E137</f>
        <v/>
      </c>
    </row>
    <row r="139">
      <c r="A139" s="1" t="inlineStr">
        <is>
          <t>Issued capital</t>
        </is>
      </c>
    </row>
    <row r="140">
      <c r="A140" t="inlineStr">
        <is>
          <t>Capital from ordinary shares</t>
        </is>
      </c>
      <c r="B140" t="n">
        <v>81804</v>
      </c>
      <c r="C140" t="n">
        <v>81804</v>
      </c>
      <c r="D140" t="n">
        <v>81804</v>
      </c>
      <c r="E140" t="n">
        <v>81804</v>
      </c>
    </row>
    <row r="141">
      <c r="A141" t="inlineStr">
        <is>
          <t>Capital from redeemable preference shares</t>
        </is>
      </c>
    </row>
    <row r="142">
      <c r="A142" t="inlineStr">
        <is>
          <t>Capital from non-redeemable preference shares</t>
        </is>
      </c>
    </row>
    <row r="143">
      <c r="A143" s="2" t="inlineStr">
        <is>
          <t>*Total issued capital</t>
        </is>
      </c>
      <c r="B143">
        <f>1*B140+1*B141+1*B142</f>
        <v/>
      </c>
      <c r="C143">
        <f>1*C140+1*C141+1*C142</f>
        <v/>
      </c>
      <c r="D143">
        <f>1*D140+1*D141+1*D142</f>
        <v/>
      </c>
      <c r="E143">
        <f>1*E140+1*E141+1*E142</f>
        <v/>
      </c>
    </row>
    <row r="144">
      <c r="A144" s="1" t="inlineStr">
        <is>
          <t>Reserves</t>
        </is>
      </c>
    </row>
    <row r="145">
      <c r="A145" s="1" t="inlineStr">
        <is>
          <t>Non-distributable</t>
        </is>
      </c>
    </row>
    <row r="146">
      <c r="A146" t="inlineStr">
        <is>
          <t>Capital reserve</t>
        </is>
      </c>
    </row>
    <row r="147">
      <c r="A147" t="inlineStr">
        <is>
          <t>Foreign currency translation reserve</t>
        </is>
      </c>
    </row>
    <row r="148">
      <c r="A148" t="inlineStr">
        <is>
          <t>Revaluation surplus</t>
        </is>
      </c>
    </row>
    <row r="149">
      <c r="A149" t="inlineStr">
        <is>
          <t>Other non-distributable reserves</t>
        </is>
      </c>
    </row>
    <row r="150">
      <c r="A150" s="2" t="inlineStr">
        <is>
          <t>*Total non-distributable reserves</t>
        </is>
      </c>
      <c r="B150">
        <f>1*B146+1*B147+1*B148+1*B149</f>
        <v/>
      </c>
      <c r="C150">
        <f>1*C146+1*C147+1*C148+1*C149</f>
        <v/>
      </c>
      <c r="D150">
        <f>1*D146+1*D147+1*D148+1*D149</f>
        <v/>
      </c>
      <c r="E150">
        <f>1*E146+1*E147+1*E148+1*E149</f>
        <v/>
      </c>
    </row>
    <row r="151">
      <c r="A151" s="1" t="inlineStr">
        <is>
          <t>Distributable</t>
        </is>
      </c>
    </row>
    <row r="152">
      <c r="A152" t="inlineStr">
        <is>
          <t>Other distributable reserves</t>
        </is>
      </c>
    </row>
    <row r="153">
      <c r="A153" s="2" t="inlineStr">
        <is>
          <t>*Total distributable reserves</t>
        </is>
      </c>
      <c r="B153">
        <f>1*B152</f>
        <v/>
      </c>
      <c r="C153">
        <f>1*C152</f>
        <v/>
      </c>
      <c r="D153">
        <f>1*D152</f>
        <v/>
      </c>
      <c r="E153">
        <f>1*E152</f>
        <v/>
      </c>
    </row>
    <row r="154">
      <c r="A154" s="2" t="inlineStr">
        <is>
          <t>*Total reserves</t>
        </is>
      </c>
      <c r="B154">
        <f>1*B150+1*B153</f>
        <v/>
      </c>
      <c r="C154">
        <f>1*C150+1*C153</f>
        <v/>
      </c>
      <c r="D154">
        <f>1*D150+1*D153</f>
        <v/>
      </c>
      <c r="E154">
        <f>1*E150+1*E153</f>
        <v/>
      </c>
    </row>
    <row r="155">
      <c r="A155" s="1" t="inlineStr">
        <is>
          <t>Equity - others components</t>
        </is>
      </c>
    </row>
    <row r="156">
      <c r="A156" t="inlineStr">
        <is>
          <t>Perpetual Sukuk</t>
        </is>
      </c>
    </row>
    <row r="157">
      <c r="A157" t="inlineStr">
        <is>
          <t>Equity component of Irredeemable Convertible Unsecured Loan Stocks (ICULS)</t>
        </is>
      </c>
    </row>
    <row r="158">
      <c r="A158" t="inlineStr">
        <is>
          <t>Equity component of preference shares</t>
        </is>
      </c>
    </row>
    <row r="159">
      <c r="A159" t="inlineStr">
        <is>
          <t>Equity components of other financial instruments</t>
        </is>
      </c>
    </row>
    <row r="160">
      <c r="A160" s="2" t="inlineStr">
        <is>
          <t>*Total equity - other components</t>
        </is>
      </c>
      <c r="B160">
        <f>1*B156+1*B157+1*B158+1*B159</f>
        <v/>
      </c>
      <c r="C160">
        <f>1*C156+1*C157+1*C158+1*C159</f>
        <v/>
      </c>
      <c r="D160">
        <f>1*D156+1*D157+1*D158+1*D159</f>
        <v/>
      </c>
      <c r="E160">
        <f>1*E156+1*E157+1*E158+1*E159</f>
        <v/>
      </c>
    </row>
    <row r="161">
      <c r="A161" s="1" t="inlineStr">
        <is>
          <t>Non-current loans and borrowings</t>
        </is>
      </c>
    </row>
    <row r="162">
      <c r="A162" t="inlineStr">
        <is>
          <t>Secured bank loans</t>
        </is>
      </c>
    </row>
    <row r="163">
      <c r="A163" t="inlineStr">
        <is>
          <t>Unsecured bank loans</t>
        </is>
      </c>
    </row>
    <row r="164">
      <c r="A164" t="inlineStr">
        <is>
          <t>Secured convertible notes</t>
        </is>
      </c>
    </row>
    <row r="165">
      <c r="A165" t="inlineStr">
        <is>
          <t>Unsecured convertible notes</t>
        </is>
      </c>
    </row>
    <row r="166">
      <c r="A166" t="inlineStr">
        <is>
          <t>Redeemable preference shares</t>
        </is>
      </c>
    </row>
    <row r="167">
      <c r="A167" t="inlineStr">
        <is>
          <t>Finance lease liabilities</t>
        </is>
      </c>
    </row>
    <row r="168">
      <c r="A168" t="inlineStr">
        <is>
          <t>Loan from holding company</t>
        </is>
      </c>
    </row>
    <row r="169">
      <c r="A169" t="inlineStr">
        <is>
          <t>Loan from subsidiaries</t>
        </is>
      </c>
    </row>
    <row r="170">
      <c r="A170" t="inlineStr">
        <is>
          <t>Loan from associates</t>
        </is>
      </c>
    </row>
    <row r="171">
      <c r="A171" t="inlineStr">
        <is>
          <t>Loan from joint ventures</t>
        </is>
      </c>
    </row>
    <row r="172">
      <c r="A172" t="inlineStr">
        <is>
          <t>Loan from other related companies</t>
        </is>
      </c>
    </row>
    <row r="173">
      <c r="A173" t="inlineStr">
        <is>
          <t>Other secured bank facilities</t>
        </is>
      </c>
    </row>
    <row r="174">
      <c r="A174" t="inlineStr">
        <is>
          <t>Other unsecured bank facilities</t>
        </is>
      </c>
    </row>
    <row r="175">
      <c r="A175" t="inlineStr">
        <is>
          <t>Other non-current borrowings</t>
        </is>
      </c>
    </row>
    <row r="176">
      <c r="A176" s="2" t="inlineStr">
        <is>
          <t>*Total non-current borrowings</t>
        </is>
      </c>
      <c r="B176">
        <f>1*B162+1*B163+1*B164+1*B165+1*B166+1*B167+1*B168+1*B169+1*B170+1*B171+1*B172+1*B173+1*B174+1*B175</f>
        <v/>
      </c>
      <c r="C176">
        <f>1*C162+1*C163+1*C164+1*C165+1*C166+1*C167+1*C168+1*C169+1*C170+1*C171+1*C172+1*C173+1*C174+1*C175</f>
        <v/>
      </c>
      <c r="D176">
        <f>1*D162+1*D163+1*D164+1*D165+1*D166+1*D167+1*D168+1*D169+1*D170+1*D171+1*D172+1*D173+1*D174+1*D175</f>
        <v/>
      </c>
      <c r="E176">
        <f>1*E162+1*E163+1*E164+1*E165+1*E166+1*E167+1*E168+1*E169+1*E170+1*E171+1*E172+1*E173+1*E174+1*E175</f>
        <v/>
      </c>
    </row>
    <row r="177">
      <c r="A177" s="1" t="inlineStr">
        <is>
          <t>Non-current employee benefits</t>
        </is>
      </c>
    </row>
    <row r="178">
      <c r="A178" t="inlineStr">
        <is>
          <t>Cash-settled share-based payment liability</t>
        </is>
      </c>
    </row>
    <row r="179">
      <c r="A179" t="inlineStr">
        <is>
          <t>Employment termination benefits</t>
        </is>
      </c>
    </row>
    <row r="180">
      <c r="A180" t="inlineStr">
        <is>
          <t>Provision for unconsumed leave</t>
        </is>
      </c>
    </row>
    <row r="181">
      <c r="A181" t="inlineStr">
        <is>
          <t>Defined contribution plan</t>
        </is>
      </c>
    </row>
    <row r="182">
      <c r="A182" t="inlineStr">
        <is>
          <t>Defined benefit plan</t>
        </is>
      </c>
    </row>
    <row r="183">
      <c r="A183" t="inlineStr">
        <is>
          <t>Other non-current employee benefits</t>
        </is>
      </c>
    </row>
    <row r="184">
      <c r="A184" s="2" t="inlineStr">
        <is>
          <t>*Total non-current employee benefits</t>
        </is>
      </c>
      <c r="B184">
        <f>1*B178+1*B179+1*B180+1*B181+1*B182+1*B183</f>
        <v/>
      </c>
      <c r="C184">
        <f>1*C178+1*C179+1*C180+1*C181+1*C182+1*C183</f>
        <v/>
      </c>
      <c r="D184">
        <f>1*D178+1*D179+1*D180+1*D181+1*D182+1*D183</f>
        <v/>
      </c>
      <c r="E184">
        <f>1*E178+1*E179+1*E180+1*E181+1*E182+1*E183</f>
        <v/>
      </c>
    </row>
    <row r="185">
      <c r="A185" s="1" t="inlineStr">
        <is>
          <t>Non-current provisions</t>
        </is>
      </c>
    </row>
    <row r="186">
      <c r="A186" t="inlineStr">
        <is>
          <t>Warranty provision</t>
        </is>
      </c>
    </row>
    <row r="187">
      <c r="A187" t="inlineStr">
        <is>
          <t>Restructuring provision</t>
        </is>
      </c>
    </row>
    <row r="188">
      <c r="A188" t="inlineStr">
        <is>
          <t>Legal proceedings provision</t>
        </is>
      </c>
    </row>
    <row r="189">
      <c r="A189" t="inlineStr">
        <is>
          <t>Onerous contracts provision</t>
        </is>
      </c>
    </row>
    <row r="190">
      <c r="A190" t="inlineStr">
        <is>
          <t>Provision for decommissioning, restoration and rehabilitation costs</t>
        </is>
      </c>
      <c r="C190" t="n">
        <v>1881</v>
      </c>
      <c r="E190" t="n">
        <v>1881</v>
      </c>
    </row>
    <row r="191">
      <c r="A191" t="inlineStr">
        <is>
          <t>Other non-current provisions</t>
        </is>
      </c>
    </row>
    <row r="192">
      <c r="A192" s="2" t="inlineStr">
        <is>
          <t>*Total non-current provisions</t>
        </is>
      </c>
      <c r="B192">
        <f>1*B186+1*B187+1*B188+1*B189+1*B190+1*B191</f>
        <v/>
      </c>
      <c r="C192">
        <f>1*C186+1*C187+1*C188+1*C189+1*C190+1*C191</f>
        <v/>
      </c>
      <c r="D192">
        <f>1*D186+1*D187+1*D188+1*D189+1*D190+1*D191</f>
        <v/>
      </c>
      <c r="E192">
        <f>1*E186+1*E187+1*E188+1*E189+1*E190+1*E191</f>
        <v/>
      </c>
    </row>
    <row r="193">
      <c r="A193" s="1" t="inlineStr">
        <is>
          <t>Trade and other non-current payables</t>
        </is>
      </c>
    </row>
    <row r="194">
      <c r="A194" s="1" t="inlineStr">
        <is>
          <t>Non-current trade payables</t>
        </is>
      </c>
    </row>
    <row r="195">
      <c r="A195" t="inlineStr">
        <is>
          <t>Trade payables due to holding company</t>
        </is>
      </c>
    </row>
    <row r="196">
      <c r="A196" t="inlineStr">
        <is>
          <t>Trade payables due to subsidiaries</t>
        </is>
      </c>
    </row>
    <row r="197">
      <c r="A197" t="inlineStr">
        <is>
          <t>Trade payables due to associates</t>
        </is>
      </c>
    </row>
    <row r="198">
      <c r="A198" t="inlineStr">
        <is>
          <t>Trade payables due to joint ventures</t>
        </is>
      </c>
    </row>
    <row r="199">
      <c r="A199" t="inlineStr">
        <is>
          <t>Trade payables due to other related parties</t>
        </is>
      </c>
    </row>
    <row r="200">
      <c r="A200" t="inlineStr">
        <is>
          <t>Other non-current trade payables</t>
        </is>
      </c>
    </row>
    <row r="201">
      <c r="A201" s="2" t="inlineStr">
        <is>
          <t>*Total non-current trade payables</t>
        </is>
      </c>
      <c r="B201">
        <f>1*B195+1*B196+1*B197+1*B198+1*B199+1*B200</f>
        <v/>
      </c>
      <c r="C201">
        <f>1*C195+1*C196+1*C197+1*C198+1*C199+1*C200</f>
        <v/>
      </c>
      <c r="D201">
        <f>1*D195+1*D196+1*D197+1*D198+1*D199+1*D200</f>
        <v/>
      </c>
      <c r="E201">
        <f>1*E195+1*E196+1*E197+1*E198+1*E199+1*E200</f>
        <v/>
      </c>
    </row>
    <row r="202">
      <c r="A202" s="1" t="inlineStr">
        <is>
          <t>Other non-current payables</t>
        </is>
      </c>
    </row>
    <row r="203">
      <c r="A203" s="1" t="inlineStr">
        <is>
          <t>Other non-current payables due to related parties</t>
        </is>
      </c>
    </row>
    <row r="204">
      <c r="A204" t="inlineStr">
        <is>
          <t>Other payables due to holding company</t>
        </is>
      </c>
    </row>
    <row r="205">
      <c r="A205" t="inlineStr">
        <is>
          <t>Other payables due to subsidiaries</t>
        </is>
      </c>
    </row>
    <row r="206">
      <c r="A206" t="inlineStr">
        <is>
          <t>Other payables due to associates</t>
        </is>
      </c>
    </row>
    <row r="207">
      <c r="A207" t="inlineStr">
        <is>
          <t>Other payables due to joint ventures</t>
        </is>
      </c>
    </row>
    <row r="208">
      <c r="A208" t="inlineStr">
        <is>
          <t>Other payables due to other related parties</t>
        </is>
      </c>
    </row>
    <row r="209">
      <c r="A209" s="2" t="inlineStr">
        <is>
          <t>*Total other non-current payables due to related parties</t>
        </is>
      </c>
      <c r="B209">
        <f>1*B204+1*B205+1*B206+1*B207+1*B208</f>
        <v/>
      </c>
      <c r="C209">
        <f>1*C204+1*C205+1*C206+1*C207+1*C208</f>
        <v/>
      </c>
      <c r="D209">
        <f>1*D204+1*D205+1*D206+1*D207+1*D208</f>
        <v/>
      </c>
      <c r="E209">
        <f>1*E204+1*E205+1*E206+1*E207+1*E208</f>
        <v/>
      </c>
    </row>
    <row r="210">
      <c r="A210" s="1" t="inlineStr">
        <is>
          <t>Non-current non-trade payables</t>
        </is>
      </c>
    </row>
    <row r="211">
      <c r="A211" t="inlineStr">
        <is>
          <t>Deferred income</t>
        </is>
      </c>
    </row>
    <row r="212">
      <c r="A212" t="inlineStr">
        <is>
          <t>Accruals</t>
        </is>
      </c>
    </row>
    <row r="213">
      <c r="A213" t="inlineStr">
        <is>
          <t>Retention payable</t>
        </is>
      </c>
    </row>
    <row r="214">
      <c r="A214" t="inlineStr">
        <is>
          <t>Other non-current non-trade payables</t>
        </is>
      </c>
      <c r="B214" t="n">
        <v>2761</v>
      </c>
      <c r="C214" t="n">
        <v>1881</v>
      </c>
      <c r="D214" t="n">
        <v>2761</v>
      </c>
      <c r="E214" t="n">
        <v>1881</v>
      </c>
    </row>
    <row r="215">
      <c r="A215" s="2" t="inlineStr">
        <is>
          <t>*Total non-current non-trade payables</t>
        </is>
      </c>
      <c r="B215">
        <f>1*B211+1*B212+1*B213+1*B214</f>
        <v/>
      </c>
      <c r="C215">
        <f>1*C211+1*C212+1*C213+1*C214</f>
        <v/>
      </c>
      <c r="D215">
        <f>1*D211+1*D212+1*D213+1*D214</f>
        <v/>
      </c>
      <c r="E215">
        <f>1*E211+1*E212+1*E213+1*E214</f>
        <v/>
      </c>
    </row>
    <row r="216">
      <c r="A216" s="2" t="inlineStr">
        <is>
          <t>*Total other non-current payables</t>
        </is>
      </c>
      <c r="B216">
        <f>1*B209+1*B215</f>
        <v/>
      </c>
      <c r="C216">
        <f>1*C209+1*C215</f>
        <v/>
      </c>
      <c r="D216">
        <f>1*D209+1*D215</f>
        <v/>
      </c>
      <c r="E216">
        <f>1*E209+1*E215</f>
        <v/>
      </c>
    </row>
    <row r="217">
      <c r="A217" s="2" t="inlineStr">
        <is>
          <t>*Total trade and other non-current payables</t>
        </is>
      </c>
      <c r="B217">
        <f>1*B201+1*B216</f>
        <v/>
      </c>
      <c r="C217">
        <f>1*C201+1*C216</f>
        <v/>
      </c>
      <c r="D217">
        <f>1*D201+1*D216</f>
        <v/>
      </c>
      <c r="E217">
        <f>1*E201+1*E216</f>
        <v/>
      </c>
    </row>
    <row r="218">
      <c r="A218" s="1" t="inlineStr">
        <is>
          <t>Current loans and borrowings</t>
        </is>
      </c>
    </row>
    <row r="219">
      <c r="A219" t="inlineStr">
        <is>
          <t>Secured bank loans</t>
        </is>
      </c>
    </row>
    <row r="220">
      <c r="A220" t="inlineStr">
        <is>
          <t>Unsecured bank loans</t>
        </is>
      </c>
    </row>
    <row r="221">
      <c r="A221" t="inlineStr">
        <is>
          <t>Secured convertible notes</t>
        </is>
      </c>
    </row>
    <row r="222">
      <c r="A222" t="inlineStr">
        <is>
          <t>Unsecured convertible notes</t>
        </is>
      </c>
    </row>
    <row r="223">
      <c r="A223" t="inlineStr">
        <is>
          <t>Secured bank overdrafts</t>
        </is>
      </c>
    </row>
    <row r="224">
      <c r="A224" t="inlineStr">
        <is>
          <t>Unsecured bank overdrafts</t>
        </is>
      </c>
    </row>
    <row r="225">
      <c r="A225" t="inlineStr">
        <is>
          <t>Redeemable preference shares</t>
        </is>
      </c>
    </row>
    <row r="226">
      <c r="A226" t="inlineStr">
        <is>
          <t>Finance lease liabilities</t>
        </is>
      </c>
    </row>
    <row r="227">
      <c r="A227" t="inlineStr">
        <is>
          <t>Loan from holding company</t>
        </is>
      </c>
    </row>
    <row r="228">
      <c r="A228" t="inlineStr">
        <is>
          <t>Loan from subsidiaries</t>
        </is>
      </c>
    </row>
    <row r="229">
      <c r="A229" t="inlineStr">
        <is>
          <t>Loan from associates</t>
        </is>
      </c>
    </row>
    <row r="230">
      <c r="A230" t="inlineStr">
        <is>
          <t>Loan from joint venture</t>
        </is>
      </c>
    </row>
    <row r="231">
      <c r="A231" t="inlineStr">
        <is>
          <t>Loan from other related companies</t>
        </is>
      </c>
    </row>
    <row r="232">
      <c r="A232" t="inlineStr">
        <is>
          <t>Other secured bank facilities</t>
        </is>
      </c>
    </row>
    <row r="233">
      <c r="A233" t="inlineStr">
        <is>
          <t>Other unsecured bank facilities</t>
        </is>
      </c>
    </row>
    <row r="234">
      <c r="A234" t="inlineStr">
        <is>
          <t>Other current borrowings</t>
        </is>
      </c>
    </row>
    <row r="235">
      <c r="A235" s="2" t="inlineStr">
        <is>
          <t>*Total current loans and borrowings</t>
        </is>
      </c>
      <c r="B235">
        <f>1*B219+1*B220+1*B221+1*B222+1*B223+1*B224+1*B225+1*B226+1*B227+1*B228+1*B229+1*B230+1*B231+1*B232+1*B233+1*B234</f>
        <v/>
      </c>
      <c r="C235">
        <f>1*C219+1*C220+1*C221+1*C222+1*C223+1*C224+1*C225+1*C226+1*C227+1*C228+1*C229+1*C230+1*C231+1*C232+1*C233+1*C234</f>
        <v/>
      </c>
      <c r="D235">
        <f>1*D219+1*D220+1*D221+1*D222+1*D223+1*D224+1*D225+1*D226+1*D227+1*D228+1*D229+1*D230+1*D231+1*D232+1*D233+1*D234</f>
        <v/>
      </c>
      <c r="E235">
        <f>1*E219+1*E220+1*E221+1*E222+1*E223+1*E224+1*E225+1*E226+1*E227+1*E228+1*E229+1*E230+1*E231+1*E232+1*E233+1*E234</f>
        <v/>
      </c>
    </row>
    <row r="236">
      <c r="A236" s="1" t="inlineStr">
        <is>
          <t>Current employee benefits</t>
        </is>
      </c>
    </row>
    <row r="237">
      <c r="A237" t="inlineStr">
        <is>
          <t>Cash-settled share-based payment liability</t>
        </is>
      </c>
    </row>
    <row r="238">
      <c r="A238" t="inlineStr">
        <is>
          <t>Employment termination benefits</t>
        </is>
      </c>
    </row>
    <row r="239">
      <c r="A239" t="inlineStr">
        <is>
          <t>Provision for unconsumed leave</t>
        </is>
      </c>
    </row>
    <row r="240">
      <c r="A240" t="inlineStr">
        <is>
          <t>Defined contribution plan</t>
        </is>
      </c>
    </row>
    <row r="241">
      <c r="A241" t="inlineStr">
        <is>
          <t>Defined benefit plan</t>
        </is>
      </c>
    </row>
    <row r="242">
      <c r="A242" t="inlineStr">
        <is>
          <t>Other current employee  benefits</t>
        </is>
      </c>
    </row>
    <row r="243">
      <c r="A243" s="2" t="inlineStr">
        <is>
          <t>*Total current employee benefits</t>
        </is>
      </c>
      <c r="B243">
        <f>1*B237+1*B238+1*B239+1*B240+1*B241+1*B242</f>
        <v/>
      </c>
      <c r="C243">
        <f>1*C237+1*C238+1*C239+1*C240+1*C241+1*C242</f>
        <v/>
      </c>
      <c r="D243">
        <f>1*D237+1*D238+1*D239+1*D240+1*D241+1*D242</f>
        <v/>
      </c>
      <c r="E243">
        <f>1*E237+1*E238+1*E239+1*E240+1*E241+1*E242</f>
        <v/>
      </c>
    </row>
    <row r="244">
      <c r="A244" s="1" t="inlineStr">
        <is>
          <t>Current provisions</t>
        </is>
      </c>
    </row>
    <row r="245">
      <c r="A245" t="inlineStr">
        <is>
          <t>Warranty provision</t>
        </is>
      </c>
    </row>
    <row r="246">
      <c r="A246" t="inlineStr">
        <is>
          <t>Restructuring provision</t>
        </is>
      </c>
    </row>
    <row r="247">
      <c r="A247" t="inlineStr">
        <is>
          <t>Legal proceedings provision</t>
        </is>
      </c>
    </row>
    <row r="248">
      <c r="A248" t="inlineStr">
        <is>
          <t>Onerous contracts provision</t>
        </is>
      </c>
    </row>
    <row r="249">
      <c r="A249" t="inlineStr">
        <is>
          <t>Provision for decommissioning, restoration and rehabilitation costs</t>
        </is>
      </c>
    </row>
    <row r="250">
      <c r="A250" t="inlineStr">
        <is>
          <t>Other current provisions</t>
        </is>
      </c>
    </row>
    <row r="251">
      <c r="A251" s="2" t="inlineStr">
        <is>
          <t>*Total current provisions</t>
        </is>
      </c>
      <c r="B251">
        <f>1*B245+1*B246+1*B247+1*B248+1*B249+1*B250</f>
        <v/>
      </c>
      <c r="C251">
        <f>1*C245+1*C246+1*C247+1*C248+1*C249+1*C250</f>
        <v/>
      </c>
      <c r="D251">
        <f>1*D245+1*D246+1*D247+1*D248+1*D249+1*D250</f>
        <v/>
      </c>
      <c r="E251">
        <f>1*E245+1*E246+1*E247+1*E248+1*E249+1*E250</f>
        <v/>
      </c>
    </row>
    <row r="252">
      <c r="A252" s="1" t="inlineStr">
        <is>
          <t>Trade and other current payables</t>
        </is>
      </c>
    </row>
    <row r="253">
      <c r="A253" s="1" t="inlineStr">
        <is>
          <t>Current trade payables</t>
        </is>
      </c>
    </row>
    <row r="254">
      <c r="A254" t="inlineStr">
        <is>
          <t>Trade payable due to contract suppliers</t>
        </is>
      </c>
    </row>
    <row r="255">
      <c r="A255" t="inlineStr">
        <is>
          <t>Trade payables due to holding company</t>
        </is>
      </c>
    </row>
    <row r="256">
      <c r="A256" t="inlineStr">
        <is>
          <t>Trade payables due to subsidiaries</t>
        </is>
      </c>
    </row>
    <row r="257">
      <c r="A257" t="inlineStr">
        <is>
          <t>Trade payables due to associates</t>
        </is>
      </c>
    </row>
    <row r="258">
      <c r="A258" t="inlineStr">
        <is>
          <t>Trade payables due to joint ventures</t>
        </is>
      </c>
    </row>
    <row r="259">
      <c r="A259" t="inlineStr">
        <is>
          <t>Trade payables due to other related parties</t>
        </is>
      </c>
    </row>
    <row r="260">
      <c r="A260" t="inlineStr">
        <is>
          <t>Other current trade payables</t>
        </is>
      </c>
    </row>
    <row r="261">
      <c r="A261" s="2" t="inlineStr">
        <is>
          <t>*Total current trade payables</t>
        </is>
      </c>
      <c r="B261">
        <f>1*B254+1*B255+1*B256+1*B257+1*B258+1*B259+1*B260</f>
        <v/>
      </c>
      <c r="C261">
        <f>1*C254+1*C255+1*C256+1*C257+1*C258+1*C259+1*C260</f>
        <v/>
      </c>
      <c r="D261">
        <f>1*D254+1*D255+1*D256+1*D257+1*D258+1*D259+1*D260</f>
        <v/>
      </c>
      <c r="E261">
        <f>1*E254+1*E255+1*E256+1*E257+1*E258+1*E259+1*E260</f>
        <v/>
      </c>
    </row>
    <row r="262">
      <c r="A262" s="1" t="inlineStr">
        <is>
          <t>Other current payables</t>
        </is>
      </c>
    </row>
    <row r="263">
      <c r="A263" s="1" t="inlineStr">
        <is>
          <t>Other current payables due to related parties</t>
        </is>
      </c>
    </row>
    <row r="264">
      <c r="A264" t="inlineStr">
        <is>
          <t>Other payables due to holding company</t>
        </is>
      </c>
    </row>
    <row r="265">
      <c r="A265" t="inlineStr">
        <is>
          <t>Other payables due to subsidiaries</t>
        </is>
      </c>
    </row>
    <row r="266">
      <c r="A266" t="inlineStr">
        <is>
          <t>Other payables due to associates</t>
        </is>
      </c>
    </row>
    <row r="267">
      <c r="A267" t="inlineStr">
        <is>
          <t>Other payables due to joint ventures</t>
        </is>
      </c>
    </row>
    <row r="268">
      <c r="A268" t="inlineStr">
        <is>
          <t>Other payables due to other related parties</t>
        </is>
      </c>
    </row>
    <row r="269">
      <c r="A269" s="2" t="inlineStr">
        <is>
          <t>*Total other current payables due to related parties</t>
        </is>
      </c>
      <c r="B269">
        <f>1*B264+1*B265+1*B266+1*B267+1*B268</f>
        <v/>
      </c>
      <c r="C269">
        <f>1*C264+1*C265+1*C266+1*C267+1*C268</f>
        <v/>
      </c>
      <c r="D269">
        <f>1*D264+1*D265+1*D266+1*D267+1*D268</f>
        <v/>
      </c>
      <c r="E269">
        <f>1*E264+1*E265+1*E266+1*E267+1*E268</f>
        <v/>
      </c>
    </row>
    <row r="270">
      <c r="A270" s="1" t="inlineStr">
        <is>
          <t>Current non-trade payables</t>
        </is>
      </c>
    </row>
    <row r="271">
      <c r="A271" t="inlineStr">
        <is>
          <t>Deferred income</t>
        </is>
      </c>
    </row>
    <row r="272">
      <c r="A272" t="inlineStr">
        <is>
          <t>Accruals</t>
        </is>
      </c>
    </row>
    <row r="273">
      <c r="A273" t="inlineStr">
        <is>
          <t>Retention payable</t>
        </is>
      </c>
    </row>
    <row r="274">
      <c r="A274" t="inlineStr">
        <is>
          <t>Other current non-trade payables</t>
        </is>
      </c>
    </row>
    <row r="275">
      <c r="A275" s="2" t="inlineStr">
        <is>
          <t>*Total current non-trade payables</t>
        </is>
      </c>
      <c r="B275">
        <f>1*B271+1*B272+1*B273+1*B274</f>
        <v/>
      </c>
      <c r="C275">
        <f>1*C271+1*C272+1*C273+1*C274</f>
        <v/>
      </c>
      <c r="D275">
        <f>1*D271+1*D272+1*D273+1*D274</f>
        <v/>
      </c>
      <c r="E275">
        <f>1*E271+1*E272+1*E273+1*E274</f>
        <v/>
      </c>
    </row>
    <row r="276">
      <c r="A276" s="2" t="inlineStr">
        <is>
          <t>*Total other current payables</t>
        </is>
      </c>
      <c r="B276">
        <f>1*B269+1*B275</f>
        <v/>
      </c>
      <c r="C276">
        <f>1*C269+1*C275</f>
        <v/>
      </c>
      <c r="D276">
        <f>1*D269+1*D275</f>
        <v/>
      </c>
      <c r="E276">
        <f>1*E269+1*E275</f>
        <v/>
      </c>
    </row>
    <row r="277">
      <c r="A277" s="2" t="inlineStr">
        <is>
          <t>*Total trade and other current payables</t>
        </is>
      </c>
      <c r="B277">
        <f>1*B261+1*B276</f>
        <v/>
      </c>
      <c r="C277">
        <f>1*C261+1*C276</f>
        <v/>
      </c>
      <c r="D277">
        <f>1*D261+1*D276</f>
        <v/>
      </c>
      <c r="E277">
        <f>1*E261+1*E276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2026-04-26T01:11:30Z</dcterms:created>
  <dcterms:modified xmlns:dcterms="http://purl.org/dc/terms/" xmlns:xsi="http://www.w3.org/2001/XMLSchema-instance" xsi:type="dcterms:W3CDTF">2026-04-26T11:15:57Z</dcterms:modified>
</cp:coreProperties>
</file>