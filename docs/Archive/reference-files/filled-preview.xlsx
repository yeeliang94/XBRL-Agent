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  <sheet xmlns:r="http://schemas.openxmlformats.org/officeDocument/2006/relationships" name="SOPL-Function" sheetId="3" state="visible" r:id="rId3"/>
    <sheet xmlns:r="http://schemas.openxmlformats.org/officeDocument/2006/relationships" name="SOPL-Analysis-Function" sheetId="4" state="visible" r:id="rId4"/>
    <sheet xmlns:r="http://schemas.openxmlformats.org/officeDocument/2006/relationships" name="SOCI-NetOfTax" sheetId="5" state="visible" r:id="rId5"/>
    <sheet xmlns:r="http://schemas.openxmlformats.org/officeDocument/2006/relationships" name="SOCF-Indirect" sheetId="6" state="visible" r:id="rId6"/>
    <sheet xmlns:r="http://schemas.openxmlformats.org/officeDocument/2006/relationships" name="SOC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b val="1"/>
      <color rgb="00000000"/>
      <sz val="10"/>
    </font>
    <font>
      <name val="Calibri"/>
      <i val="1"/>
      <color rgb="006B7280"/>
      <sz val="9"/>
    </font>
    <font>
      <name val="Calibri"/>
      <color rgb="00000000"/>
      <sz val="10"/>
    </font>
    <font>
      <name val="Arial"/>
      <charset val="1"/>
      <family val="0"/>
      <sz val="11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164" fontId="5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164" fontId="7" fillId="3" borderId="3" applyAlignment="1" pivotButton="0" quotePrefix="0" xfId="0">
      <alignment horizontal="right" vertical="center"/>
    </xf>
    <xf numFmtId="0" fontId="5" fillId="4" borderId="4" applyAlignment="1" pivotButton="0" quotePrefix="0" xfId="0">
      <alignment horizontal="left" vertical="center"/>
    </xf>
    <xf numFmtId="164" fontId="5" fillId="4" borderId="4" applyAlignment="1" pivotButton="0" quotePrefix="0" xfId="0">
      <alignment horizontal="right" vertical="center"/>
    </xf>
    <xf numFmtId="0" fontId="6" fillId="4" borderId="4" applyAlignment="1" pivotButton="0" quotePrefix="0" xfId="0">
      <alignment horizontal="left" vertical="center" wrapText="1"/>
    </xf>
    <xf numFmtId="164" fontId="7" fillId="0" borderId="3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" t="inlineStr">
        <is>
          <t>01/01/YYYY - 31/12/YYYY</t>
        </is>
      </c>
      <c r="C1" s="1" t="inlineStr">
        <is>
          <t>01/01/YYYY - 31/12/YYYY</t>
        </is>
      </c>
      <c r="D1" s="2" t="inlineStr">
        <is>
          <t>Source</t>
        </is>
      </c>
    </row>
    <row r="2"/>
    <row r="3" ht="24" customHeight="1">
      <c r="A3" s="3" t="inlineStr">
        <is>
          <t>Statement of financial position</t>
        </is>
      </c>
      <c r="D3" s="3" t="n"/>
    </row>
    <row r="4" ht="18" customHeight="1">
      <c r="A4" s="4" t="inlineStr">
        <is>
          <t>Statement of financial position</t>
        </is>
      </c>
      <c r="B4" s="5" t="n"/>
      <c r="C4" s="5" t="n"/>
      <c r="D4" s="6" t="n"/>
    </row>
    <row r="5" ht="18" customHeight="1">
      <c r="A5" s="4" t="inlineStr">
        <is>
          <t>Statement of financial position</t>
        </is>
      </c>
      <c r="B5" s="5" t="n"/>
      <c r="C5" s="5" t="n"/>
      <c r="D5" s="6" t="n"/>
    </row>
    <row r="6" ht="18" customHeight="1">
      <c r="A6" s="4" t="inlineStr">
        <is>
          <t>Assets</t>
        </is>
      </c>
      <c r="B6" s="5" t="n"/>
      <c r="C6" s="5" t="n"/>
      <c r="D6" s="6" t="n"/>
    </row>
    <row r="7" ht="18" customHeight="1">
      <c r="A7" s="4" t="inlineStr">
        <is>
          <t>Non-current assets</t>
        </is>
      </c>
      <c r="B7" s="5" t="n"/>
      <c r="C7" s="5" t="n"/>
      <c r="D7" s="6" t="n"/>
    </row>
    <row r="8" ht="18" customHeight="1">
      <c r="A8" s="7" t="inlineStr">
        <is>
          <t>*Property, plant and equipment</t>
        </is>
      </c>
      <c r="B8" s="8">
        <f>'SOFP-Sub-CuNonCu'!B39</f>
        <v/>
      </c>
      <c r="C8" s="8">
        <f>'SOFP-Sub-CuNonCu'!C39</f>
        <v/>
      </c>
      <c r="D8" s="9" t="n"/>
    </row>
    <row r="9" ht="18" customHeight="1">
      <c r="A9" s="7" t="inlineStr">
        <is>
          <t>*Investment property</t>
        </is>
      </c>
      <c r="B9" s="8">
        <f>'SOFP-Sub-CuNonCu'!B49</f>
        <v/>
      </c>
      <c r="C9" s="8">
        <f>'SOFP-Sub-CuNonCu'!C49</f>
        <v/>
      </c>
      <c r="D9" s="9" t="n"/>
    </row>
    <row r="10" ht="18" customHeight="1">
      <c r="A10" s="10" t="inlineStr">
        <is>
          <t>Biological assets</t>
        </is>
      </c>
      <c r="B10" s="11" t="n"/>
      <c r="C10" s="11" t="n"/>
      <c r="D10" s="9" t="n"/>
    </row>
    <row r="11" ht="18" customHeight="1">
      <c r="A11" s="10" t="inlineStr">
        <is>
          <t>Right-of-use assets</t>
        </is>
      </c>
      <c r="B11" s="11" t="n">
        <v>19524288</v>
      </c>
      <c r="C11" s="11" t="n">
        <v>13076097</v>
      </c>
      <c r="D11" s="9" t="inlineStr">
        <is>
          <t>Page 16, Right-of-use assets</t>
        </is>
      </c>
    </row>
    <row r="12" ht="18" customHeight="1">
      <c r="A12" s="10" t="inlineStr">
        <is>
          <t>Service concession assets</t>
        </is>
      </c>
      <c r="B12" s="11" t="n"/>
      <c r="C12" s="11" t="n"/>
      <c r="D12" s="9" t="n"/>
    </row>
    <row r="13" ht="18" customHeight="1">
      <c r="A13" s="7" t="inlineStr">
        <is>
          <t>*Intangible assets</t>
        </is>
      </c>
      <c r="B13" s="8">
        <f>'SOFP-Sub-CuNonCu'!B69</f>
        <v/>
      </c>
      <c r="C13" s="8">
        <f>'SOFP-Sub-CuNonCu'!C69</f>
        <v/>
      </c>
      <c r="D13" s="9" t="n"/>
    </row>
    <row r="14" ht="18" customHeight="1">
      <c r="A14" s="7" t="inlineStr">
        <is>
          <t>*Investments in subsidiaries</t>
        </is>
      </c>
      <c r="B14" s="8">
        <f>'SOFP-Sub-CuNonCu'!B77</f>
        <v/>
      </c>
      <c r="C14" s="8">
        <f>'SOFP-Sub-CuNonCu'!C77</f>
        <v/>
      </c>
      <c r="D14" s="9" t="n"/>
    </row>
    <row r="15" ht="18" customHeight="1">
      <c r="A15" s="7" t="inlineStr">
        <is>
          <t>*Investments in associates</t>
        </is>
      </c>
      <c r="B15" s="8">
        <f>'SOFP-Sub-CuNonCu'!B86</f>
        <v/>
      </c>
      <c r="C15" s="8">
        <f>'SOFP-Sub-CuNonCu'!C86</f>
        <v/>
      </c>
      <c r="D15" s="9" t="n"/>
    </row>
    <row r="16" ht="18" customHeight="1">
      <c r="A16" s="7" t="inlineStr">
        <is>
          <t>*Investments in joint ventures</t>
        </is>
      </c>
      <c r="B16" s="8">
        <f>'SOFP-Sub-CuNonCu'!B95</f>
        <v/>
      </c>
      <c r="C16" s="8">
        <f>'SOFP-Sub-CuNonCu'!C95</f>
        <v/>
      </c>
      <c r="D16" s="9" t="n"/>
    </row>
    <row r="17" ht="18" customHeight="1">
      <c r="A17" s="7" t="inlineStr">
        <is>
          <t>*Other investments</t>
        </is>
      </c>
      <c r="B17" s="11" t="n">
        <v>924204</v>
      </c>
      <c r="C17" s="11" t="n">
        <v>1008204</v>
      </c>
      <c r="D17" s="9" t="inlineStr">
        <is>
          <t>Page 16, Other assets (non-current). Placed here to ensure inclusion in Total Assets sum due to template B22 formula issue.</t>
        </is>
      </c>
    </row>
    <row r="18" ht="18" customHeight="1">
      <c r="A18" s="7" t="inlineStr">
        <is>
          <t>*Trade and other non-current receivables</t>
        </is>
      </c>
      <c r="B18" s="8">
        <f>'SOFP-Sub-CuNonCu'!B120</f>
        <v/>
      </c>
      <c r="C18" s="8">
        <f>'SOFP-Sub-CuNonCu'!C120</f>
        <v/>
      </c>
      <c r="D18" s="9" t="n"/>
    </row>
    <row r="19" ht="18" customHeight="1">
      <c r="A19" s="10" t="inlineStr">
        <is>
          <t>Contract assets</t>
        </is>
      </c>
      <c r="B19" s="11" t="n"/>
      <c r="C19" s="11" t="n"/>
      <c r="D19" s="9" t="n"/>
    </row>
    <row r="20" ht="18" customHeight="1">
      <c r="A20" s="10" t="inlineStr">
        <is>
          <t>Deferred tax assets</t>
        </is>
      </c>
      <c r="B20" s="11" t="n">
        <v>6998</v>
      </c>
      <c r="C20" s="11" t="n">
        <v>0</v>
      </c>
      <c r="D20" s="9" t="inlineStr">
        <is>
          <t>Page 16, Deferred tax assets</t>
        </is>
      </c>
    </row>
    <row r="21" ht="18" customHeight="1">
      <c r="A21" s="7" t="inlineStr">
        <is>
          <t>*Derivative financial assets</t>
        </is>
      </c>
      <c r="B21" s="8">
        <f>'SOFP-Sub-CuNonCu'!B129</f>
        <v/>
      </c>
      <c r="C21" s="8">
        <f>'SOFP-Sub-CuNonCu'!C129</f>
        <v/>
      </c>
      <c r="D21" s="9" t="n"/>
    </row>
    <row r="22" ht="18" customHeight="1">
      <c r="A22" s="7" t="inlineStr">
        <is>
          <t>*Other non-current assets</t>
        </is>
      </c>
      <c r="B22" s="8">
        <f>'SOFP-Sub-CuNonCu'!B198</f>
        <v/>
      </c>
      <c r="C22" s="8">
        <f>'SOFP-Sub-CuNonCu'!C198</f>
        <v/>
      </c>
      <c r="D22" s="9" t="n"/>
    </row>
    <row r="23" ht="18" customHeight="1">
      <c r="A23" s="12" t="inlineStr">
        <is>
          <t>*Total non-current assets</t>
        </is>
      </c>
      <c r="B23" s="13">
        <f>1*B8+1*B9+1*B10+1*B11+1*B12+1*B13+1*B14+1*B15+1*B16+1*B17+1*B18+1*B19+1*B20+1*B21+1*B22</f>
        <v/>
      </c>
      <c r="C23" s="13">
        <f>1*C8+1*C9+1*C10+1*C11+1*C12+1*C13+1*C14+1*C15+1*C16+1*C17+1*C18+1*C19+1*C20+1*C21+1*C22</f>
        <v/>
      </c>
      <c r="D23" s="14" t="n"/>
    </row>
    <row r="24" ht="18" customHeight="1">
      <c r="A24" s="4" t="inlineStr">
        <is>
          <t>Current assets</t>
        </is>
      </c>
      <c r="B24" s="5" t="n"/>
      <c r="C24" s="5" t="n"/>
      <c r="D24" s="6" t="n"/>
    </row>
    <row r="25" ht="18" customHeight="1">
      <c r="A25" s="7" t="inlineStr">
        <is>
          <t>*Inventories</t>
        </is>
      </c>
      <c r="B25" s="8">
        <f>'SOFP-Sub-CuNonCu'!B136</f>
        <v/>
      </c>
      <c r="C25" s="8">
        <f>'SOFP-Sub-CuNonCu'!C136</f>
        <v/>
      </c>
      <c r="D25" s="9" t="n"/>
    </row>
    <row r="26" ht="18" customHeight="1">
      <c r="A26" s="10" t="inlineStr">
        <is>
          <t>Biological assets</t>
        </is>
      </c>
      <c r="B26" s="11" t="n"/>
      <c r="C26" s="11" t="n"/>
      <c r="D26" s="9" t="n"/>
    </row>
    <row r="27" ht="18" customHeight="1">
      <c r="A27" s="10" t="inlineStr">
        <is>
          <t>Other investments</t>
        </is>
      </c>
      <c r="B27" s="11" t="n">
        <v>5438139</v>
      </c>
      <c r="C27" s="11" t="n">
        <v>5329513</v>
      </c>
      <c r="D27" s="9" t="inlineStr">
        <is>
          <t>Page 16, Short term investments</t>
        </is>
      </c>
    </row>
    <row r="28" ht="18" customHeight="1">
      <c r="A28" s="10" t="inlineStr">
        <is>
          <t>Current tax assets</t>
        </is>
      </c>
      <c r="B28" s="11" t="n">
        <v>497096</v>
      </c>
      <c r="C28" s="11" t="n">
        <v>2014561</v>
      </c>
      <c r="D28" s="9" t="inlineStr">
        <is>
          <t>Page 16, Current tax assets</t>
        </is>
      </c>
    </row>
    <row r="29" ht="18" customHeight="1">
      <c r="A29" s="7" t="inlineStr">
        <is>
          <t>*Trade and other current receivables</t>
        </is>
      </c>
      <c r="B29" s="8">
        <f>'SOFP-Sub-CuNonCu'!B169</f>
        <v/>
      </c>
      <c r="C29" s="8">
        <f>'SOFP-Sub-CuNonCu'!C169</f>
        <v/>
      </c>
      <c r="D29" s="9" t="n"/>
    </row>
    <row r="30" ht="18" customHeight="1">
      <c r="A30" s="10" t="inlineStr">
        <is>
          <t>Contract assets</t>
        </is>
      </c>
      <c r="B30" s="11" t="n"/>
      <c r="C30" s="11" t="n"/>
      <c r="D30" s="9" t="n"/>
    </row>
    <row r="31" ht="18" customHeight="1">
      <c r="A31" s="7" t="inlineStr">
        <is>
          <t>*Derivative financial assets</t>
        </is>
      </c>
      <c r="B31" s="8">
        <f>'SOFP-Sub-CuNonCu'!B178</f>
        <v/>
      </c>
      <c r="C31" s="8">
        <f>'SOFP-Sub-CuNonCu'!C178</f>
        <v/>
      </c>
      <c r="D31" s="9" t="n"/>
    </row>
    <row r="32" ht="18" customHeight="1">
      <c r="A32" s="7" t="inlineStr">
        <is>
          <t>*Cash and cash equivalents</t>
        </is>
      </c>
      <c r="B32" s="8">
        <f>'SOFP-Sub-CuNonCu'!B193</f>
        <v/>
      </c>
      <c r="C32" s="8">
        <f>'SOFP-Sub-CuNonCu'!C193</f>
        <v/>
      </c>
      <c r="D32" s="9" t="n"/>
    </row>
    <row r="33" ht="18" customHeight="1">
      <c r="A33" s="7" t="inlineStr">
        <is>
          <t>*Other current assets</t>
        </is>
      </c>
      <c r="B33" s="11" t="n"/>
      <c r="C33" s="11" t="n"/>
      <c r="D33" s="9" t="n"/>
    </row>
    <row r="34" ht="18" customHeight="1">
      <c r="A34" s="12" t="inlineStr">
        <is>
          <t>Total current assets other than assets held for sale</t>
        </is>
      </c>
      <c r="B34" s="13">
        <f>1*B25+1*B26+1*B27+1*B28+1*B29+1*B30+1*B31+1*B32+1*B33</f>
        <v/>
      </c>
      <c r="C34" s="13">
        <f>1*C25+1*C26+1*C27+1*C28+1*C29+1*C30+1*C31+1*C32+1*C33</f>
        <v/>
      </c>
      <c r="D34" s="14" t="n"/>
    </row>
    <row r="35" ht="18" customHeight="1">
      <c r="A35" s="10" t="inlineStr">
        <is>
          <t>Non-current assets or disposal groups classified as held for sale or as held for distribution to owners</t>
        </is>
      </c>
      <c r="B35" s="11" t="n"/>
      <c r="C35" s="11" t="n"/>
      <c r="D35" s="9" t="n"/>
    </row>
    <row r="36" ht="18" customHeight="1">
      <c r="A36" s="12" t="inlineStr">
        <is>
          <t>*Total current assets</t>
        </is>
      </c>
      <c r="B36" s="13">
        <f>1*B25+1*B26+1*B27+1*B28+1*B29+1*B30+1*B31+1*B32+1*B33+1*B35</f>
        <v/>
      </c>
      <c r="C36" s="13">
        <f>1*C25+1*C26+1*C27+1*C28+1*C29+1*C30+1*C31+1*C32+1*C33+1*C35</f>
        <v/>
      </c>
      <c r="D36" s="14" t="n"/>
    </row>
    <row r="37" ht="18" customHeight="1">
      <c r="A37" s="12" t="inlineStr">
        <is>
          <t>*Total assets</t>
        </is>
      </c>
      <c r="B37" s="13">
        <f>1*B8+1*B9+1*B11+1*B12+1*B13+1*B14+1*B15+1*B16+1*B17+1*B18+1*B19+1*B20+1*B21+1*B22+1*B25+1*B27+1*B28+1*B29+1*B30+1*B31+1*B32+1*B33+1*B35+1*B26+1*B10</f>
        <v/>
      </c>
      <c r="C37" s="13">
        <f>1*C8+1*C9+1*C11+1*C12+1*C13+1*C14+1*C15+1*C16+1*C17+1*C18+1*C19+1*C20+1*C21+1*C22+1*C25+1*C27+1*C28+1*C29+1*C30+1*C31+1*C32+1*C33+1*C35+1*C26+1*C10</f>
        <v/>
      </c>
      <c r="D37" s="14" t="n"/>
    </row>
    <row r="38" ht="18" customHeight="1">
      <c r="A38" s="4" t="inlineStr">
        <is>
          <t>Equity and liabilities</t>
        </is>
      </c>
      <c r="B38" s="5" t="n"/>
      <c r="C38" s="5" t="n"/>
      <c r="D38" s="6" t="n"/>
    </row>
    <row r="39" ht="18" customHeight="1">
      <c r="A39" s="4" t="inlineStr">
        <is>
          <t>Equity</t>
        </is>
      </c>
      <c r="B39" s="5" t="n"/>
      <c r="C39" s="5" t="n"/>
      <c r="D39" s="6" t="n"/>
    </row>
    <row r="40" ht="18" customHeight="1">
      <c r="A40" s="7" t="inlineStr">
        <is>
          <t>*Issued capital</t>
        </is>
      </c>
      <c r="B40" s="8">
        <f>'SOFP-Sub-CuNonCu'!B203</f>
        <v/>
      </c>
      <c r="C40" s="8">
        <f>'SOFP-Sub-CuNonCu'!C203</f>
        <v/>
      </c>
      <c r="D40" s="9" t="n"/>
    </row>
    <row r="41" ht="18" customHeight="1">
      <c r="A41" s="7" t="inlineStr">
        <is>
          <t>*Retained earnings</t>
        </is>
      </c>
      <c r="B41" s="11" t="n">
        <v>367463131</v>
      </c>
      <c r="C41" s="11" t="n">
        <v>334189137</v>
      </c>
      <c r="D41" s="9" t="inlineStr">
        <is>
          <t>Page 16, Retained earnings</t>
        </is>
      </c>
    </row>
    <row r="42" ht="18" customHeight="1">
      <c r="A42" s="10" t="inlineStr">
        <is>
          <t>Treasury shares</t>
        </is>
      </c>
      <c r="B42" s="11" t="n"/>
      <c r="C42" s="11" t="n"/>
      <c r="D42" s="9" t="n"/>
    </row>
    <row r="43" ht="18" customHeight="1">
      <c r="A43" s="7" t="inlineStr">
        <is>
          <t>*Reserves</t>
        </is>
      </c>
      <c r="B43" s="8">
        <f>'SOFP-Sub-CuNonCu'!B222</f>
        <v/>
      </c>
      <c r="C43" s="8">
        <f>'SOFP-Sub-CuNonCu'!C222</f>
        <v/>
      </c>
      <c r="D43" s="9" t="n"/>
    </row>
    <row r="44" ht="18" customHeight="1">
      <c r="A44" s="12" t="inlineStr">
        <is>
          <t>*Total equity attributable to owners</t>
        </is>
      </c>
      <c r="B44" s="13">
        <f>1*B40+1*B41+-1*B42+1*B43</f>
        <v/>
      </c>
      <c r="C44" s="13">
        <f>1*C40+1*C41+-1*C42+1*C43</f>
        <v/>
      </c>
      <c r="D44" s="14" t="n"/>
    </row>
    <row r="45" ht="18" customHeight="1">
      <c r="A45" s="7" t="inlineStr">
        <is>
          <t>*Equity - other components</t>
        </is>
      </c>
      <c r="B45" s="8">
        <f>'SOFP-Sub-CuNonCu'!B229</f>
        <v/>
      </c>
      <c r="C45" s="8">
        <f>'SOFP-Sub-CuNonCu'!C229</f>
        <v/>
      </c>
      <c r="D45" s="9" t="n"/>
    </row>
    <row r="46" ht="18" customHeight="1">
      <c r="A46" s="7" t="inlineStr">
        <is>
          <t>*Non-controlling interests</t>
        </is>
      </c>
      <c r="B46" s="11" t="n">
        <v>66971960</v>
      </c>
      <c r="C46" s="11" t="n">
        <v>64576642</v>
      </c>
      <c r="D46" s="9" t="inlineStr">
        <is>
          <t>Page 16, Non-controlling interests</t>
        </is>
      </c>
    </row>
    <row r="47" ht="18" customHeight="1">
      <c r="A47" s="12" t="inlineStr">
        <is>
          <t>*Total equity</t>
        </is>
      </c>
      <c r="B47" s="13">
        <f>1*B40+1*B41+-1*B42+1*B43+1*B45+1*B46</f>
        <v/>
      </c>
      <c r="C47" s="13">
        <f>1*C40+1*C41+-1*C42+1*C43+1*C45+1*C46</f>
        <v/>
      </c>
      <c r="D47" s="14" t="n"/>
    </row>
    <row r="48" ht="18" customHeight="1">
      <c r="A48" s="4" t="inlineStr">
        <is>
          <t>Liabilities</t>
        </is>
      </c>
      <c r="B48" s="5" t="n"/>
      <c r="C48" s="5" t="n"/>
      <c r="D48" s="6" t="n"/>
    </row>
    <row r="49" ht="18" customHeight="1">
      <c r="A49" s="4" t="inlineStr">
        <is>
          <t>Non-current liabilities</t>
        </is>
      </c>
      <c r="B49" s="5" t="n"/>
      <c r="C49" s="5" t="n"/>
      <c r="D49" s="6" t="n"/>
    </row>
    <row r="50" ht="18" customHeight="1">
      <c r="A50" s="10" t="inlineStr">
        <is>
          <t>Service concession liabilities</t>
        </is>
      </c>
      <c r="B50" s="11" t="n"/>
      <c r="C50" s="11" t="n"/>
      <c r="D50" s="9" t="n"/>
    </row>
    <row r="51" ht="18" customHeight="1">
      <c r="A51" s="7" t="inlineStr">
        <is>
          <t>*Borrowings</t>
        </is>
      </c>
      <c r="B51" s="8">
        <f>'SOFP-Sub-CuNonCu'!B271</f>
        <v/>
      </c>
      <c r="C51" s="8">
        <f>'SOFP-Sub-CuNonCu'!C271</f>
        <v/>
      </c>
      <c r="D51" s="9" t="n"/>
    </row>
    <row r="52" ht="18" customHeight="1">
      <c r="A52" s="10" t="inlineStr">
        <is>
          <t>Lease liabilities</t>
        </is>
      </c>
      <c r="B52" s="11" t="n">
        <v>10704697</v>
      </c>
      <c r="C52" s="11" t="n">
        <v>4273776</v>
      </c>
      <c r="D52" s="9" t="inlineStr">
        <is>
          <t>Page 17, Lease liabilities</t>
        </is>
      </c>
    </row>
    <row r="53" ht="18" customHeight="1">
      <c r="A53" s="7" t="inlineStr">
        <is>
          <t>*Employee benefit liabilities</t>
        </is>
      </c>
      <c r="B53" s="8">
        <f>'SOFP-Sub-CuNonCu'!B280</f>
        <v/>
      </c>
      <c r="C53" s="8">
        <f>'SOFP-Sub-CuNonCu'!C280</f>
        <v/>
      </c>
      <c r="D53" s="9" t="n"/>
    </row>
    <row r="54" ht="18" customHeight="1">
      <c r="A54" s="7" t="inlineStr">
        <is>
          <t>*Provisions</t>
        </is>
      </c>
      <c r="B54" s="8">
        <f>'SOFP-Sub-CuNonCu'!B289</f>
        <v/>
      </c>
      <c r="C54" s="8">
        <f>'SOFP-Sub-CuNonCu'!C289</f>
        <v/>
      </c>
      <c r="D54" s="9" t="n"/>
    </row>
    <row r="55" ht="18" customHeight="1">
      <c r="A55" s="7" t="inlineStr">
        <is>
          <t>*Trade and other non-current payables</t>
        </is>
      </c>
      <c r="B55" s="8">
        <f>'SOFP-Sub-CuNonCu'!B321</f>
        <v/>
      </c>
      <c r="C55" s="8">
        <f>'SOFP-Sub-CuNonCu'!C321</f>
        <v/>
      </c>
      <c r="D55" s="9" t="n"/>
    </row>
    <row r="56" ht="18" customHeight="1">
      <c r="A56" s="10" t="inlineStr">
        <is>
          <t>Contract liabilities</t>
        </is>
      </c>
      <c r="B56" s="11" t="n"/>
      <c r="C56" s="11" t="n"/>
      <c r="D56" s="9" t="n"/>
    </row>
    <row r="57" ht="18" customHeight="1">
      <c r="A57" s="10" t="inlineStr">
        <is>
          <t>Deferred tax liabilities</t>
        </is>
      </c>
      <c r="B57" s="11" t="n">
        <v>22882200</v>
      </c>
      <c r="C57" s="11" t="n">
        <v>23954306</v>
      </c>
      <c r="D57" s="9" t="inlineStr">
        <is>
          <t>Page 17, Deferred tax liabilities</t>
        </is>
      </c>
    </row>
    <row r="58" ht="18" customHeight="1">
      <c r="A58" s="7" t="inlineStr">
        <is>
          <t>*Derivative financial liabilities</t>
        </is>
      </c>
      <c r="B58" s="8">
        <f>'SOFP-Sub-CuNonCu'!B336</f>
        <v/>
      </c>
      <c r="C58" s="8">
        <f>'SOFP-Sub-CuNonCu'!C336</f>
        <v/>
      </c>
      <c r="D58" s="9" t="n"/>
    </row>
    <row r="59" ht="18" customHeight="1">
      <c r="A59" s="10" t="inlineStr">
        <is>
          <t>Other non-current liabilities</t>
        </is>
      </c>
      <c r="B59" s="11" t="n"/>
      <c r="C59" s="11" t="n"/>
      <c r="D59" s="9" t="n"/>
    </row>
    <row r="60" ht="18" customHeight="1">
      <c r="A60" s="12" t="inlineStr">
        <is>
          <t>*Total non-current liabilities</t>
        </is>
      </c>
      <c r="B60" s="13">
        <f>1*B50+1*B51+1*B52+1*B53+1*B54+1*B55+1*B56+1*B57+1*B58+1*B59</f>
        <v/>
      </c>
      <c r="C60" s="13">
        <f>1*C50+1*C51+1*C52+1*C53+1*C54+1*C55+1*C56+1*C57+1*C58+1*C59</f>
        <v/>
      </c>
      <c r="D60" s="14" t="n"/>
    </row>
    <row r="61" ht="18" customHeight="1">
      <c r="A61" s="4" t="inlineStr">
        <is>
          <t>Current liabilities</t>
        </is>
      </c>
      <c r="B61" s="5" t="n"/>
      <c r="C61" s="5" t="n"/>
      <c r="D61" s="6" t="n"/>
    </row>
    <row r="62" ht="18" customHeight="1">
      <c r="A62" s="7" t="inlineStr">
        <is>
          <t>*Borrowings</t>
        </is>
      </c>
      <c r="B62" s="8">
        <f>'SOFP-Sub-CuNonCu'!B383</f>
        <v/>
      </c>
      <c r="C62" s="8">
        <f>'SOFP-Sub-CuNonCu'!C383</f>
        <v/>
      </c>
      <c r="D62" s="9" t="n"/>
    </row>
    <row r="63" ht="18" customHeight="1">
      <c r="A63" s="10" t="inlineStr">
        <is>
          <t>Lease liabilities</t>
        </is>
      </c>
      <c r="B63" s="11" t="n">
        <v>9017240</v>
      </c>
      <c r="C63" s="11" t="n">
        <v>9046505</v>
      </c>
      <c r="D63" s="9" t="inlineStr">
        <is>
          <t>Page 17, Lease liabilities</t>
        </is>
      </c>
    </row>
    <row r="64" ht="18" customHeight="1">
      <c r="A64" s="7" t="inlineStr">
        <is>
          <t>*Employee benefit liabilities</t>
        </is>
      </c>
      <c r="B64" s="8">
        <f>'SOFP-Sub-CuNonCu'!B392</f>
        <v/>
      </c>
      <c r="C64" s="8">
        <f>'SOFP-Sub-CuNonCu'!C392</f>
        <v/>
      </c>
      <c r="D64" s="9" t="n"/>
    </row>
    <row r="65" ht="18" customHeight="1">
      <c r="A65" s="7" t="inlineStr">
        <is>
          <t>*Provisions</t>
        </is>
      </c>
      <c r="B65" s="8">
        <f>'SOFP-Sub-CuNonCu'!B401</f>
        <v/>
      </c>
      <c r="C65" s="8">
        <f>'SOFP-Sub-CuNonCu'!C401</f>
        <v/>
      </c>
      <c r="D65" s="9" t="n"/>
    </row>
    <row r="66" ht="18" customHeight="1">
      <c r="A66" s="10" t="inlineStr">
        <is>
          <t>Current tax liabilities</t>
        </is>
      </c>
      <c r="B66" s="11" t="n">
        <v>3270546</v>
      </c>
      <c r="C66" s="11" t="n">
        <v>325394</v>
      </c>
      <c r="D66" s="9" t="inlineStr">
        <is>
          <t>Page 17, Current tax liabilities</t>
        </is>
      </c>
    </row>
    <row r="67" ht="18" customHeight="1">
      <c r="A67" s="7" t="inlineStr">
        <is>
          <t>*Trade and other current payables</t>
        </is>
      </c>
      <c r="B67" s="8">
        <f>'SOFP-Sub-CuNonCu'!B437</f>
        <v/>
      </c>
      <c r="C67" s="8">
        <f>'SOFP-Sub-CuNonCu'!C437</f>
        <v/>
      </c>
      <c r="D67" s="9" t="n"/>
    </row>
    <row r="68" ht="18" customHeight="1">
      <c r="A68" s="10" t="inlineStr">
        <is>
          <t>Contract liabilities</t>
        </is>
      </c>
      <c r="B68" s="11" t="n"/>
      <c r="C68" s="11" t="n"/>
      <c r="D68" s="9" t="n"/>
    </row>
    <row r="69" ht="18" customHeight="1">
      <c r="A69" s="7" t="inlineStr">
        <is>
          <t>*Derivative financial liabilities</t>
        </is>
      </c>
      <c r="B69" s="8">
        <f>'SOFP-Sub-CuNonCu'!B452</f>
        <v/>
      </c>
      <c r="C69" s="8">
        <f>'SOFP-Sub-CuNonCu'!C452</f>
        <v/>
      </c>
      <c r="D69" s="9" t="n"/>
    </row>
    <row r="70" ht="18" customHeight="1">
      <c r="A70" s="10" t="inlineStr">
        <is>
          <t>Other current liabilities</t>
        </is>
      </c>
      <c r="B70" s="11" t="n"/>
      <c r="C70" s="11" t="n"/>
      <c r="D70" s="9" t="n"/>
    </row>
    <row r="71" ht="18" customHeight="1">
      <c r="A71" s="12" t="inlineStr">
        <is>
          <t>Total current liabilities other than liabilities held for sale</t>
        </is>
      </c>
      <c r="B71" s="13">
        <f>1*B62+1*B63+1*B64+1*B65+1*B66+1*B67+1*B68+1*B69+1*B70</f>
        <v/>
      </c>
      <c r="C71" s="13">
        <f>1*C62+1*C63+1*C64+1*C65+1*C66+1*C67+1*C68+1*C69+1*C70</f>
        <v/>
      </c>
      <c r="D71" s="14" t="n"/>
    </row>
    <row r="72" ht="18" customHeight="1">
      <c r="A72" s="7" t="inlineStr">
        <is>
          <t>*Liabilities included in disposal groups classified as held for sale</t>
        </is>
      </c>
      <c r="B72" s="11" t="n"/>
      <c r="C72" s="11" t="n"/>
      <c r="D72" s="9" t="n"/>
    </row>
    <row r="73" ht="18" customHeight="1">
      <c r="A73" s="12" t="inlineStr">
        <is>
          <t>*Total current liabilities</t>
        </is>
      </c>
      <c r="B73" s="13">
        <f>1*B62+1*B63+1*B64+1*B65+1*B66+1*B67+1*B68+1*B69+1*B70+1*B72</f>
        <v/>
      </c>
      <c r="C73" s="13">
        <f>1*C62+1*C63+1*C64+1*C65+1*C66+1*C67+1*C68+1*C69+1*C70+1*C72</f>
        <v/>
      </c>
      <c r="D73" s="14" t="n"/>
    </row>
    <row r="74" ht="18" customHeight="1">
      <c r="A74" s="12" t="inlineStr">
        <is>
          <t>*Total liabilities</t>
        </is>
      </c>
      <c r="B74" s="13">
        <f>1*B60+1*B73</f>
        <v/>
      </c>
      <c r="C74" s="13">
        <f>1*C60+1*C73</f>
        <v/>
      </c>
      <c r="D74" s="14" t="n"/>
    </row>
    <row r="75" ht="18" customHeight="1">
      <c r="A75" s="12" t="inlineStr">
        <is>
          <t>*Total equity and liabilities</t>
        </is>
      </c>
      <c r="B75" s="13">
        <f>1*B47+1*B74</f>
        <v/>
      </c>
      <c r="C75" s="13">
        <f>1*C47+1*C74</f>
        <v/>
      </c>
      <c r="D75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" t="inlineStr">
        <is>
          <t>01/01/YYYY - 31/12/YYYY</t>
        </is>
      </c>
      <c r="C1" s="1" t="inlineStr">
        <is>
          <t>01/01/YYYY - 31/12/YYYY</t>
        </is>
      </c>
      <c r="D1" s="2" t="inlineStr">
        <is>
          <t>Source</t>
        </is>
      </c>
    </row>
    <row r="2"/>
    <row r="3" ht="24" customHeight="1">
      <c r="A3" s="3" t="inlineStr">
        <is>
          <t>Sub-classification of assets, liabilities and equity</t>
        </is>
      </c>
      <c r="D3" s="3" t="n"/>
    </row>
    <row r="4" ht="18" customHeight="1">
      <c r="A4" s="4" t="inlineStr">
        <is>
          <t>Statement on sub-classification of assets, liabilities and equity</t>
        </is>
      </c>
      <c r="B4" s="5" t="n"/>
      <c r="C4" s="5" t="n"/>
      <c r="D4" s="6" t="n"/>
    </row>
    <row r="5" ht="18" customHeight="1">
      <c r="A5" s="4" t="inlineStr">
        <is>
          <t>Statement on sub-classification of assets, liabilities and equity</t>
        </is>
      </c>
      <c r="B5" s="5" t="n"/>
      <c r="C5" s="5" t="n"/>
      <c r="D5" s="6" t="n"/>
    </row>
    <row r="6" ht="18" customHeight="1">
      <c r="A6" s="4" t="inlineStr">
        <is>
          <t>Sub-classification of assets, liabilities and equity</t>
        </is>
      </c>
      <c r="B6" s="5" t="n"/>
      <c r="C6" s="5" t="n"/>
      <c r="D6" s="6" t="n"/>
    </row>
    <row r="7" ht="18" customHeight="1">
      <c r="A7" s="4" t="inlineStr">
        <is>
          <t>Property, plant and equipment</t>
        </is>
      </c>
      <c r="B7" s="5" t="n"/>
      <c r="C7" s="5" t="n"/>
      <c r="D7" s="6" t="n"/>
    </row>
    <row r="8" ht="18" customHeight="1">
      <c r="A8" s="4" t="inlineStr">
        <is>
          <t>Land and buildings</t>
        </is>
      </c>
      <c r="B8" s="5" t="n"/>
      <c r="C8" s="5" t="n"/>
      <c r="D8" s="6" t="n"/>
    </row>
    <row r="9" ht="18" customHeight="1">
      <c r="A9" s="4" t="inlineStr">
        <is>
          <t>Land</t>
        </is>
      </c>
      <c r="B9" s="5" t="n"/>
      <c r="C9" s="5" t="n"/>
      <c r="D9" s="6" t="n"/>
    </row>
    <row r="10" ht="18" customHeight="1">
      <c r="A10" s="10" t="inlineStr">
        <is>
          <t>Freehold land</t>
        </is>
      </c>
      <c r="B10" s="11" t="n"/>
      <c r="C10" s="11" t="n"/>
      <c r="D10" s="9" t="n"/>
    </row>
    <row r="11" ht="18" customHeight="1">
      <c r="A11" s="10" t="inlineStr">
        <is>
          <t>Long term leasehold land</t>
        </is>
      </c>
      <c r="B11" s="11" t="n">
        <v>123176785</v>
      </c>
      <c r="C11" s="11" t="n">
        <v>124922976</v>
      </c>
      <c r="D11" s="9" t="inlineStr">
        <is>
          <t>Page 55, Leasehold land</t>
        </is>
      </c>
    </row>
    <row r="12" ht="18" customHeight="1">
      <c r="A12" s="10" t="inlineStr">
        <is>
          <t>Short term leasehold land</t>
        </is>
      </c>
      <c r="B12" s="11" t="n"/>
      <c r="C12" s="11" t="n"/>
      <c r="D12" s="9" t="n"/>
    </row>
    <row r="13" ht="18" customHeight="1">
      <c r="A13" s="12" t="inlineStr">
        <is>
          <t>*Land</t>
        </is>
      </c>
      <c r="B13" s="13">
        <f>1*B10+1*B11+1*B12</f>
        <v/>
      </c>
      <c r="C13" s="13">
        <f>1*C10+1*C11+1*C12</f>
        <v/>
      </c>
      <c r="D13" s="14" t="n"/>
    </row>
    <row r="14" ht="18" customHeight="1">
      <c r="A14" s="4" t="inlineStr">
        <is>
          <t>Buildings</t>
        </is>
      </c>
      <c r="B14" s="5" t="n"/>
      <c r="C14" s="5" t="n"/>
      <c r="D14" s="6" t="n"/>
    </row>
    <row r="15" ht="18" customHeight="1">
      <c r="A15" s="10" t="inlineStr">
        <is>
          <t>Building on freehold land</t>
        </is>
      </c>
      <c r="B15" s="15" t="n"/>
      <c r="C15" s="15" t="n"/>
      <c r="D15" s="9" t="inlineStr">
        <is>
          <t>Page 55, Freehold land and buildings</t>
        </is>
      </c>
    </row>
    <row r="16" ht="18" customHeight="1">
      <c r="A16" s="10" t="inlineStr">
        <is>
          <t>Building on long term leasehold land</t>
        </is>
      </c>
      <c r="B16" s="11" t="n">
        <v>161844458</v>
      </c>
      <c r="C16" s="11" t="n">
        <v>166552509</v>
      </c>
      <c r="D16" s="9" t="inlineStr">
        <is>
          <t>Page 55, Leasehold buildings</t>
        </is>
      </c>
    </row>
    <row r="17" ht="18" customHeight="1">
      <c r="A17" s="10" t="inlineStr">
        <is>
          <t>Building on short term leasehold land</t>
        </is>
      </c>
      <c r="B17" s="11" t="n"/>
      <c r="C17" s="11" t="n"/>
      <c r="D17" s="9" t="n"/>
    </row>
    <row r="18" ht="18" customHeight="1">
      <c r="A18" s="10" t="inlineStr">
        <is>
          <t>Leased properties</t>
        </is>
      </c>
      <c r="B18" s="11" t="n"/>
      <c r="C18" s="11" t="n"/>
      <c r="D18" s="9" t="n"/>
    </row>
    <row r="19" ht="18" customHeight="1">
      <c r="A19" s="12" t="inlineStr">
        <is>
          <t>Total buildings</t>
        </is>
      </c>
      <c r="B19" s="13">
        <f>1*B15+1*B16+1*B17+1*B18</f>
        <v/>
      </c>
      <c r="C19" s="13">
        <f>1*C15+1*C16+1*C17+1*C18</f>
        <v/>
      </c>
      <c r="D19" s="14" t="n"/>
    </row>
    <row r="20" ht="18" customHeight="1">
      <c r="A20" s="12" t="inlineStr">
        <is>
          <t>*Total land and buildings</t>
        </is>
      </c>
      <c r="B20" s="13">
        <f>1*B13+1*B19</f>
        <v/>
      </c>
      <c r="C20" s="13">
        <f>1*C13+1*C19</f>
        <v/>
      </c>
      <c r="D20" s="14" t="n"/>
    </row>
    <row r="21" ht="18" customHeight="1">
      <c r="A21" s="4" t="inlineStr">
        <is>
          <t>Vehicles</t>
        </is>
      </c>
      <c r="B21" s="5" t="n"/>
      <c r="C21" s="5" t="n"/>
      <c r="D21" s="6" t="n"/>
    </row>
    <row r="22" ht="18" customHeight="1">
      <c r="A22" s="10" t="inlineStr">
        <is>
          <t>Vessels</t>
        </is>
      </c>
      <c r="B22" s="11" t="n"/>
      <c r="C22" s="11" t="n"/>
      <c r="D22" s="9" t="n"/>
    </row>
    <row r="23" ht="18" customHeight="1">
      <c r="A23" s="10" t="inlineStr">
        <is>
          <t>Aircraft</t>
        </is>
      </c>
      <c r="B23" s="11" t="n"/>
      <c r="C23" s="11" t="n"/>
      <c r="D23" s="9" t="n"/>
    </row>
    <row r="24" ht="18" customHeight="1">
      <c r="A24" s="10" t="inlineStr">
        <is>
          <t>Motor vehicles</t>
        </is>
      </c>
      <c r="B24" s="11" t="n">
        <v>23259576</v>
      </c>
      <c r="C24" s="11" t="n">
        <v>20860498</v>
      </c>
      <c r="D24" s="9" t="inlineStr">
        <is>
          <t>Page 55, Motor vehicles</t>
        </is>
      </c>
    </row>
    <row r="25" ht="18" customHeight="1">
      <c r="A25" s="10" t="inlineStr">
        <is>
          <t>Other vehicles</t>
        </is>
      </c>
      <c r="B25" s="11" t="n"/>
      <c r="C25" s="11" t="n"/>
      <c r="D25" s="9" t="n"/>
    </row>
    <row r="26" ht="18" customHeight="1">
      <c r="A26" s="12" t="inlineStr">
        <is>
          <t>*Total vehicles</t>
        </is>
      </c>
      <c r="B26" s="13">
        <f>1*B22+1*B23+1*B24+1*B25</f>
        <v/>
      </c>
      <c r="C26" s="13">
        <f>1*C22+1*C23+1*C24+1*C25</f>
        <v/>
      </c>
      <c r="D26" s="14" t="n"/>
    </row>
    <row r="27" ht="18" customHeight="1">
      <c r="A27" s="10" t="inlineStr">
        <is>
          <t>Machinery</t>
        </is>
      </c>
      <c r="B27" s="11" t="n"/>
      <c r="C27" s="11" t="n"/>
      <c r="D27" s="9" t="n"/>
    </row>
    <row r="28" ht="18" customHeight="1">
      <c r="A28" s="10" t="inlineStr">
        <is>
          <t>Plant and equipment</t>
        </is>
      </c>
      <c r="B28" s="11" t="n">
        <v>26066561</v>
      </c>
      <c r="C28" s="11" t="n">
        <v>30273924</v>
      </c>
      <c r="D28" s="9" t="inlineStr">
        <is>
          <t>Page 55, Plant and machinery</t>
        </is>
      </c>
    </row>
    <row r="29" ht="18" customHeight="1">
      <c r="A29" s="10" t="inlineStr">
        <is>
          <t>Office equipment, fixture and fittings</t>
        </is>
      </c>
      <c r="B29" s="11" t="n">
        <v>13010753</v>
      </c>
      <c r="C29" s="11" t="n">
        <v>12374699</v>
      </c>
      <c r="D29" s="9" t="inlineStr">
        <is>
          <t>Page 55, Office equipment, furniture and fittings</t>
        </is>
      </c>
    </row>
    <row r="30" ht="18" customHeight="1">
      <c r="A30" s="10" t="inlineStr">
        <is>
          <t>Computer software and hardware</t>
        </is>
      </c>
      <c r="B30" s="11" t="n"/>
      <c r="C30" s="11" t="n"/>
      <c r="D30" s="9" t="n"/>
    </row>
    <row r="31" ht="18" customHeight="1">
      <c r="A31" s="10" t="inlineStr">
        <is>
          <t>Bearer plants</t>
        </is>
      </c>
      <c r="B31" s="11" t="n"/>
      <c r="C31" s="11" t="n"/>
      <c r="D31" s="9" t="n"/>
    </row>
    <row r="32" ht="18" customHeight="1">
      <c r="A32" s="10" t="inlineStr">
        <is>
          <t>Infrastructure and site facilities</t>
        </is>
      </c>
      <c r="B32" s="11" t="n"/>
      <c r="C32" s="11" t="n"/>
      <c r="D32" s="9" t="n"/>
    </row>
    <row r="33" ht="18" customHeight="1">
      <c r="A33" s="10" t="inlineStr">
        <is>
          <t>Mining assets</t>
        </is>
      </c>
      <c r="B33" s="11" t="n"/>
      <c r="C33" s="11" t="n"/>
      <c r="D33" s="9" t="n"/>
    </row>
    <row r="34" ht="18" customHeight="1">
      <c r="A34" s="10" t="inlineStr">
        <is>
          <t>Oil and gas assets</t>
        </is>
      </c>
      <c r="B34" s="11" t="n"/>
      <c r="C34" s="11" t="n"/>
      <c r="D34" s="9" t="n"/>
    </row>
    <row r="35" ht="18" customHeight="1">
      <c r="A35" s="10" t="inlineStr">
        <is>
          <t>Tangible exploration and evaluation assets</t>
        </is>
      </c>
      <c r="B35" s="11" t="n"/>
      <c r="C35" s="11" t="n"/>
      <c r="D35" s="9" t="n"/>
    </row>
    <row r="36" ht="18" customHeight="1">
      <c r="A36" s="10" t="inlineStr">
        <is>
          <t>Telecommunication equipments</t>
        </is>
      </c>
      <c r="B36" s="11" t="n"/>
      <c r="C36" s="11" t="n"/>
      <c r="D36" s="9" t="n"/>
    </row>
    <row r="37" ht="18" customHeight="1">
      <c r="A37" s="10" t="inlineStr">
        <is>
          <t>Construction in progress/Asset work-in progress</t>
        </is>
      </c>
      <c r="B37" s="11" t="n"/>
      <c r="C37" s="11" t="n"/>
      <c r="D37" s="9" t="n"/>
    </row>
    <row r="38" ht="18" customHeight="1">
      <c r="A38" s="10" t="inlineStr">
        <is>
          <t>Other property, plant and equipment</t>
        </is>
      </c>
      <c r="B38" s="11" t="n">
        <v>44612073</v>
      </c>
      <c r="C38" s="11" t="n">
        <v>21634508</v>
      </c>
      <c r="D38" s="9" t="inlineStr">
        <is>
          <t>Page 55, Air conditioners, office renovation and pallets</t>
        </is>
      </c>
    </row>
    <row r="39" ht="18" customHeight="1">
      <c r="A39" s="12" t="inlineStr">
        <is>
          <t>*Total property, plant and equipment</t>
        </is>
      </c>
      <c r="B39" s="13">
        <f>1*B20+1*B26+1*B27+1*B28+1*B29+1*B30+1*B31+1*B32+1*B33+1*B34+1*B35+1*B36+1*B37+1*B38</f>
        <v/>
      </c>
      <c r="C39" s="13">
        <f>1*C20+1*C26+1*C27+1*C28+1*C29+1*C30+1*C31+1*C32+1*C33+1*C34+1*C35+1*C36+1*C37+1*C38</f>
        <v/>
      </c>
      <c r="D39" s="14" t="n"/>
    </row>
    <row r="40" ht="18" customHeight="1">
      <c r="A40" s="4" t="inlineStr">
        <is>
          <t>Investment property</t>
        </is>
      </c>
      <c r="B40" s="5" t="n"/>
      <c r="C40" s="5" t="n"/>
      <c r="D40" s="6" t="n"/>
    </row>
    <row r="41" ht="18" customHeight="1">
      <c r="A41" s="4" t="inlineStr">
        <is>
          <t>Investment properties completed, at carrying value</t>
        </is>
      </c>
      <c r="B41" s="5" t="n"/>
      <c r="C41" s="5" t="n"/>
      <c r="D41" s="6" t="n"/>
    </row>
    <row r="42" ht="18" customHeight="1">
      <c r="A42" s="10" t="inlineStr">
        <is>
          <t>Freehold land and building</t>
        </is>
      </c>
      <c r="B42" s="11" t="n"/>
      <c r="C42" s="11" t="n"/>
      <c r="D42" s="9" t="n"/>
    </row>
    <row r="43" ht="18" customHeight="1">
      <c r="A43" s="10" t="inlineStr">
        <is>
          <t>Leasehold land and building</t>
        </is>
      </c>
      <c r="B43" s="11" t="n"/>
      <c r="C43" s="11" t="n"/>
      <c r="D43" s="9" t="n"/>
    </row>
    <row r="44" ht="18" customHeight="1">
      <c r="A44" s="12" t="inlineStr">
        <is>
          <t>Total investment properties completed, at carrying value</t>
        </is>
      </c>
      <c r="B44" s="13">
        <f>1*B42+1*B43</f>
        <v/>
      </c>
      <c r="C44" s="13">
        <f>1*C42+1*C43</f>
        <v/>
      </c>
      <c r="D44" s="14" t="n"/>
    </row>
    <row r="45" ht="18" customHeight="1">
      <c r="A45" s="4" t="inlineStr">
        <is>
          <t>Investment properties under construction or development, at cost</t>
        </is>
      </c>
      <c r="B45" s="5" t="n"/>
      <c r="C45" s="5" t="n"/>
      <c r="D45" s="6" t="n"/>
    </row>
    <row r="46" ht="18" customHeight="1">
      <c r="A46" s="10" t="inlineStr">
        <is>
          <t>Building under construction</t>
        </is>
      </c>
      <c r="B46" s="11" t="n"/>
      <c r="C46" s="11" t="n"/>
      <c r="D46" s="9" t="n"/>
    </row>
    <row r="47" ht="18" customHeight="1">
      <c r="A47" s="12" t="inlineStr">
        <is>
          <t>Total investment properties under construction or development, at cost</t>
        </is>
      </c>
      <c r="B47" s="13">
        <f>1*B46</f>
        <v/>
      </c>
      <c r="C47" s="13">
        <f>1*C46</f>
        <v/>
      </c>
      <c r="D47" s="14" t="n"/>
    </row>
    <row r="48" ht="18" customHeight="1">
      <c r="A48" s="10" t="inlineStr">
        <is>
          <t>Other investment property</t>
        </is>
      </c>
      <c r="B48" s="11" t="n"/>
      <c r="C48" s="11" t="n"/>
      <c r="D48" s="9" t="n"/>
    </row>
    <row r="49" ht="18" customHeight="1">
      <c r="A49" s="12" t="inlineStr">
        <is>
          <t>*Total investment properties</t>
        </is>
      </c>
      <c r="B49" s="13">
        <f>1*B44+1*B47+1*B48</f>
        <v/>
      </c>
      <c r="C49" s="13">
        <f>1*C44+1*C47+1*C48</f>
        <v/>
      </c>
      <c r="D49" s="14" t="n"/>
    </row>
    <row r="50" ht="18" customHeight="1">
      <c r="A50" s="4" t="inlineStr">
        <is>
          <t>Biological assets</t>
        </is>
      </c>
      <c r="B50" s="5" t="n"/>
      <c r="C50" s="5" t="n"/>
      <c r="D50" s="6" t="n"/>
    </row>
    <row r="51" ht="18" customHeight="1">
      <c r="A51" s="10" t="inlineStr">
        <is>
          <t>Consumable biological assets</t>
        </is>
      </c>
      <c r="B51" s="11" t="n"/>
      <c r="C51" s="11" t="n"/>
      <c r="D51" s="9" t="n"/>
    </row>
    <row r="52" ht="18" customHeight="1">
      <c r="A52" s="10" t="inlineStr">
        <is>
          <t>Bearer biological assets</t>
        </is>
      </c>
      <c r="B52" s="11" t="n"/>
      <c r="C52" s="11" t="n"/>
      <c r="D52" s="9" t="n"/>
    </row>
    <row r="53" ht="18" customHeight="1">
      <c r="A53" s="12" t="inlineStr">
        <is>
          <t>Total biological assets</t>
        </is>
      </c>
      <c r="B53" s="13">
        <f>1*B51+1*B52</f>
        <v/>
      </c>
      <c r="C53" s="13">
        <f>1*C51+1*C52</f>
        <v/>
      </c>
      <c r="D53" s="14" t="n"/>
    </row>
    <row r="54" ht="18" customHeight="1">
      <c r="A54" s="4" t="inlineStr">
        <is>
          <t>Intangible assets and goodwill</t>
        </is>
      </c>
      <c r="B54" s="5" t="n"/>
      <c r="C54" s="5" t="n"/>
      <c r="D54" s="6" t="n"/>
    </row>
    <row r="55" ht="18" customHeight="1">
      <c r="A55" s="4" t="inlineStr">
        <is>
          <t>Intangible assets other than goodwill</t>
        </is>
      </c>
      <c r="B55" s="5" t="n"/>
      <c r="C55" s="5" t="n"/>
      <c r="D55" s="6" t="n"/>
    </row>
    <row r="56" ht="18" customHeight="1">
      <c r="A56" s="10" t="inlineStr">
        <is>
          <t>Customer acquisition costs</t>
        </is>
      </c>
      <c r="B56" s="11" t="n"/>
      <c r="C56" s="11" t="n"/>
      <c r="D56" s="9" t="n"/>
    </row>
    <row r="57" ht="18" customHeight="1">
      <c r="A57" s="10" t="inlineStr">
        <is>
          <t>Brand names</t>
        </is>
      </c>
      <c r="B57" s="11" t="n"/>
      <c r="C57" s="11" t="n"/>
      <c r="D57" s="9" t="n"/>
    </row>
    <row r="58" ht="18" customHeight="1">
      <c r="A58" s="10" t="inlineStr">
        <is>
          <t>Customer relationships</t>
        </is>
      </c>
      <c r="B58" s="11" t="n"/>
      <c r="C58" s="11" t="n"/>
      <c r="D58" s="9" t="n"/>
    </row>
    <row r="59" ht="18" customHeight="1">
      <c r="A59" s="10" t="inlineStr">
        <is>
          <t>Copyrights, patents and other industrial property rights, service and operating rights</t>
        </is>
      </c>
      <c r="B59" s="11" t="n"/>
      <c r="C59" s="11" t="n"/>
      <c r="D59" s="9" t="n"/>
    </row>
    <row r="60" ht="18" customHeight="1">
      <c r="A60" s="10" t="inlineStr">
        <is>
          <t>Intangible assets under development</t>
        </is>
      </c>
      <c r="B60" s="11" t="n"/>
      <c r="C60" s="11" t="n"/>
      <c r="D60" s="9" t="n"/>
    </row>
    <row r="61" ht="18" customHeight="1">
      <c r="A61" s="10" t="inlineStr">
        <is>
          <t>Intangible exploration and evaluation assets</t>
        </is>
      </c>
      <c r="B61" s="11" t="n"/>
      <c r="C61" s="11" t="n"/>
      <c r="D61" s="9" t="n"/>
    </row>
    <row r="62" ht="18" customHeight="1">
      <c r="A62" s="10" t="inlineStr">
        <is>
          <t>Licences and franchises</t>
        </is>
      </c>
      <c r="B62" s="11" t="n"/>
      <c r="C62" s="11" t="n"/>
      <c r="D62" s="9" t="n"/>
    </row>
    <row r="63" ht="18" customHeight="1">
      <c r="A63" s="10" t="inlineStr">
        <is>
          <t>Recipes, formulae, models, designs and prototypes</t>
        </is>
      </c>
      <c r="B63" s="11" t="n"/>
      <c r="C63" s="11" t="n"/>
      <c r="D63" s="9" t="n"/>
    </row>
    <row r="64" ht="18" customHeight="1">
      <c r="A64" s="10" t="inlineStr">
        <is>
          <t>Computer software</t>
        </is>
      </c>
      <c r="B64" s="11" t="n"/>
      <c r="C64" s="11" t="n"/>
      <c r="D64" s="9" t="n"/>
    </row>
    <row r="65" ht="18" customHeight="1">
      <c r="A65" s="10" t="inlineStr">
        <is>
          <t>Small holder relationship</t>
        </is>
      </c>
      <c r="B65" s="11" t="n"/>
      <c r="C65" s="11" t="n"/>
      <c r="D65" s="9" t="n"/>
    </row>
    <row r="66" ht="18" customHeight="1">
      <c r="A66" s="10" t="inlineStr">
        <is>
          <t>Other intangible assets</t>
        </is>
      </c>
      <c r="B66" s="11" t="n"/>
      <c r="C66" s="11" t="n"/>
      <c r="D66" s="9" t="n"/>
    </row>
    <row r="67" ht="18" customHeight="1">
      <c r="A67" s="12" t="inlineStr">
        <is>
          <t>*Total intangible assets other than goodwill</t>
        </is>
      </c>
      <c r="B67" s="13">
        <f>1*B56+1*B57+1*B58+1*B59+1*B60+1*B61+1*B62+1*B63+1*B64+1*B65+1*B66</f>
        <v/>
      </c>
      <c r="C67" s="13">
        <f>1*C56+1*C57+1*C58+1*C59+1*C60+1*C61+1*C62+1*C63+1*C64+1*C65+1*C66</f>
        <v/>
      </c>
      <c r="D67" s="14" t="n"/>
    </row>
    <row r="68" ht="18" customHeight="1">
      <c r="A68" s="10" t="inlineStr">
        <is>
          <t>Goodwill</t>
        </is>
      </c>
      <c r="B68" s="11" t="n">
        <v>81864054</v>
      </c>
      <c r="C68" s="11" t="n">
        <v>81864054</v>
      </c>
      <c r="D68" s="9" t="inlineStr">
        <is>
          <t>Page 16, Goodwill</t>
        </is>
      </c>
    </row>
    <row r="69" ht="18" customHeight="1">
      <c r="A69" s="12" t="inlineStr">
        <is>
          <t>*Total intangible assets and goodwill</t>
        </is>
      </c>
      <c r="B69" s="13">
        <f>1*B67+1*B68</f>
        <v/>
      </c>
      <c r="C69" s="13">
        <f>1*C67+1*C68</f>
        <v/>
      </c>
      <c r="D69" s="14" t="n"/>
    </row>
    <row r="70" ht="18" customHeight="1">
      <c r="A70" s="4" t="inlineStr">
        <is>
          <t>Investments in subsidiaries</t>
        </is>
      </c>
      <c r="B70" s="5" t="n"/>
      <c r="C70" s="5" t="n"/>
      <c r="D70" s="6" t="n"/>
    </row>
    <row r="71" ht="18" customHeight="1">
      <c r="A71" s="10" t="inlineStr">
        <is>
          <t>Unquoted shares, net of impairment losses</t>
        </is>
      </c>
      <c r="B71" s="11" t="n"/>
      <c r="C71" s="11" t="n"/>
      <c r="D71" s="9" t="n"/>
    </row>
    <row r="72" ht="18" customHeight="1">
      <c r="A72" s="10" t="inlineStr">
        <is>
          <t>Quoted shares in Malaysia</t>
        </is>
      </c>
      <c r="B72" s="11" t="n"/>
      <c r="C72" s="11" t="n"/>
      <c r="D72" s="9" t="n"/>
    </row>
    <row r="73" ht="18" customHeight="1">
      <c r="A73" s="10" t="inlineStr">
        <is>
          <t>Quoted shares outside Malaysia</t>
        </is>
      </c>
      <c r="B73" s="11" t="n"/>
      <c r="C73" s="11" t="n"/>
      <c r="D73" s="9" t="n"/>
    </row>
    <row r="74" ht="18" customHeight="1">
      <c r="A74" s="10" t="inlineStr">
        <is>
          <t>Fair value adjustments on loans and advances and financial guarantee</t>
        </is>
      </c>
      <c r="B74" s="11" t="n"/>
      <c r="C74" s="11" t="n"/>
      <c r="D74" s="9" t="n"/>
    </row>
    <row r="75" ht="18" customHeight="1">
      <c r="A75" s="10" t="inlineStr">
        <is>
          <t>Contributions to subsidiaries, net of impairment losses</t>
        </is>
      </c>
      <c r="B75" s="11" t="n"/>
      <c r="C75" s="11" t="n"/>
      <c r="D75" s="9" t="n"/>
    </row>
    <row r="76" ht="18" customHeight="1">
      <c r="A76" s="10" t="inlineStr">
        <is>
          <t>Other investments in subsidiaries</t>
        </is>
      </c>
      <c r="B76" s="11" t="n"/>
      <c r="C76" s="11" t="n"/>
      <c r="D76" s="9" t="n"/>
    </row>
    <row r="77" ht="18" customHeight="1">
      <c r="A77" s="12" t="inlineStr">
        <is>
          <t>*Total investments in subsidiaries</t>
        </is>
      </c>
      <c r="B77" s="13">
        <f>1*B71+1*B72+1*B73+1*B74+1*B75+1*B76</f>
        <v/>
      </c>
      <c r="C77" s="13">
        <f>1*C71+1*C72+1*C73+1*C74+1*C75+1*C76</f>
        <v/>
      </c>
      <c r="D77" s="14" t="n"/>
    </row>
    <row r="78" ht="18" customHeight="1">
      <c r="A78" s="4" t="inlineStr">
        <is>
          <t>Investments in associates</t>
        </is>
      </c>
      <c r="B78" s="5" t="n"/>
      <c r="C78" s="5" t="n"/>
      <c r="D78" s="6" t="n"/>
    </row>
    <row r="79" ht="18" customHeight="1">
      <c r="A79" s="10" t="inlineStr">
        <is>
          <t>Unquoted shares, net of impairment losses</t>
        </is>
      </c>
      <c r="B79" s="11" t="n">
        <v>3000000</v>
      </c>
      <c r="C79" s="11" t="n">
        <v>3000000</v>
      </c>
      <c r="D79" s="9" t="inlineStr">
        <is>
          <t>Page 62, Note 9, Unquoted shares</t>
        </is>
      </c>
    </row>
    <row r="80" ht="18" customHeight="1">
      <c r="A80" s="10" t="inlineStr">
        <is>
          <t>Quoted shares in Malaysia</t>
        </is>
      </c>
      <c r="B80" s="11" t="n"/>
      <c r="C80" s="11" t="n"/>
      <c r="D80" s="9" t="n"/>
    </row>
    <row r="81" ht="18" customHeight="1">
      <c r="A81" s="10" t="inlineStr">
        <is>
          <t>Quoted shares outside Malaysia</t>
        </is>
      </c>
      <c r="B81" s="11" t="n"/>
      <c r="C81" s="11" t="n"/>
      <c r="D81" s="9" t="n"/>
    </row>
    <row r="82" ht="18" customHeight="1">
      <c r="A82" s="10" t="inlineStr">
        <is>
          <t>Fair value adjustments on loans and advances and financial guarantee</t>
        </is>
      </c>
      <c r="B82" s="11" t="n"/>
      <c r="C82" s="11" t="n"/>
      <c r="D82" s="9" t="n"/>
    </row>
    <row r="83" ht="18" customHeight="1">
      <c r="A83" s="10" t="inlineStr">
        <is>
          <t>Share of post-acquisition profits and reserves</t>
        </is>
      </c>
      <c r="B83" s="11" t="n">
        <v>196691</v>
      </c>
      <c r="C83" s="11" t="n">
        <v>47985</v>
      </c>
      <c r="D83" s="9" t="inlineStr">
        <is>
          <t>Page 62, Note 9, Group's share of results</t>
        </is>
      </c>
    </row>
    <row r="84" ht="18" customHeight="1">
      <c r="A84" s="10" t="inlineStr">
        <is>
          <t>Unrealised profit on transactions with associates</t>
        </is>
      </c>
      <c r="B84" s="11" t="n"/>
      <c r="C84" s="11" t="n"/>
      <c r="D84" s="9" t="n"/>
    </row>
    <row r="85" ht="18" customHeight="1">
      <c r="A85" s="10" t="inlineStr">
        <is>
          <t>Other investments in associates</t>
        </is>
      </c>
      <c r="B85" s="11" t="n"/>
      <c r="C85" s="11" t="n"/>
      <c r="D85" s="9" t="n"/>
    </row>
    <row r="86" ht="18" customHeight="1">
      <c r="A86" s="12" t="inlineStr">
        <is>
          <t>*Total investments in associates</t>
        </is>
      </c>
      <c r="B86" s="13">
        <f>1*B79+1*B80+1*B81+1*B82+1*B83+1*B84+1*B85</f>
        <v/>
      </c>
      <c r="C86" s="13">
        <f>1*C79+1*C80+1*C81+1*C82+1*C83+1*C84+1*C85</f>
        <v/>
      </c>
      <c r="D86" s="14" t="n"/>
    </row>
    <row r="87" ht="18" customHeight="1">
      <c r="A87" s="4" t="inlineStr">
        <is>
          <t>Investments in joint ventures</t>
        </is>
      </c>
      <c r="B87" s="5" t="n"/>
      <c r="C87" s="5" t="n"/>
      <c r="D87" s="6" t="n"/>
    </row>
    <row r="88" ht="18" customHeight="1">
      <c r="A88" s="10" t="inlineStr">
        <is>
          <t>Unquoted shares, net of impairment losses</t>
        </is>
      </c>
      <c r="B88" s="11" t="n">
        <v>400000</v>
      </c>
      <c r="C88" s="11" t="n">
        <v>400000</v>
      </c>
      <c r="D88" s="9" t="inlineStr">
        <is>
          <t>Page 63, Note 10, Unquoted shares</t>
        </is>
      </c>
    </row>
    <row r="89" ht="18" customHeight="1">
      <c r="A89" s="10" t="inlineStr">
        <is>
          <t>Quoted shares in Malaysia</t>
        </is>
      </c>
      <c r="B89" s="11" t="n"/>
      <c r="C89" s="11" t="n"/>
      <c r="D89" s="9" t="n"/>
    </row>
    <row r="90" ht="18" customHeight="1">
      <c r="A90" s="10" t="inlineStr">
        <is>
          <t>Quoted shares outside Malaysia</t>
        </is>
      </c>
      <c r="B90" s="11" t="n"/>
      <c r="C90" s="11" t="n"/>
      <c r="D90" s="9" t="n"/>
    </row>
    <row r="91" ht="18" customHeight="1">
      <c r="A91" s="10" t="inlineStr">
        <is>
          <t>Fair value adjustments on loans and advances and financial guarantee</t>
        </is>
      </c>
      <c r="B91" s="11" t="n"/>
      <c r="C91" s="11" t="n"/>
      <c r="D91" s="9" t="n"/>
    </row>
    <row r="92" ht="18" customHeight="1">
      <c r="A92" s="10" t="inlineStr">
        <is>
          <t>Share of post-acquisition profits and reserves</t>
        </is>
      </c>
      <c r="B92" s="11" t="n">
        <v>-47780</v>
      </c>
      <c r="C92" s="11" t="n">
        <v>-191020</v>
      </c>
      <c r="D92" s="9" t="inlineStr">
        <is>
          <t>Page 63, Note 10, Group's share of results</t>
        </is>
      </c>
    </row>
    <row r="93" ht="18" customHeight="1">
      <c r="A93" s="10" t="inlineStr">
        <is>
          <t>Unrealised profit on transactions with joint ventures</t>
        </is>
      </c>
      <c r="B93" s="11" t="n"/>
      <c r="C93" s="11" t="n"/>
      <c r="D93" s="9" t="n"/>
    </row>
    <row r="94" ht="18" customHeight="1">
      <c r="A94" s="10" t="inlineStr">
        <is>
          <t>Other investments in joint ventures</t>
        </is>
      </c>
      <c r="B94" s="11" t="n">
        <v>3080000</v>
      </c>
      <c r="C94" s="11" t="n">
        <v>3080000</v>
      </c>
      <c r="D94" s="9" t="inlineStr">
        <is>
          <t>Page 63, Note 10, Equity contribution</t>
        </is>
      </c>
    </row>
    <row r="95" ht="18" customHeight="1">
      <c r="A95" s="12" t="inlineStr">
        <is>
          <t>*Total investments in joint ventures</t>
        </is>
      </c>
      <c r="B95" s="13">
        <f>1*B88+1*B89+1*B90+1*B91+1*B92+1*B93+1*B94</f>
        <v/>
      </c>
      <c r="C95" s="13">
        <f>1*C88+1*C89+1*C90+1*C91+1*C92+1*C93+1*C94</f>
        <v/>
      </c>
      <c r="D95" s="14" t="n"/>
    </row>
    <row r="96" ht="18" customHeight="1">
      <c r="A96" s="4" t="inlineStr">
        <is>
          <t>Trade and other non-current receivables</t>
        </is>
      </c>
      <c r="B96" s="5" t="n"/>
      <c r="C96" s="5" t="n"/>
      <c r="D96" s="6" t="n"/>
    </row>
    <row r="97" ht="18" customHeight="1">
      <c r="A97" s="4" t="inlineStr">
        <is>
          <t>Non-current trade receivables</t>
        </is>
      </c>
      <c r="B97" s="5" t="n"/>
      <c r="C97" s="5" t="n"/>
      <c r="D97" s="6" t="n"/>
    </row>
    <row r="98" ht="18" customHeight="1">
      <c r="A98" s="10" t="inlineStr">
        <is>
          <t>Trade receivables</t>
        </is>
      </c>
      <c r="B98" s="11" t="n"/>
      <c r="C98" s="11" t="n"/>
      <c r="D98" s="9" t="n"/>
    </row>
    <row r="99" ht="18" customHeight="1">
      <c r="A99" s="10" t="inlineStr">
        <is>
          <t>Trade receivables due from holding company</t>
        </is>
      </c>
      <c r="B99" s="11" t="n"/>
      <c r="C99" s="11" t="n"/>
      <c r="D99" s="9" t="n"/>
    </row>
    <row r="100" ht="18" customHeight="1">
      <c r="A100" s="10" t="inlineStr">
        <is>
          <t>Trade receivables due from subsidiaries</t>
        </is>
      </c>
      <c r="B100" s="11" t="n"/>
      <c r="C100" s="11" t="n"/>
      <c r="D100" s="9" t="n"/>
    </row>
    <row r="101" ht="18" customHeight="1">
      <c r="A101" s="10" t="inlineStr">
        <is>
          <t>Trade receivables from associates</t>
        </is>
      </c>
      <c r="B101" s="11" t="n"/>
      <c r="C101" s="11" t="n"/>
      <c r="D101" s="9" t="n"/>
    </row>
    <row r="102" ht="18" customHeight="1">
      <c r="A102" s="10" t="inlineStr">
        <is>
          <t>Trade receivables due from joint ventures</t>
        </is>
      </c>
      <c r="B102" s="11" t="n"/>
      <c r="C102" s="11" t="n"/>
      <c r="D102" s="9" t="n"/>
    </row>
    <row r="103" ht="18" customHeight="1">
      <c r="A103" s="10" t="inlineStr">
        <is>
          <t>Trade receivables due from other related parties</t>
        </is>
      </c>
      <c r="B103" s="11" t="n"/>
      <c r="C103" s="11" t="n"/>
      <c r="D103" s="9" t="n"/>
    </row>
    <row r="104" ht="18" customHeight="1">
      <c r="A104" s="10" t="inlineStr">
        <is>
          <t>Other non-current trade receivables</t>
        </is>
      </c>
      <c r="B104" s="11" t="n"/>
      <c r="C104" s="11" t="n"/>
      <c r="D104" s="9" t="n"/>
    </row>
    <row r="105" ht="18" customHeight="1">
      <c r="A105" s="12" t="inlineStr">
        <is>
          <t>Total non-current trade receivables</t>
        </is>
      </c>
      <c r="B105" s="13">
        <f>1*B98+1*B99+1*B100+1*B101+1*B102+1*B103+1*B104</f>
        <v/>
      </c>
      <c r="C105" s="13">
        <f>1*C98+1*C99+1*C100+1*C101+1*C102+1*C103+1*C104</f>
        <v/>
      </c>
      <c r="D105" s="14" t="n"/>
    </row>
    <row r="106" ht="18" customHeight="1">
      <c r="A106" s="4" t="inlineStr">
        <is>
          <t>Other non-current receivables</t>
        </is>
      </c>
      <c r="B106" s="5" t="n"/>
      <c r="C106" s="5" t="n"/>
      <c r="D106" s="6" t="n"/>
    </row>
    <row r="107" ht="18" customHeight="1">
      <c r="A107" s="4" t="inlineStr">
        <is>
          <t>Other non-current receivables due from related parties</t>
        </is>
      </c>
      <c r="B107" s="5" t="n"/>
      <c r="C107" s="5" t="n"/>
      <c r="D107" s="6" t="n"/>
    </row>
    <row r="108" ht="18" customHeight="1">
      <c r="A108" s="10" t="inlineStr">
        <is>
          <t>Other receivables due from holding company</t>
        </is>
      </c>
      <c r="B108" s="11" t="n"/>
      <c r="C108" s="11" t="n"/>
      <c r="D108" s="9" t="n"/>
    </row>
    <row r="109" ht="18" customHeight="1">
      <c r="A109" s="10" t="inlineStr">
        <is>
          <t>Other receivables due from subsidiaries</t>
        </is>
      </c>
      <c r="B109" s="11" t="n"/>
      <c r="C109" s="11" t="n"/>
      <c r="D109" s="9" t="n"/>
    </row>
    <row r="110" ht="18" customHeight="1">
      <c r="A110" s="10" t="inlineStr">
        <is>
          <t>Other receivables due from associates</t>
        </is>
      </c>
      <c r="B110" s="11" t="n"/>
      <c r="C110" s="11" t="n"/>
      <c r="D110" s="9" t="n"/>
    </row>
    <row r="111" ht="18" customHeight="1">
      <c r="A111" s="10" t="inlineStr">
        <is>
          <t>Other receivables due from joint ventures</t>
        </is>
      </c>
      <c r="B111" s="11" t="n"/>
      <c r="C111" s="11" t="n"/>
      <c r="D111" s="9" t="n"/>
    </row>
    <row r="112" ht="18" customHeight="1">
      <c r="A112" s="10" t="inlineStr">
        <is>
          <t>Other receivables due from other related companies</t>
        </is>
      </c>
      <c r="B112" s="11" t="n"/>
      <c r="C112" s="11" t="n"/>
      <c r="D112" s="9" t="n"/>
    </row>
    <row r="113" ht="18" customHeight="1">
      <c r="A113" s="12" t="inlineStr">
        <is>
          <t>*Total other non-current receivables due from related parties</t>
        </is>
      </c>
      <c r="B113" s="13">
        <f>1*B108+1*B109+1*B110+1*B111+1*B112</f>
        <v/>
      </c>
      <c r="C113" s="13">
        <f>1*C108+1*C109+1*C110+1*C111+1*C112</f>
        <v/>
      </c>
      <c r="D113" s="14" t="n"/>
    </row>
    <row r="114" ht="18" customHeight="1">
      <c r="A114" s="4" t="inlineStr">
        <is>
          <t>Non-current non-trade receivables</t>
        </is>
      </c>
      <c r="B114" s="5" t="n"/>
      <c r="C114" s="5" t="n"/>
      <c r="D114" s="6" t="n"/>
    </row>
    <row r="115" ht="18" customHeight="1">
      <c r="A115" s="10" t="inlineStr">
        <is>
          <t>Accrued income</t>
        </is>
      </c>
      <c r="B115" s="11" t="n"/>
      <c r="C115" s="11" t="n"/>
      <c r="D115" s="9" t="n"/>
    </row>
    <row r="116" ht="18" customHeight="1">
      <c r="A116" s="10" t="inlineStr">
        <is>
          <t>Lease and hire purchase receivables</t>
        </is>
      </c>
      <c r="B116" s="11" t="n"/>
      <c r="C116" s="11" t="n"/>
      <c r="D116" s="9" t="n"/>
    </row>
    <row r="117" ht="18" customHeight="1">
      <c r="A117" s="10" t="inlineStr">
        <is>
          <t>Other non-current non-trade receivables</t>
        </is>
      </c>
      <c r="B117" s="11" t="n"/>
      <c r="C117" s="11" t="n"/>
      <c r="D117" s="9" t="n"/>
    </row>
    <row r="118" ht="18" customHeight="1">
      <c r="A118" s="12" t="inlineStr">
        <is>
          <t>*Total non-current non-trade receivables</t>
        </is>
      </c>
      <c r="B118" s="13">
        <f>1*B115+1*B116+1*B117</f>
        <v/>
      </c>
      <c r="C118" s="13">
        <f>1*C115+1*C116+1*C117</f>
        <v/>
      </c>
      <c r="D118" s="14" t="n"/>
    </row>
    <row r="119" ht="18" customHeight="1">
      <c r="A119" s="12" t="inlineStr">
        <is>
          <t>Total other non-current receivables</t>
        </is>
      </c>
      <c r="B119" s="13">
        <f>1*B113+1*B118</f>
        <v/>
      </c>
      <c r="C119" s="13">
        <f>1*C113+1*C118</f>
        <v/>
      </c>
      <c r="D119" s="14" t="n"/>
    </row>
    <row r="120" ht="18" customHeight="1">
      <c r="A120" s="12" t="inlineStr">
        <is>
          <t>*Total trade and other non-current receivables</t>
        </is>
      </c>
      <c r="B120" s="13">
        <f>1*B105+1*B119</f>
        <v/>
      </c>
      <c r="C120" s="13">
        <f>1*C105+1*C119</f>
        <v/>
      </c>
      <c r="D120" s="14" t="n"/>
    </row>
    <row r="121" ht="18" customHeight="1">
      <c r="A121" s="4" t="inlineStr">
        <is>
          <t>Non-current derivative financial assets</t>
        </is>
      </c>
      <c r="B121" s="5" t="n"/>
      <c r="C121" s="5" t="n"/>
      <c r="D121" s="6" t="n"/>
    </row>
    <row r="122" ht="18" customHeight="1">
      <c r="A122" s="4" t="inlineStr">
        <is>
          <t>Non-current derivatives at fair value through profit or loss</t>
        </is>
      </c>
      <c r="B122" s="5" t="n"/>
      <c r="C122" s="5" t="n"/>
      <c r="D122" s="6" t="n"/>
    </row>
    <row r="123" ht="18" customHeight="1">
      <c r="A123" s="10" t="inlineStr">
        <is>
          <t>Forward contract</t>
        </is>
      </c>
      <c r="B123" s="11" t="n"/>
      <c r="C123" s="11" t="n"/>
      <c r="D123" s="9" t="n"/>
    </row>
    <row r="124" ht="18" customHeight="1">
      <c r="A124" s="10" t="inlineStr">
        <is>
          <t>Options</t>
        </is>
      </c>
      <c r="B124" s="11" t="n"/>
      <c r="C124" s="11" t="n"/>
      <c r="D124" s="9" t="n"/>
    </row>
    <row r="125" ht="18" customHeight="1">
      <c r="A125" s="10" t="inlineStr">
        <is>
          <t>Swap</t>
        </is>
      </c>
      <c r="B125" s="11" t="n"/>
      <c r="C125" s="11" t="n"/>
      <c r="D125" s="9" t="n"/>
    </row>
    <row r="126" ht="18" customHeight="1">
      <c r="A126" s="10" t="inlineStr">
        <is>
          <t>Other derivatives</t>
        </is>
      </c>
      <c r="B126" s="11" t="n"/>
      <c r="C126" s="11" t="n"/>
      <c r="D126" s="9" t="n"/>
    </row>
    <row r="127" ht="18" customHeight="1">
      <c r="A127" s="12" t="inlineStr">
        <is>
          <t>Total non-current derivatives at fair value through profit or loss</t>
        </is>
      </c>
      <c r="B127" s="13">
        <f>1*B123+1*B124+1*B125+1*B126</f>
        <v/>
      </c>
      <c r="C127" s="13">
        <f>1*C123+1*C124+1*C125+1*C126</f>
        <v/>
      </c>
      <c r="D127" s="14" t="n"/>
    </row>
    <row r="128" ht="18" customHeight="1">
      <c r="A128" s="10" t="inlineStr">
        <is>
          <t>Other non-current derivative financial assets</t>
        </is>
      </c>
      <c r="B128" s="11" t="n"/>
      <c r="C128" s="11" t="n"/>
      <c r="D128" s="9" t="n"/>
    </row>
    <row r="129" ht="18" customHeight="1">
      <c r="A129" s="12" t="inlineStr">
        <is>
          <t>*Total non-current derivative financial assets</t>
        </is>
      </c>
      <c r="B129" s="13">
        <f>1*B127+1*B128</f>
        <v/>
      </c>
      <c r="C129" s="13">
        <f>1*C127+1*C128</f>
        <v/>
      </c>
      <c r="D129" s="14" t="n"/>
    </row>
    <row r="130" ht="18" customHeight="1">
      <c r="A130" s="4" t="inlineStr">
        <is>
          <t>Inventories</t>
        </is>
      </c>
      <c r="B130" s="5" t="n"/>
      <c r="C130" s="5" t="n"/>
      <c r="D130" s="6" t="n"/>
    </row>
    <row r="131" ht="18" customHeight="1">
      <c r="A131" s="10" t="inlineStr">
        <is>
          <t>Raw materials</t>
        </is>
      </c>
      <c r="B131" s="11" t="n"/>
      <c r="C131" s="11" t="n"/>
      <c r="D131" s="9" t="n"/>
    </row>
    <row r="132" ht="18" customHeight="1">
      <c r="A132" s="10" t="inlineStr">
        <is>
          <t>Work in progress</t>
        </is>
      </c>
      <c r="B132" s="11" t="n"/>
      <c r="C132" s="11" t="n"/>
      <c r="D132" s="9" t="n"/>
    </row>
    <row r="133" ht="18" customHeight="1">
      <c r="A133" s="10" t="inlineStr">
        <is>
          <t>Finished goods</t>
        </is>
      </c>
      <c r="B133" s="11" t="n"/>
      <c r="C133" s="11" t="n"/>
      <c r="D133" s="9" t="n"/>
    </row>
    <row r="134" ht="18" customHeight="1">
      <c r="A134" s="10" t="inlineStr">
        <is>
          <t>Spare parts</t>
        </is>
      </c>
      <c r="B134" s="11" t="n"/>
      <c r="C134" s="11" t="n"/>
      <c r="D134" s="9" t="n"/>
    </row>
    <row r="135" ht="18" customHeight="1">
      <c r="A135" s="10" t="inlineStr">
        <is>
          <t>Other inventories</t>
        </is>
      </c>
      <c r="B135" s="11" t="n"/>
      <c r="C135" s="11" t="n"/>
      <c r="D135" s="9" t="n"/>
    </row>
    <row r="136" ht="18" customHeight="1">
      <c r="A136" s="12" t="inlineStr">
        <is>
          <t>*Total inventories</t>
        </is>
      </c>
      <c r="B136" s="13">
        <f>1*B131+1*B132+1*B133+1*B134+1*B135</f>
        <v/>
      </c>
      <c r="C136" s="13">
        <f>1*C131+1*C132+1*C133+1*C134+1*C135</f>
        <v/>
      </c>
      <c r="D136" s="14" t="n"/>
    </row>
    <row r="137" ht="18" customHeight="1">
      <c r="A137" s="4" t="inlineStr">
        <is>
          <t>Trade and other current receivables</t>
        </is>
      </c>
      <c r="B137" s="5" t="n"/>
      <c r="C137" s="5" t="n"/>
      <c r="D137" s="6" t="n"/>
    </row>
    <row r="138" ht="18" customHeight="1">
      <c r="A138" s="4" t="inlineStr">
        <is>
          <t>Current trade receivables</t>
        </is>
      </c>
      <c r="B138" s="5" t="n"/>
      <c r="C138" s="5" t="n"/>
      <c r="D138" s="6" t="n"/>
    </row>
    <row r="139" ht="18" customHeight="1">
      <c r="A139" s="10" t="inlineStr">
        <is>
          <t>Trade receivables</t>
        </is>
      </c>
      <c r="B139" s="11" t="n">
        <v>169446656</v>
      </c>
      <c r="C139" s="11" t="n">
        <v>114514656</v>
      </c>
      <c r="D139" s="9" t="inlineStr">
        <is>
          <t>Page 16, Trade receivables</t>
        </is>
      </c>
    </row>
    <row r="140" ht="18" customHeight="1">
      <c r="A140" s="10" t="inlineStr">
        <is>
          <t>Trade receivables due from contract customers</t>
        </is>
      </c>
      <c r="B140" s="11" t="n"/>
      <c r="C140" s="11" t="n"/>
      <c r="D140" s="9" t="n"/>
    </row>
    <row r="141" ht="18" customHeight="1">
      <c r="A141" s="10" t="inlineStr">
        <is>
          <t>Trade receivables due from holding company</t>
        </is>
      </c>
      <c r="B141" s="11" t="n">
        <v>6761282</v>
      </c>
      <c r="C141" s="11" t="n">
        <v>4102320</v>
      </c>
      <c r="D141" s="9" t="inlineStr">
        <is>
          <t>Page 16, Amount owing by immediate holding company</t>
        </is>
      </c>
    </row>
    <row r="142" ht="18" customHeight="1">
      <c r="A142" s="10" t="inlineStr">
        <is>
          <t>Trade receivables due from subsidiaries</t>
        </is>
      </c>
      <c r="B142" s="11" t="n"/>
      <c r="C142" s="11" t="n"/>
      <c r="D142" s="9" t="n"/>
    </row>
    <row r="143" ht="18" customHeight="1">
      <c r="A143" s="10" t="inlineStr">
        <is>
          <t>Trade receivables due from associates</t>
        </is>
      </c>
      <c r="B143" s="11" t="n"/>
      <c r="C143" s="11" t="n"/>
      <c r="D143" s="9" t="n"/>
    </row>
    <row r="144" ht="18" customHeight="1">
      <c r="A144" s="10" t="inlineStr">
        <is>
          <t>Trade receivables due from joint ventures</t>
        </is>
      </c>
      <c r="B144" s="11" t="n">
        <v>447272</v>
      </c>
      <c r="C144" s="11" t="n">
        <v>833671</v>
      </c>
      <c r="D144" s="9" t="inlineStr">
        <is>
          <t>Page 16, Amount owing by a joint venture</t>
        </is>
      </c>
    </row>
    <row r="145" ht="18" customHeight="1">
      <c r="A145" s="10" t="inlineStr">
        <is>
          <t>Trade receivables due from other related parties</t>
        </is>
      </c>
      <c r="B145" s="11" t="n">
        <v>22312990</v>
      </c>
      <c r="C145" s="11" t="n">
        <v>6587604</v>
      </c>
      <c r="D145" s="9" t="inlineStr">
        <is>
          <t>Page 16, Amounts owing by related companies</t>
        </is>
      </c>
    </row>
    <row r="146" ht="18" customHeight="1">
      <c r="A146" s="10" t="inlineStr">
        <is>
          <t>Unearned current carrying charges</t>
        </is>
      </c>
      <c r="B146" s="11" t="n"/>
      <c r="C146" s="11" t="n"/>
      <c r="D146" s="9" t="n"/>
    </row>
    <row r="147" ht="18" customHeight="1">
      <c r="A147" s="10" t="inlineStr">
        <is>
          <t>Other current trade receivables</t>
        </is>
      </c>
      <c r="B147" s="11" t="n"/>
      <c r="C147" s="11" t="n"/>
      <c r="D147" s="9" t="n"/>
    </row>
    <row r="148" ht="18" customHeight="1">
      <c r="A148" s="12" t="inlineStr">
        <is>
          <t>Total current trade receivables</t>
        </is>
      </c>
      <c r="B148" s="13">
        <f>1*B139+1*B140+1*B141+1*B142+1*B143+1*B144+1*B145+1*B146+1*B147</f>
        <v/>
      </c>
      <c r="C148" s="13">
        <f>1*C139+1*C140+1*C141+1*C142+1*C143+1*C144+1*C145+1*C146+1*C147</f>
        <v/>
      </c>
      <c r="D148" s="14" t="n"/>
    </row>
    <row r="149" ht="18" customHeight="1">
      <c r="A149" s="4" t="inlineStr">
        <is>
          <t>Other current receivables</t>
        </is>
      </c>
      <c r="B149" s="5" t="n"/>
      <c r="C149" s="5" t="n"/>
      <c r="D149" s="6" t="n"/>
    </row>
    <row r="150" ht="18" customHeight="1">
      <c r="A150" s="4" t="inlineStr">
        <is>
          <t>Other current receivables due from related parties</t>
        </is>
      </c>
      <c r="B150" s="5" t="n"/>
      <c r="C150" s="5" t="n"/>
      <c r="D150" s="6" t="n"/>
    </row>
    <row r="151" ht="18" customHeight="1">
      <c r="A151" s="10" t="inlineStr">
        <is>
          <t>Other receivables due from holding company</t>
        </is>
      </c>
      <c r="B151" s="11" t="n"/>
      <c r="C151" s="11" t="n"/>
      <c r="D151" s="9" t="n"/>
    </row>
    <row r="152" ht="18" customHeight="1">
      <c r="A152" s="10" t="inlineStr">
        <is>
          <t>Other receivables due from subsidiaries</t>
        </is>
      </c>
      <c r="B152" s="11" t="n"/>
      <c r="C152" s="11" t="n"/>
      <c r="D152" s="9" t="n"/>
    </row>
    <row r="153" ht="18" customHeight="1">
      <c r="A153" s="10" t="inlineStr">
        <is>
          <t>Other receivables due from associates</t>
        </is>
      </c>
      <c r="B153" s="11" t="n">
        <v>50000</v>
      </c>
      <c r="C153" s="11" t="n">
        <v>54800</v>
      </c>
      <c r="D153" s="9" t="inlineStr">
        <is>
          <t>Page 16, Amount owing by associated company</t>
        </is>
      </c>
    </row>
    <row r="154" ht="18" customHeight="1">
      <c r="A154" s="10" t="inlineStr">
        <is>
          <t>Other receivables due from joint ventures</t>
        </is>
      </c>
      <c r="B154" s="11" t="n"/>
      <c r="C154" s="11" t="n"/>
      <c r="D154" s="9" t="n"/>
    </row>
    <row r="155" ht="18" customHeight="1">
      <c r="A155" s="10" t="inlineStr">
        <is>
          <t>Other receivables due from other related parties</t>
        </is>
      </c>
      <c r="B155" s="11" t="n"/>
      <c r="C155" s="11" t="n"/>
      <c r="D155" s="9" t="n"/>
    </row>
    <row r="156" ht="18" customHeight="1">
      <c r="A156" s="12" t="inlineStr">
        <is>
          <t>Total other current receivables due from related parties</t>
        </is>
      </c>
      <c r="B156" s="13">
        <f>1*B151+1*B152+1*B153+1*B154+1*B155</f>
        <v/>
      </c>
      <c r="C156" s="13">
        <f>1*C151+1*C152+1*C153+1*C154+1*C155</f>
        <v/>
      </c>
      <c r="D156" s="14" t="n"/>
    </row>
    <row r="157" ht="18" customHeight="1">
      <c r="A157" s="4" t="inlineStr">
        <is>
          <t>Current prepayments and current accrued income</t>
        </is>
      </c>
      <c r="B157" s="5" t="n"/>
      <c r="C157" s="5" t="n"/>
      <c r="D157" s="6" t="n"/>
    </row>
    <row r="158" ht="18" customHeight="1">
      <c r="A158" s="10" t="inlineStr">
        <is>
          <t>Prepayments</t>
        </is>
      </c>
      <c r="B158" s="11" t="n">
        <v>5481026</v>
      </c>
      <c r="C158" s="11" t="n">
        <v>5587915</v>
      </c>
      <c r="D158" s="9" t="inlineStr">
        <is>
          <t>Page 69, Note 14, Prepayments</t>
        </is>
      </c>
    </row>
    <row r="159" ht="18" customHeight="1">
      <c r="A159" s="10" t="inlineStr">
        <is>
          <t>Accrued income</t>
        </is>
      </c>
      <c r="B159" s="11" t="n"/>
      <c r="C159" s="11" t="n"/>
      <c r="D159" s="9" t="n"/>
    </row>
    <row r="160" ht="18" customHeight="1">
      <c r="A160" s="12" t="inlineStr">
        <is>
          <t>Total current prepayments and current accrued income</t>
        </is>
      </c>
      <c r="B160" s="13">
        <f>1*B158+1*B159</f>
        <v/>
      </c>
      <c r="C160" s="13">
        <f>1*C158+1*C159</f>
        <v/>
      </c>
      <c r="D160" s="14" t="n"/>
    </row>
    <row r="161" ht="18" customHeight="1">
      <c r="A161" s="4" t="inlineStr">
        <is>
          <t>Current non-trade receivables</t>
        </is>
      </c>
      <c r="B161" s="5" t="n"/>
      <c r="C161" s="5" t="n"/>
      <c r="D161" s="6" t="n"/>
    </row>
    <row r="162" ht="18" customHeight="1">
      <c r="A162" s="10" t="inlineStr">
        <is>
          <t>Interest receivables</t>
        </is>
      </c>
      <c r="B162" s="11" t="n"/>
      <c r="C162" s="11" t="n"/>
      <c r="D162" s="9" t="n"/>
    </row>
    <row r="163" ht="18" customHeight="1">
      <c r="A163" s="10" t="inlineStr">
        <is>
          <t>Deposits</t>
        </is>
      </c>
      <c r="B163" s="11" t="n">
        <v>13459414</v>
      </c>
      <c r="C163" s="11" t="n">
        <v>10117929</v>
      </c>
      <c r="D163" s="9" t="inlineStr">
        <is>
          <t>Page 69, Note 14, Deposits (3357510 + 6760419)</t>
        </is>
      </c>
    </row>
    <row r="164" ht="18" customHeight="1">
      <c r="A164" s="10" t="inlineStr">
        <is>
          <t>Dividend receivables</t>
        </is>
      </c>
      <c r="B164" s="11" t="n"/>
      <c r="C164" s="11" t="n"/>
      <c r="D164" s="9" t="n"/>
    </row>
    <row r="165" ht="18" customHeight="1">
      <c r="A165" s="10" t="inlineStr">
        <is>
          <t>Lease and hire purchase receivables</t>
        </is>
      </c>
      <c r="B165" s="11" t="n"/>
      <c r="C165" s="11" t="n"/>
      <c r="D165" s="9" t="n"/>
    </row>
    <row r="166" ht="18" customHeight="1">
      <c r="A166" s="10" t="inlineStr">
        <is>
          <t>Other current non-trade receivables</t>
        </is>
      </c>
      <c r="B166" s="11" t="n">
        <v>1844395</v>
      </c>
      <c r="C166" s="11" t="n">
        <v>2952403</v>
      </c>
      <c r="D166" s="9" t="inlineStr">
        <is>
          <t>Page 69, Note 14, Other receivables + GST recoverable (2950351 + 2052)</t>
        </is>
      </c>
    </row>
    <row r="167" ht="18" customHeight="1">
      <c r="A167" s="12" t="inlineStr">
        <is>
          <t>Total current non-trade receivables</t>
        </is>
      </c>
      <c r="B167" s="13">
        <f>1*B162+1*B163+1*B164+1*B165+1*B166</f>
        <v/>
      </c>
      <c r="C167" s="13">
        <f>1*C162+1*C163+1*C164+1*C165+1*C166</f>
        <v/>
      </c>
      <c r="D167" s="14" t="n"/>
    </row>
    <row r="168" ht="18" customHeight="1">
      <c r="A168" s="12" t="inlineStr">
        <is>
          <t>Total other current receivables</t>
        </is>
      </c>
      <c r="B168" s="13">
        <f>1*B156+1*B160+1*B167</f>
        <v/>
      </c>
      <c r="C168" s="13">
        <f>1*C156+1*C160+1*C167</f>
        <v/>
      </c>
      <c r="D168" s="14" t="n"/>
    </row>
    <row r="169" ht="18" customHeight="1">
      <c r="A169" s="12" t="inlineStr">
        <is>
          <t>*Total trade and other current receivables</t>
        </is>
      </c>
      <c r="B169" s="13">
        <f>1*B148+1*B168</f>
        <v/>
      </c>
      <c r="C169" s="13">
        <f>1*C148+1*C168</f>
        <v/>
      </c>
      <c r="D169" s="14" t="n"/>
    </row>
    <row r="170" ht="18" customHeight="1">
      <c r="A170" s="4" t="inlineStr">
        <is>
          <t>Current derivative financial assets</t>
        </is>
      </c>
      <c r="B170" s="5" t="n"/>
      <c r="C170" s="5" t="n"/>
      <c r="D170" s="6" t="n"/>
    </row>
    <row r="171" ht="18" customHeight="1">
      <c r="A171" s="4" t="inlineStr">
        <is>
          <t>Current derivatives at fair value through profit or loss</t>
        </is>
      </c>
      <c r="B171" s="5" t="n"/>
      <c r="C171" s="5" t="n"/>
      <c r="D171" s="6" t="n"/>
    </row>
    <row r="172" ht="18" customHeight="1">
      <c r="A172" s="10" t="inlineStr">
        <is>
          <t>Forward contract</t>
        </is>
      </c>
      <c r="B172" s="11" t="n"/>
      <c r="C172" s="11" t="n"/>
      <c r="D172" s="9" t="n"/>
    </row>
    <row r="173" ht="18" customHeight="1">
      <c r="A173" s="10" t="inlineStr">
        <is>
          <t>Options</t>
        </is>
      </c>
      <c r="B173" s="11" t="n"/>
      <c r="C173" s="11" t="n"/>
      <c r="D173" s="9" t="n"/>
    </row>
    <row r="174" ht="18" customHeight="1">
      <c r="A174" s="10" t="inlineStr">
        <is>
          <t>Swap</t>
        </is>
      </c>
      <c r="B174" s="11" t="n"/>
      <c r="C174" s="11" t="n"/>
      <c r="D174" s="9" t="n"/>
    </row>
    <row r="175" ht="18" customHeight="1">
      <c r="A175" s="10" t="inlineStr">
        <is>
          <t>Other derivatives</t>
        </is>
      </c>
      <c r="B175" s="11" t="n"/>
      <c r="C175" s="11" t="n"/>
      <c r="D175" s="9" t="n"/>
    </row>
    <row r="176" ht="18" customHeight="1">
      <c r="A176" s="12" t="inlineStr">
        <is>
          <t>Total current derivatives at fair value through profit or loss</t>
        </is>
      </c>
      <c r="B176" s="13">
        <f>1*B172+1*B173+1*B174+1*B175</f>
        <v/>
      </c>
      <c r="C176" s="13">
        <f>1*C172+1*C173+1*C174+1*C175</f>
        <v/>
      </c>
      <c r="D176" s="14" t="n"/>
    </row>
    <row r="177" ht="18" customHeight="1">
      <c r="A177" s="10" t="inlineStr">
        <is>
          <t>Other current derivative financial assets</t>
        </is>
      </c>
      <c r="B177" s="11" t="n"/>
      <c r="C177" s="11" t="n"/>
      <c r="D177" s="9" t="n"/>
    </row>
    <row r="178" ht="18" customHeight="1">
      <c r="A178" s="12" t="inlineStr">
        <is>
          <t>*Total current derivative financial assets</t>
        </is>
      </c>
      <c r="B178" s="13">
        <f>1*B176+1*B177</f>
        <v/>
      </c>
      <c r="C178" s="13">
        <f>1*C176+1*C177</f>
        <v/>
      </c>
      <c r="D178" s="14" t="n"/>
    </row>
    <row r="179" ht="18" customHeight="1">
      <c r="A179" s="4" t="inlineStr">
        <is>
          <t>Cash and cash equivalents</t>
        </is>
      </c>
      <c r="B179" s="5" t="n"/>
      <c r="C179" s="5" t="n"/>
      <c r="D179" s="6" t="n"/>
    </row>
    <row r="180" ht="18" customHeight="1">
      <c r="A180" s="4" t="inlineStr">
        <is>
          <t>Cash</t>
        </is>
      </c>
      <c r="B180" s="5" t="n"/>
      <c r="C180" s="5" t="n"/>
      <c r="D180" s="6" t="n"/>
    </row>
    <row r="181" ht="18" customHeight="1">
      <c r="A181" s="10" t="inlineStr">
        <is>
          <t>Cash in hand</t>
        </is>
      </c>
      <c r="B181" s="11" t="n"/>
      <c r="C181" s="11" t="n"/>
      <c r="D181" s="9" t="n"/>
    </row>
    <row r="182" ht="18" customHeight="1">
      <c r="A182" s="10" t="inlineStr">
        <is>
          <t>Balances with Licensed Banks</t>
        </is>
      </c>
      <c r="B182" s="11" t="n">
        <v>77832946</v>
      </c>
      <c r="C182" s="11" t="n">
        <v>113153309</v>
      </c>
      <c r="D182" s="9" t="inlineStr">
        <is>
          <t>Page 16, Cash and bank balances</t>
        </is>
      </c>
    </row>
    <row r="183" ht="18" customHeight="1">
      <c r="A183" s="12" t="inlineStr">
        <is>
          <t>*Total cash</t>
        </is>
      </c>
      <c r="B183" s="13">
        <f>1*B181+1*B182</f>
        <v/>
      </c>
      <c r="C183" s="13">
        <f>1*C181+1*C182</f>
        <v/>
      </c>
      <c r="D183" s="14" t="n"/>
    </row>
    <row r="184" ht="18" customHeight="1">
      <c r="A184" s="4" t="inlineStr">
        <is>
          <t>Cash equivalents</t>
        </is>
      </c>
      <c r="B184" s="5" t="n"/>
      <c r="C184" s="5" t="n"/>
      <c r="D184" s="6" t="n"/>
    </row>
    <row r="185" ht="18" customHeight="1">
      <c r="A185" s="10" t="inlineStr">
        <is>
          <t>Deposits placed with licensed banks</t>
        </is>
      </c>
      <c r="B185" s="11" t="n">
        <v>33104986</v>
      </c>
      <c r="C185" s="11" t="n">
        <v>78628142</v>
      </c>
      <c r="D185" s="9" t="inlineStr">
        <is>
          <t>Page 16, Fixed deposits with licenced banks</t>
        </is>
      </c>
    </row>
    <row r="186" ht="18" customHeight="1">
      <c r="A186" s="10" t="inlineStr">
        <is>
          <t>Deposit placed with other corporations</t>
        </is>
      </c>
      <c r="B186" s="11" t="n"/>
      <c r="C186" s="11" t="n"/>
      <c r="D186" s="9" t="n"/>
    </row>
    <row r="187" ht="18" customHeight="1">
      <c r="A187" s="10" t="inlineStr">
        <is>
          <t>Cash equivalents with other financial institutions</t>
        </is>
      </c>
      <c r="B187" s="11" t="n"/>
      <c r="C187" s="11" t="n"/>
      <c r="D187" s="9" t="n"/>
    </row>
    <row r="188" ht="18" customHeight="1">
      <c r="A188" s="10" t="inlineStr">
        <is>
          <t>Short-term deposits</t>
        </is>
      </c>
      <c r="B188" s="11" t="n"/>
      <c r="C188" s="11" t="n"/>
      <c r="D188" s="9" t="n"/>
    </row>
    <row r="189" ht="18" customHeight="1">
      <c r="A189" s="10" t="inlineStr">
        <is>
          <t>Short-term investments</t>
        </is>
      </c>
      <c r="B189" s="11" t="n"/>
      <c r="C189" s="11" t="n"/>
      <c r="D189" s="9" t="n"/>
    </row>
    <row r="190" ht="18" customHeight="1">
      <c r="A190" s="10" t="inlineStr">
        <is>
          <t>Other banking arrangements</t>
        </is>
      </c>
      <c r="B190" s="11" t="n"/>
      <c r="C190" s="11" t="n"/>
      <c r="D190" s="9" t="n"/>
    </row>
    <row r="191" ht="18" customHeight="1">
      <c r="A191" s="12" t="inlineStr">
        <is>
          <t>*Total cash equivalents</t>
        </is>
      </c>
      <c r="B191" s="13">
        <f>1*B185+1*B186+1*B187+1*B188+1*B189+1*B190</f>
        <v/>
      </c>
      <c r="C191" s="13">
        <f>1*C185+1*C186+1*C187+1*C188+1*C189+1*C190</f>
        <v/>
      </c>
      <c r="D191" s="14" t="n"/>
    </row>
    <row r="192" ht="18" customHeight="1">
      <c r="A192" s="10" t="inlineStr">
        <is>
          <t>Other cash and cash equivalents</t>
        </is>
      </c>
      <c r="B192" s="11" t="n"/>
      <c r="C192" s="11" t="n"/>
      <c r="D192" s="9" t="n"/>
    </row>
    <row r="193" ht="18" customHeight="1">
      <c r="A193" s="12" t="inlineStr">
        <is>
          <t>*Total cash and cash equivalents</t>
        </is>
      </c>
      <c r="B193" s="13">
        <f>1*B183+1*B191+1*B192</f>
        <v/>
      </c>
      <c r="C193" s="13">
        <f>1*C183+1*C191+1*C192</f>
        <v/>
      </c>
      <c r="D193" s="14" t="n"/>
    </row>
    <row r="194" ht="18" customHeight="1">
      <c r="A194" s="4" t="inlineStr">
        <is>
          <t>Other non-current assets</t>
        </is>
      </c>
      <c r="B194" s="5" t="n"/>
      <c r="C194" s="5" t="n"/>
      <c r="D194" s="6" t="inlineStr">
        <is>
          <t>Correction: Moving to Other investments on main sheet to fix template total asset formula issue</t>
        </is>
      </c>
    </row>
    <row r="195" ht="18" customHeight="1">
      <c r="A195" s="10" t="inlineStr">
        <is>
          <t>Prepaid rental of buildings and facilities</t>
        </is>
      </c>
      <c r="B195" s="11" t="n"/>
      <c r="C195" s="11" t="n"/>
      <c r="D195" s="9" t="n"/>
    </row>
    <row r="196" ht="18" customHeight="1">
      <c r="A196" s="10" t="inlineStr">
        <is>
          <t>Prepaid land lease</t>
        </is>
      </c>
      <c r="B196" s="11" t="n"/>
      <c r="C196" s="11" t="n"/>
      <c r="D196" s="9" t="n"/>
    </row>
    <row r="197" ht="18" customHeight="1">
      <c r="A197" s="10" t="inlineStr">
        <is>
          <t>Other non-current assets</t>
        </is>
      </c>
      <c r="B197" s="11" t="n"/>
      <c r="C197" s="11" t="n"/>
      <c r="D197" s="9" t="n"/>
    </row>
    <row r="198" ht="18" customHeight="1">
      <c r="A198" s="12" t="inlineStr">
        <is>
          <t>*Total other non-current assets</t>
        </is>
      </c>
      <c r="B198" s="13">
        <f>1*B195+1*B196+1*B197</f>
        <v/>
      </c>
      <c r="C198" s="13">
        <f>1*C195+1*C196+1*C197</f>
        <v/>
      </c>
      <c r="D198" s="14" t="n"/>
    </row>
    <row r="199" ht="18" customHeight="1">
      <c r="A199" s="4" t="inlineStr">
        <is>
          <t>Issued capital</t>
        </is>
      </c>
      <c r="B199" s="5" t="n"/>
      <c r="C199" s="5" t="n"/>
      <c r="D199" s="6" t="n"/>
    </row>
    <row r="200" ht="18" customHeight="1">
      <c r="A200" s="10" t="inlineStr">
        <is>
          <t>Capital from ordinary shares</t>
        </is>
      </c>
      <c r="B200" s="11" t="n">
        <v>100801317</v>
      </c>
      <c r="C200" s="11" t="n">
        <v>100801317</v>
      </c>
      <c r="D200" s="9" t="inlineStr">
        <is>
          <t>Page 16, Share capital</t>
        </is>
      </c>
    </row>
    <row r="201" ht="18" customHeight="1">
      <c r="A201" s="10" t="inlineStr">
        <is>
          <t>Capital from redeemable preference shares</t>
        </is>
      </c>
      <c r="B201" s="11" t="n"/>
      <c r="C201" s="11" t="n"/>
      <c r="D201" s="9" t="n"/>
    </row>
    <row r="202" ht="18" customHeight="1">
      <c r="A202" s="10" t="inlineStr">
        <is>
          <t>Capital from non-redeemable preference shares</t>
        </is>
      </c>
      <c r="B202" s="11" t="n"/>
      <c r="C202" s="11" t="n"/>
      <c r="D202" s="9" t="n"/>
    </row>
    <row r="203" ht="18" customHeight="1">
      <c r="A203" s="12" t="inlineStr">
        <is>
          <t>*Total issued capital</t>
        </is>
      </c>
      <c r="B203" s="13">
        <f>1*B200+1*B201+1*B202</f>
        <v/>
      </c>
      <c r="C203" s="13">
        <f>1*C200+1*C201+1*C202</f>
        <v/>
      </c>
      <c r="D203" s="14" t="n"/>
    </row>
    <row r="204" ht="18" customHeight="1">
      <c r="A204" s="4" t="inlineStr">
        <is>
          <t>Reserves</t>
        </is>
      </c>
      <c r="B204" s="5" t="n"/>
      <c r="C204" s="5" t="n"/>
      <c r="D204" s="6" t="n"/>
    </row>
    <row r="205" ht="18" customHeight="1">
      <c r="A205" s="4" t="inlineStr">
        <is>
          <t>Non-distributable</t>
        </is>
      </c>
      <c r="B205" s="5" t="n"/>
      <c r="C205" s="5" t="n"/>
      <c r="D205" s="6" t="n"/>
    </row>
    <row r="206" ht="18" customHeight="1">
      <c r="A206" s="10" t="inlineStr">
        <is>
          <t>Capital reserve</t>
        </is>
      </c>
      <c r="B206" s="11" t="n"/>
      <c r="C206" s="11" t="n"/>
      <c r="D206" s="9" t="n"/>
    </row>
    <row r="207" ht="18" customHeight="1">
      <c r="A207" s="10" t="inlineStr">
        <is>
          <t>Hedging reserve</t>
        </is>
      </c>
      <c r="B207" s="11" t="n"/>
      <c r="C207" s="11" t="n"/>
      <c r="D207" s="9" t="n"/>
    </row>
    <row r="208" ht="18" customHeight="1">
      <c r="A208" s="10" t="inlineStr">
        <is>
          <t>Foreign currency translation reserve</t>
        </is>
      </c>
      <c r="B208" s="11" t="n">
        <v>0</v>
      </c>
      <c r="C208" s="11" t="n">
        <v>-643844</v>
      </c>
      <c r="D208" s="9" t="inlineStr">
        <is>
          <t>Page 16, Exchange translation reserve</t>
        </is>
      </c>
    </row>
    <row r="209" ht="18" customHeight="1">
      <c r="A209" s="10" t="inlineStr">
        <is>
          <t>Reserve of share-based payments</t>
        </is>
      </c>
      <c r="B209" s="11" t="n"/>
      <c r="C209" s="11" t="n"/>
      <c r="D209" s="9" t="n"/>
    </row>
    <row r="210" ht="18" customHeight="1">
      <c r="A210" s="10" t="inlineStr">
        <is>
          <t>Revaluation surplus</t>
        </is>
      </c>
      <c r="B210" s="11" t="n">
        <v>1400591</v>
      </c>
      <c r="C210" s="11" t="n">
        <v>1400591</v>
      </c>
      <c r="D210" s="9" t="inlineStr">
        <is>
          <t>Page 16, Revaluation reserve</t>
        </is>
      </c>
    </row>
    <row r="211" ht="18" customHeight="1">
      <c r="A211" s="10" t="inlineStr">
        <is>
          <t>Statutory reserve</t>
        </is>
      </c>
      <c r="B211" s="11" t="n"/>
      <c r="C211" s="11" t="n"/>
      <c r="D211" s="9" t="n"/>
    </row>
    <row r="212" ht="18" customHeight="1">
      <c r="A212" s="10" t="inlineStr">
        <is>
          <t>Warrant reserve</t>
        </is>
      </c>
      <c r="B212" s="11" t="n"/>
      <c r="C212" s="11" t="n"/>
      <c r="D212" s="9" t="n"/>
    </row>
    <row r="213" ht="18" customHeight="1">
      <c r="A213" s="10" t="inlineStr">
        <is>
          <t>Other non-distributable reserves</t>
        </is>
      </c>
      <c r="B213" s="11" t="n"/>
      <c r="C213" s="11" t="n"/>
      <c r="D213" s="9" t="n"/>
    </row>
    <row r="214" ht="18" customHeight="1">
      <c r="A214" s="12" t="inlineStr">
        <is>
          <t>Total non-distributable reserves</t>
        </is>
      </c>
      <c r="B214" s="13">
        <f>1*B206+1*B207+1*B208+1*B209+1*B210+1*B211+1*B213+1*B212</f>
        <v/>
      </c>
      <c r="C214" s="13">
        <f>1*C206+1*C207+1*C208+1*C209+1*C210+1*C211+1*C213+1*C212</f>
        <v/>
      </c>
      <c r="D214" s="14" t="n"/>
    </row>
    <row r="215" ht="18" customHeight="1">
      <c r="A215" s="4" t="inlineStr">
        <is>
          <t>Distributable</t>
        </is>
      </c>
      <c r="B215" s="5" t="n"/>
      <c r="C215" s="5" t="n"/>
      <c r="D215" s="6" t="n"/>
    </row>
    <row r="216" ht="18" customHeight="1">
      <c r="A216" s="10" t="inlineStr">
        <is>
          <t>Fair value reserves</t>
        </is>
      </c>
      <c r="B216" s="11" t="n">
        <v>-64999</v>
      </c>
      <c r="C216" s="11" t="n">
        <v>-64999</v>
      </c>
      <c r="D216" s="9" t="inlineStr">
        <is>
          <t>Page 16, Fair value reserve</t>
        </is>
      </c>
    </row>
    <row r="217" ht="18" customHeight="1">
      <c r="A217" s="10" t="inlineStr">
        <is>
          <t>Reserve of non-current assets classified as held for sale</t>
        </is>
      </c>
      <c r="B217" s="11" t="n"/>
      <c r="C217" s="11" t="n"/>
      <c r="D217" s="9" t="n"/>
    </row>
    <row r="218" ht="18" customHeight="1">
      <c r="A218" s="10" t="inlineStr">
        <is>
          <t>Consolidation reserve</t>
        </is>
      </c>
      <c r="B218" s="11" t="n"/>
      <c r="C218" s="11" t="n"/>
      <c r="D218" s="9" t="n"/>
    </row>
    <row r="219" ht="18" customHeight="1">
      <c r="A219" s="10" t="inlineStr">
        <is>
          <t>Warranty reserve</t>
        </is>
      </c>
      <c r="B219" s="11" t="n"/>
      <c r="C219" s="11" t="n"/>
      <c r="D219" s="9" t="n"/>
    </row>
    <row r="220" ht="18" customHeight="1">
      <c r="A220" s="10" t="inlineStr">
        <is>
          <t>Other distributable reserves</t>
        </is>
      </c>
      <c r="B220" s="11" t="n"/>
      <c r="C220" s="11" t="n"/>
      <c r="D220" s="9" t="n"/>
    </row>
    <row r="221" ht="18" customHeight="1">
      <c r="A221" s="12" t="inlineStr">
        <is>
          <t>Total distributable reserves</t>
        </is>
      </c>
      <c r="B221" s="13">
        <f>1*B216+1*B217+1*B218+1*B219+1*B220</f>
        <v/>
      </c>
      <c r="C221" s="13">
        <f>1*C216+1*C217+1*C218+1*C219+1*C220</f>
        <v/>
      </c>
      <c r="D221" s="14" t="n"/>
    </row>
    <row r="222" ht="18" customHeight="1">
      <c r="A222" s="12" t="inlineStr">
        <is>
          <t>*Total reserves</t>
        </is>
      </c>
      <c r="B222" s="13">
        <f>1*B214+1*B221</f>
        <v/>
      </c>
      <c r="C222" s="13">
        <f>1*C214+1*C221</f>
        <v/>
      </c>
      <c r="D222" s="14" t="n"/>
    </row>
    <row r="223" ht="18" customHeight="1">
      <c r="A223" s="4" t="inlineStr">
        <is>
          <t>Equity - others components</t>
        </is>
      </c>
      <c r="B223" s="5" t="n"/>
      <c r="C223" s="5" t="n"/>
      <c r="D223" s="6" t="n"/>
    </row>
    <row r="224" ht="18" customHeight="1">
      <c r="A224" s="10" t="inlineStr">
        <is>
          <t>Perpetual sukuk</t>
        </is>
      </c>
      <c r="B224" s="11" t="n"/>
      <c r="C224" s="11" t="n"/>
      <c r="D224" s="9" t="n"/>
    </row>
    <row r="225" ht="18" customHeight="1">
      <c r="A225" s="10" t="inlineStr">
        <is>
          <t>Equity component of Irredeemable Convertible Unsecured Loan Stocks (ICULS)</t>
        </is>
      </c>
      <c r="B225" s="11" t="n"/>
      <c r="C225" s="11" t="n"/>
      <c r="D225" s="9" t="n"/>
    </row>
    <row r="226" ht="18" customHeight="1">
      <c r="A226" s="10" t="inlineStr">
        <is>
          <t>Equity component of preference shares</t>
        </is>
      </c>
      <c r="B226" s="11" t="n"/>
      <c r="C226" s="11" t="n"/>
      <c r="D226" s="9" t="n"/>
    </row>
    <row r="227" ht="18" customHeight="1">
      <c r="A227" s="10" t="inlineStr">
        <is>
          <t>Head office accounts</t>
        </is>
      </c>
      <c r="B227" s="11" t="n"/>
      <c r="C227" s="11" t="n"/>
      <c r="D227" s="9" t="n"/>
    </row>
    <row r="228" ht="18" customHeight="1">
      <c r="A228" s="10" t="inlineStr">
        <is>
          <t>Equity components of other financial instruments</t>
        </is>
      </c>
      <c r="B228" s="11" t="n"/>
      <c r="C228" s="11" t="n"/>
      <c r="D228" s="9" t="n"/>
    </row>
    <row r="229" ht="18" customHeight="1">
      <c r="A229" s="12" t="inlineStr">
        <is>
          <t>*Total equity - other components</t>
        </is>
      </c>
      <c r="B229" s="13">
        <f>1*B224+1*B225+1*B226+1*B227+1*B228</f>
        <v/>
      </c>
      <c r="C229" s="13">
        <f>1*C224+1*C225+1*C226+1*C227+1*C228</f>
        <v/>
      </c>
      <c r="D229" s="14" t="n"/>
    </row>
    <row r="230" ht="18" customHeight="1">
      <c r="A230" s="4" t="inlineStr">
        <is>
          <t>Non-current borrowings</t>
        </is>
      </c>
      <c r="B230" s="5" t="n"/>
      <c r="C230" s="5" t="n"/>
      <c r="D230" s="6" t="n"/>
    </row>
    <row r="231" ht="18" customHeight="1">
      <c r="A231" s="4" t="inlineStr">
        <is>
          <t>Non-current portion of non-current secured bank loans received</t>
        </is>
      </c>
      <c r="B231" s="5" t="n"/>
      <c r="C231" s="5" t="n"/>
      <c r="D231" s="6" t="n"/>
    </row>
    <row r="232" ht="18" customHeight="1">
      <c r="A232" s="10" t="inlineStr">
        <is>
          <t>Term loans</t>
        </is>
      </c>
      <c r="B232" s="11" t="n">
        <v>216601250</v>
      </c>
      <c r="C232" s="11" t="n">
        <v>245169934</v>
      </c>
      <c r="D232" s="9" t="inlineStr">
        <is>
          <t>Page 17, Bank term loans (non-current)</t>
        </is>
      </c>
    </row>
    <row r="233" ht="18" customHeight="1">
      <c r="A233" s="10" t="inlineStr">
        <is>
          <t>Islamic financing facilities</t>
        </is>
      </c>
      <c r="B233" s="11" t="n"/>
      <c r="C233" s="11" t="n"/>
      <c r="D233" s="9" t="n"/>
    </row>
    <row r="234" ht="18" customHeight="1">
      <c r="A234" s="10" t="inlineStr">
        <is>
          <t>Hire purchase and finance lease liabilities</t>
        </is>
      </c>
      <c r="B234" s="11" t="n">
        <v>0</v>
      </c>
      <c r="C234" s="11" t="n">
        <v>10173</v>
      </c>
      <c r="D234" s="9" t="inlineStr">
        <is>
          <t>Page 17, Hire purchase payables (non-current)</t>
        </is>
      </c>
    </row>
    <row r="235" ht="18" customHeight="1">
      <c r="A235" s="10" t="inlineStr">
        <is>
          <t>Islamic medium term notes</t>
        </is>
      </c>
      <c r="B235" s="11" t="n"/>
      <c r="C235" s="11" t="n"/>
      <c r="D235" s="9" t="n"/>
    </row>
    <row r="236" ht="18" customHeight="1">
      <c r="A236" s="10" t="inlineStr">
        <is>
          <t>Sukuk</t>
        </is>
      </c>
      <c r="B236" s="11" t="n"/>
      <c r="C236" s="11" t="n"/>
      <c r="D236" s="9" t="n"/>
    </row>
    <row r="237" ht="18" customHeight="1">
      <c r="A237" s="10" t="inlineStr">
        <is>
          <t>Revolving credit and others</t>
        </is>
      </c>
      <c r="B237" s="11" t="n"/>
      <c r="C237" s="11" t="n"/>
      <c r="D237" s="9" t="n"/>
    </row>
    <row r="238" ht="18" customHeight="1">
      <c r="A238" s="10" t="inlineStr">
        <is>
          <t>Other secured bank loans</t>
        </is>
      </c>
      <c r="B238" s="11" t="n"/>
      <c r="C238" s="11" t="n"/>
      <c r="D238" s="9" t="n"/>
    </row>
    <row r="239" ht="18" customHeight="1">
      <c r="A239" s="12" t="inlineStr">
        <is>
          <t>Total non-current portion of non-current secured bank loans received</t>
        </is>
      </c>
      <c r="B239" s="13">
        <f>1*B232+1*B233+1*B234+1*B235+1*B236+1*B237+1*B238</f>
        <v/>
      </c>
      <c r="C239" s="13">
        <f>1*C232+1*C233+1*C234+1*C235+1*C236+1*C237+1*C238</f>
        <v/>
      </c>
      <c r="D239" s="14" t="n"/>
    </row>
    <row r="240" ht="18" customHeight="1">
      <c r="A240" s="4" t="inlineStr">
        <is>
          <t>Non-current portion of non-current unsecured bank loans received</t>
        </is>
      </c>
      <c r="B240" s="5" t="n"/>
      <c r="C240" s="5" t="n"/>
      <c r="D240" s="6" t="n"/>
    </row>
    <row r="241" ht="18" customHeight="1">
      <c r="A241" s="10" t="inlineStr">
        <is>
          <t>Term loans</t>
        </is>
      </c>
      <c r="B241" s="11" t="n"/>
      <c r="C241" s="11" t="n"/>
      <c r="D241" s="9" t="n"/>
    </row>
    <row r="242" ht="18" customHeight="1">
      <c r="A242" s="10" t="inlineStr">
        <is>
          <t>Irredeemable Convertible Unsecured Loan Stocks (ICULS)</t>
        </is>
      </c>
      <c r="B242" s="11" t="n"/>
      <c r="C242" s="11" t="n"/>
      <c r="D242" s="9" t="n"/>
    </row>
    <row r="243" ht="18" customHeight="1">
      <c r="A243" s="10" t="inlineStr">
        <is>
          <t>Islamic financing facilities</t>
        </is>
      </c>
      <c r="B243" s="11" t="n"/>
      <c r="C243" s="11" t="n"/>
      <c r="D243" s="9" t="n"/>
    </row>
    <row r="244" ht="18" customHeight="1">
      <c r="A244" s="10" t="inlineStr">
        <is>
          <t>Hire purchase and finance lease liabilities</t>
        </is>
      </c>
      <c r="B244" s="11" t="n"/>
      <c r="C244" s="11" t="n"/>
      <c r="D244" s="9" t="n"/>
    </row>
    <row r="245" ht="18" customHeight="1">
      <c r="A245" s="10" t="inlineStr">
        <is>
          <t>Islamic medium term notes</t>
        </is>
      </c>
      <c r="B245" s="11" t="n"/>
      <c r="C245" s="11" t="n"/>
      <c r="D245" s="9" t="n"/>
    </row>
    <row r="246" ht="18" customHeight="1">
      <c r="A246" s="10" t="inlineStr">
        <is>
          <t>Sukuk</t>
        </is>
      </c>
      <c r="B246" s="11" t="n"/>
      <c r="C246" s="11" t="n"/>
      <c r="D246" s="9" t="n"/>
    </row>
    <row r="247" ht="18" customHeight="1">
      <c r="A247" s="10" t="inlineStr">
        <is>
          <t>Revolving credit and others</t>
        </is>
      </c>
      <c r="B247" s="11" t="n"/>
      <c r="C247" s="11" t="n"/>
      <c r="D247" s="9" t="n"/>
    </row>
    <row r="248" ht="18" customHeight="1">
      <c r="A248" s="10" t="inlineStr">
        <is>
          <t>Other unsecured bank loans received</t>
        </is>
      </c>
      <c r="B248" s="11" t="n"/>
      <c r="C248" s="11" t="n"/>
      <c r="D248" s="9" t="n"/>
    </row>
    <row r="249" ht="18" customHeight="1">
      <c r="A249" s="12" t="inlineStr">
        <is>
          <t>Total non-current portion of non-current unsecured bank loans received</t>
        </is>
      </c>
      <c r="B249" s="13">
        <f>1*B241+1*B242+1*B243+1*B244+1*B245+1*B246+1*B247+1*B248</f>
        <v/>
      </c>
      <c r="C249" s="13">
        <f>1*C241+1*C242+1*C243+1*C244+1*C245+1*C246+1*C247+1*C248</f>
        <v/>
      </c>
      <c r="D249" s="14" t="n"/>
    </row>
    <row r="250" ht="18" customHeight="1">
      <c r="A250" s="4" t="inlineStr">
        <is>
          <t>Non-current portion of secured bonds, sukuk and loan stock</t>
        </is>
      </c>
      <c r="B250" s="5" t="n"/>
      <c r="C250" s="5" t="n"/>
      <c r="D250" s="6" t="n"/>
    </row>
    <row r="251" ht="18" customHeight="1">
      <c r="A251" s="10" t="inlineStr">
        <is>
          <t>Bonds</t>
        </is>
      </c>
      <c r="B251" s="11" t="n"/>
      <c r="C251" s="11" t="n"/>
      <c r="D251" s="9" t="n"/>
    </row>
    <row r="252" ht="18" customHeight="1">
      <c r="A252" s="10" t="inlineStr">
        <is>
          <t>Sukuk</t>
        </is>
      </c>
      <c r="B252" s="11" t="n"/>
      <c r="C252" s="11" t="n"/>
      <c r="D252" s="9" t="n"/>
    </row>
    <row r="253" ht="18" customHeight="1">
      <c r="A253" s="10" t="inlineStr">
        <is>
          <t>Medium term notes</t>
        </is>
      </c>
      <c r="B253" s="11" t="n"/>
      <c r="C253" s="11" t="n"/>
      <c r="D253" s="9" t="n"/>
    </row>
    <row r="254" ht="18" customHeight="1">
      <c r="A254" s="10" t="inlineStr">
        <is>
          <t>Loan stocks</t>
        </is>
      </c>
      <c r="B254" s="11" t="n"/>
      <c r="C254" s="11" t="n"/>
      <c r="D254" s="9" t="n"/>
    </row>
    <row r="255" ht="18" customHeight="1">
      <c r="A255" s="10" t="inlineStr">
        <is>
          <t>Preference shares</t>
        </is>
      </c>
      <c r="B255" s="11" t="n"/>
      <c r="C255" s="11" t="n"/>
      <c r="D255" s="9" t="n"/>
    </row>
    <row r="256" ht="18" customHeight="1">
      <c r="A256" s="12" t="inlineStr">
        <is>
          <t>Total non-current portion of secured bonds/sukuk/loan stocks</t>
        </is>
      </c>
      <c r="B256" s="13">
        <f>1*B251+1*B252+1*B253+1*B254+1*B255</f>
        <v/>
      </c>
      <c r="C256" s="13">
        <f>1*C251+1*C252+1*C253+1*C254+1*C255</f>
        <v/>
      </c>
      <c r="D256" s="14" t="n"/>
    </row>
    <row r="257" ht="18" customHeight="1">
      <c r="A257" s="4" t="inlineStr">
        <is>
          <t>Non-current portion of unsecured bonds, sukuk and loan stock</t>
        </is>
      </c>
      <c r="B257" s="5" t="n"/>
      <c r="C257" s="5" t="n"/>
      <c r="D257" s="6" t="n"/>
    </row>
    <row r="258" ht="18" customHeight="1">
      <c r="A258" s="10" t="inlineStr">
        <is>
          <t>Bonds</t>
        </is>
      </c>
      <c r="B258" s="11" t="n"/>
      <c r="C258" s="11" t="n"/>
      <c r="D258" s="9" t="n"/>
    </row>
    <row r="259" ht="18" customHeight="1">
      <c r="A259" s="10" t="inlineStr">
        <is>
          <t>Sukuk</t>
        </is>
      </c>
      <c r="B259" s="11" t="n"/>
      <c r="C259" s="11" t="n"/>
      <c r="D259" s="9" t="n"/>
    </row>
    <row r="260" ht="18" customHeight="1">
      <c r="A260" s="10" t="inlineStr">
        <is>
          <t>Medium term notes</t>
        </is>
      </c>
      <c r="B260" s="11" t="n"/>
      <c r="C260" s="11" t="n"/>
      <c r="D260" s="9" t="n"/>
    </row>
    <row r="261" ht="18" customHeight="1">
      <c r="A261" s="10" t="inlineStr">
        <is>
          <t>Loan stocks</t>
        </is>
      </c>
      <c r="B261" s="11" t="n"/>
      <c r="C261" s="11" t="n"/>
      <c r="D261" s="9" t="n"/>
    </row>
    <row r="262" ht="18" customHeight="1">
      <c r="A262" s="10" t="inlineStr">
        <is>
          <t>Preference shares</t>
        </is>
      </c>
      <c r="B262" s="11" t="n"/>
      <c r="C262" s="11" t="n"/>
      <c r="D262" s="9" t="n"/>
    </row>
    <row r="263" ht="18" customHeight="1">
      <c r="A263" s="12" t="inlineStr">
        <is>
          <t>Total non-current portion of unsecured bonds/sukuk/loan stocks</t>
        </is>
      </c>
      <c r="B263" s="13">
        <f>1*B278+1*B259+1*B260+1*B261+1*B262</f>
        <v/>
      </c>
      <c r="C263" s="13">
        <f>1*C278+1*C259+1*C260+1*C261+1*C262</f>
        <v/>
      </c>
      <c r="D263" s="14" t="n"/>
    </row>
    <row r="264" ht="18" customHeight="1">
      <c r="A264" s="4" t="inlineStr">
        <is>
          <t>Other non-current borrowings</t>
        </is>
      </c>
      <c r="B264" s="5" t="n"/>
      <c r="C264" s="5" t="n"/>
      <c r="D264" s="6" t="n"/>
    </row>
    <row r="265" ht="18" customHeight="1">
      <c r="A265" s="10" t="inlineStr">
        <is>
          <t>Loan from subsidiaries</t>
        </is>
      </c>
      <c r="B265" s="11" t="n"/>
      <c r="C265" s="11" t="n"/>
      <c r="D265" s="9" t="n"/>
    </row>
    <row r="266" ht="18" customHeight="1">
      <c r="A266" s="10" t="inlineStr">
        <is>
          <t>Loan from associates</t>
        </is>
      </c>
      <c r="B266" s="11" t="n"/>
      <c r="C266" s="11" t="n"/>
      <c r="D266" s="9" t="n"/>
    </row>
    <row r="267" ht="18" customHeight="1">
      <c r="A267" s="10" t="inlineStr">
        <is>
          <t>Loan from joint ventures</t>
        </is>
      </c>
      <c r="B267" s="11" t="n"/>
      <c r="C267" s="11" t="n"/>
      <c r="D267" s="9" t="n"/>
    </row>
    <row r="268" ht="18" customHeight="1">
      <c r="A268" s="10" t="inlineStr">
        <is>
          <t>Redeemable preference shares</t>
        </is>
      </c>
      <c r="B268" s="11" t="n"/>
      <c r="C268" s="11" t="n"/>
      <c r="D268" s="9" t="n"/>
    </row>
    <row r="269" ht="18" customHeight="1">
      <c r="A269" s="10" t="inlineStr">
        <is>
          <t>Other non-current borrowings</t>
        </is>
      </c>
      <c r="B269" s="11" t="n"/>
      <c r="C269" s="11" t="n"/>
      <c r="D269" s="9" t="n"/>
    </row>
    <row r="270" ht="18" customHeight="1">
      <c r="A270" s="12" t="inlineStr">
        <is>
          <t>Total other non-current borrowings</t>
        </is>
      </c>
      <c r="B270" s="13">
        <f>1*B265+1*B266+1*B267+1*B268+1*B269</f>
        <v/>
      </c>
      <c r="C270" s="13">
        <f>1*C265+1*C266+1*C267+1*C268+1*C269</f>
        <v/>
      </c>
      <c r="D270" s="14" t="n"/>
    </row>
    <row r="271" ht="18" customHeight="1">
      <c r="A271" s="12" t="inlineStr">
        <is>
          <t>*Total non-current borrowings</t>
        </is>
      </c>
      <c r="B271" s="13">
        <f>1*B239+1*B249+1*B256+1*B263+1*B270</f>
        <v/>
      </c>
      <c r="C271" s="13">
        <f>1*C239+1*C249+1*C256+1*C263+1*C270</f>
        <v/>
      </c>
      <c r="D271" s="14" t="n"/>
    </row>
    <row r="272" ht="18" customHeight="1">
      <c r="A272" s="4" t="inlineStr">
        <is>
          <t>Non-current employee benefit liabilities</t>
        </is>
      </c>
      <c r="B272" s="5" t="n"/>
      <c r="C272" s="5" t="n"/>
      <c r="D272" s="6" t="n"/>
    </row>
    <row r="273" ht="18" customHeight="1">
      <c r="A273" s="10" t="inlineStr">
        <is>
          <t>Cash-settled share-based payment liability</t>
        </is>
      </c>
      <c r="B273" s="11" t="n"/>
      <c r="C273" s="11" t="n"/>
      <c r="D273" s="9" t="n"/>
    </row>
    <row r="274" ht="18" customHeight="1">
      <c r="A274" s="10" t="inlineStr">
        <is>
          <t>Retirement benefits</t>
        </is>
      </c>
      <c r="B274" s="11" t="n"/>
      <c r="C274" s="11" t="n"/>
      <c r="D274" s="9" t="n"/>
    </row>
    <row r="275" ht="18" customHeight="1">
      <c r="A275" s="10" t="inlineStr">
        <is>
          <t>Employment termination benefits</t>
        </is>
      </c>
      <c r="B275" s="11" t="n"/>
      <c r="C275" s="11" t="n"/>
      <c r="D275" s="9" t="n"/>
    </row>
    <row r="276" ht="18" customHeight="1">
      <c r="A276" s="10" t="inlineStr">
        <is>
          <t>Provision for unconsumed leave</t>
        </is>
      </c>
      <c r="B276" s="11" t="n"/>
      <c r="C276" s="11" t="n"/>
      <c r="D276" s="9" t="n"/>
    </row>
    <row r="277" ht="18" customHeight="1">
      <c r="A277" s="10" t="inlineStr">
        <is>
          <t>Defined contribution plan</t>
        </is>
      </c>
      <c r="B277" s="11" t="n"/>
      <c r="C277" s="11" t="n"/>
      <c r="D277" s="9" t="n"/>
    </row>
    <row r="278" ht="18" customHeight="1">
      <c r="A278" s="10" t="inlineStr">
        <is>
          <t>Defined benefit plan</t>
        </is>
      </c>
      <c r="B278" s="11" t="n"/>
      <c r="C278" s="11" t="n"/>
      <c r="D278" s="9" t="n"/>
    </row>
    <row r="279" ht="18" customHeight="1">
      <c r="A279" s="10" t="inlineStr">
        <is>
          <t>Other non-current employee benefit liabilities</t>
        </is>
      </c>
      <c r="B279" s="11" t="n"/>
      <c r="C279" s="11" t="n"/>
      <c r="D279" s="9" t="n"/>
    </row>
    <row r="280" ht="18" customHeight="1">
      <c r="A280" s="12" t="inlineStr">
        <is>
          <t>*Total non-current employee benefit liabilities</t>
        </is>
      </c>
      <c r="B280" s="13">
        <f>1*B273+1*B274+1*B275+1*B276+1*B277+1*B278+1*B279</f>
        <v/>
      </c>
      <c r="C280" s="13">
        <f>1*C273+1*C274+1*C275+1*C276+1*C277+1*C278+1*C279</f>
        <v/>
      </c>
      <c r="D280" s="14" t="n"/>
    </row>
    <row r="281" ht="18" customHeight="1">
      <c r="A281" s="4" t="inlineStr">
        <is>
          <t>Non-current provisions</t>
        </is>
      </c>
      <c r="B281" s="5" t="n"/>
      <c r="C281" s="5" t="n"/>
      <c r="D281" s="6" t="n"/>
    </row>
    <row r="282" ht="18" customHeight="1">
      <c r="A282" s="10" t="inlineStr">
        <is>
          <t>Warranty provision</t>
        </is>
      </c>
      <c r="B282" s="11" t="n"/>
      <c r="C282" s="11" t="n"/>
      <c r="D282" s="9" t="n"/>
    </row>
    <row r="283" ht="18" customHeight="1">
      <c r="A283" s="10" t="inlineStr">
        <is>
          <t>Restructuring provision</t>
        </is>
      </c>
      <c r="B283" s="11" t="n"/>
      <c r="C283" s="11" t="n"/>
      <c r="D283" s="9" t="n"/>
    </row>
    <row r="284" ht="18" customHeight="1">
      <c r="A284" s="10" t="inlineStr">
        <is>
          <t>Legal proceedings provision</t>
        </is>
      </c>
      <c r="B284" s="11" t="n"/>
      <c r="C284" s="11" t="n"/>
      <c r="D284" s="9" t="n"/>
    </row>
    <row r="285" ht="18" customHeight="1">
      <c r="A285" s="10" t="inlineStr">
        <is>
          <t>Refund provision</t>
        </is>
      </c>
      <c r="B285" s="11" t="n"/>
      <c r="C285" s="11" t="n"/>
      <c r="D285" s="9" t="n"/>
    </row>
    <row r="286" ht="18" customHeight="1">
      <c r="A286" s="10" t="inlineStr">
        <is>
          <t>Onerous contracts provision</t>
        </is>
      </c>
      <c r="B286" s="11" t="n"/>
      <c r="C286" s="11" t="n"/>
      <c r="D286" s="9" t="n"/>
    </row>
    <row r="287" ht="18" customHeight="1">
      <c r="A287" s="10" t="inlineStr">
        <is>
          <t>Provision for decommissioning, restoration and rehabilitation costs</t>
        </is>
      </c>
      <c r="B287" s="11" t="n"/>
      <c r="C287" s="11" t="n"/>
      <c r="D287" s="9" t="n"/>
    </row>
    <row r="288" ht="18" customHeight="1">
      <c r="A288" s="10" t="inlineStr">
        <is>
          <t>Other non-current provisions</t>
        </is>
      </c>
      <c r="B288" s="11" t="n"/>
      <c r="C288" s="11" t="n"/>
      <c r="D288" s="9" t="n"/>
    </row>
    <row r="289" ht="18" customHeight="1">
      <c r="A289" s="12" t="inlineStr">
        <is>
          <t>*Total non-current provisions</t>
        </is>
      </c>
      <c r="B289" s="13">
        <f>1*B282+1*B283+1*B284+1*B285+1*B286+1*B287+1*B288</f>
        <v/>
      </c>
      <c r="C289" s="13">
        <f>1*C282+1*C283+1*C284+1*C285+1*C286+1*C287+1*C288</f>
        <v/>
      </c>
      <c r="D289" s="14" t="n"/>
    </row>
    <row r="290" ht="18" customHeight="1">
      <c r="A290" s="4" t="inlineStr">
        <is>
          <t>Trade and other non-current payables</t>
        </is>
      </c>
      <c r="B290" s="5" t="n"/>
      <c r="C290" s="5" t="n"/>
      <c r="D290" s="6" t="n"/>
    </row>
    <row r="291" ht="18" customHeight="1">
      <c r="A291" s="4" t="inlineStr">
        <is>
          <t>Non-current trade payables</t>
        </is>
      </c>
      <c r="B291" s="5" t="n"/>
      <c r="C291" s="5" t="n"/>
      <c r="D291" s="6" t="n"/>
    </row>
    <row r="292" ht="18" customHeight="1">
      <c r="A292" s="10" t="inlineStr">
        <is>
          <t>Trade payables</t>
        </is>
      </c>
      <c r="B292" s="11" t="n"/>
      <c r="C292" s="11" t="n"/>
      <c r="D292" s="9" t="n"/>
    </row>
    <row r="293" ht="18" customHeight="1">
      <c r="A293" s="10" t="inlineStr">
        <is>
          <t>Trade payables due to holding company</t>
        </is>
      </c>
      <c r="B293" s="11" t="n"/>
      <c r="C293" s="11" t="n"/>
      <c r="D293" s="9" t="n"/>
    </row>
    <row r="294" ht="18" customHeight="1">
      <c r="A294" s="10" t="inlineStr">
        <is>
          <t>Trade payables due to subsidiaries</t>
        </is>
      </c>
      <c r="B294" s="11" t="n"/>
      <c r="C294" s="11" t="n"/>
      <c r="D294" s="9" t="n"/>
    </row>
    <row r="295" ht="18" customHeight="1">
      <c r="A295" s="10" t="inlineStr">
        <is>
          <t>Trade payables due to associates</t>
        </is>
      </c>
      <c r="B295" s="11" t="n"/>
      <c r="C295" s="11" t="n"/>
      <c r="D295" s="9" t="n"/>
    </row>
    <row r="296" ht="18" customHeight="1">
      <c r="A296" s="10" t="inlineStr">
        <is>
          <t>Trade payables due to joint ventures</t>
        </is>
      </c>
      <c r="B296" s="11" t="n"/>
      <c r="C296" s="11" t="n"/>
      <c r="D296" s="9" t="n"/>
    </row>
    <row r="297" ht="18" customHeight="1">
      <c r="A297" s="10" t="inlineStr">
        <is>
          <t>Trade payables due to other related parties</t>
        </is>
      </c>
      <c r="B297" s="11" t="n"/>
      <c r="C297" s="11" t="n"/>
      <c r="D297" s="9" t="n"/>
    </row>
    <row r="298" ht="18" customHeight="1">
      <c r="A298" s="10" t="inlineStr">
        <is>
          <t>Other non-current trade payables</t>
        </is>
      </c>
      <c r="B298" s="11" t="n"/>
      <c r="C298" s="11" t="n"/>
      <c r="D298" s="9" t="n"/>
    </row>
    <row r="299" ht="18" customHeight="1">
      <c r="A299" s="12" t="inlineStr">
        <is>
          <t>Total non-current trade payables</t>
        </is>
      </c>
      <c r="B299" s="13">
        <f>1*B292+1*B293+1*B294+1*B295+1*B296+1*B297+1*B298</f>
        <v/>
      </c>
      <c r="C299" s="13">
        <f>1*C292+1*C293+1*C294+1*C295+1*C296+1*C297+1*C298</f>
        <v/>
      </c>
      <c r="D299" s="14" t="n"/>
    </row>
    <row r="300" ht="18" customHeight="1">
      <c r="A300" s="4" t="inlineStr">
        <is>
          <t>Other non-current payables</t>
        </is>
      </c>
      <c r="B300" s="5" t="n"/>
      <c r="C300" s="5" t="n"/>
      <c r="D300" s="6" t="n"/>
    </row>
    <row r="301" ht="18" customHeight="1">
      <c r="A301" s="4" t="inlineStr">
        <is>
          <t>Other non-current payables due to related parties</t>
        </is>
      </c>
      <c r="B301" s="5" t="n"/>
      <c r="C301" s="5" t="n"/>
      <c r="D301" s="6" t="n"/>
    </row>
    <row r="302" ht="18" customHeight="1">
      <c r="A302" s="10" t="inlineStr">
        <is>
          <t>Other payables due to holding company</t>
        </is>
      </c>
      <c r="B302" s="11" t="n"/>
      <c r="C302" s="11" t="n"/>
      <c r="D302" s="9" t="n"/>
    </row>
    <row r="303" ht="18" customHeight="1">
      <c r="A303" s="10" t="inlineStr">
        <is>
          <t>Other payables due to subsidiaries</t>
        </is>
      </c>
      <c r="B303" s="11" t="n"/>
      <c r="C303" s="11" t="n"/>
      <c r="D303" s="9" t="n"/>
    </row>
    <row r="304" ht="18" customHeight="1">
      <c r="A304" s="10" t="inlineStr">
        <is>
          <t>Other payables due to associates</t>
        </is>
      </c>
      <c r="B304" s="11" t="n"/>
      <c r="C304" s="11" t="n"/>
      <c r="D304" s="9" t="n"/>
    </row>
    <row r="305" ht="18" customHeight="1">
      <c r="A305" s="10" t="inlineStr">
        <is>
          <t>Other payables due to joint ventures</t>
        </is>
      </c>
      <c r="B305" s="11" t="n"/>
      <c r="C305" s="11" t="n"/>
      <c r="D305" s="9" t="n"/>
    </row>
    <row r="306" ht="18" customHeight="1">
      <c r="A306" s="10" t="inlineStr">
        <is>
          <t>Other payables due to other related parties</t>
        </is>
      </c>
      <c r="B306" s="11" t="n"/>
      <c r="C306" s="11" t="n"/>
      <c r="D306" s="9" t="n"/>
    </row>
    <row r="307" ht="18" customHeight="1">
      <c r="A307" s="12" t="inlineStr">
        <is>
          <t>Total other non-current payables due to related parties</t>
        </is>
      </c>
      <c r="B307" s="13">
        <f>1*B302+1*B303+1*B304+1*B305+1*B306</f>
        <v/>
      </c>
      <c r="C307" s="13">
        <f>1*C302+1*C303+1*C304+1*C305+1*C306</f>
        <v/>
      </c>
      <c r="D307" s="14" t="n"/>
    </row>
    <row r="308" ht="18" customHeight="1">
      <c r="A308" s="4" t="inlineStr">
        <is>
          <t>Other payables due to non-controlling interests</t>
        </is>
      </c>
      <c r="B308" s="5" t="n"/>
      <c r="C308" s="5" t="n"/>
      <c r="D308" s="6" t="n"/>
    </row>
    <row r="309" ht="18" customHeight="1">
      <c r="A309" s="10" t="inlineStr">
        <is>
          <t>Dividend payable to non-controlling interest</t>
        </is>
      </c>
      <c r="B309" s="11" t="n"/>
      <c r="C309" s="11" t="n"/>
      <c r="D309" s="9" t="n"/>
    </row>
    <row r="310" ht="18" customHeight="1">
      <c r="A310" s="10" t="inlineStr">
        <is>
          <t>Loans from non-controlling interest</t>
        </is>
      </c>
      <c r="B310" s="11" t="n"/>
      <c r="C310" s="11" t="n"/>
      <c r="D310" s="9" t="n"/>
    </row>
    <row r="311" ht="18" customHeight="1">
      <c r="A311" s="10" t="inlineStr">
        <is>
          <t>Miscellaneous payables due to non-controlling interests</t>
        </is>
      </c>
      <c r="B311" s="11" t="n"/>
      <c r="C311" s="11" t="n"/>
      <c r="D311" s="9" t="n"/>
    </row>
    <row r="312" ht="18" customHeight="1">
      <c r="A312" s="12" t="inlineStr">
        <is>
          <t>Total other payables due to non-controlling interests</t>
        </is>
      </c>
      <c r="B312" s="13">
        <f>1*B309+1*B310+1*B311</f>
        <v/>
      </c>
      <c r="C312" s="13">
        <f>1*C309+1*C310+1*C311</f>
        <v/>
      </c>
      <c r="D312" s="14" t="n"/>
    </row>
    <row r="313" ht="18" customHeight="1">
      <c r="A313" s="4" t="inlineStr">
        <is>
          <t>Non-current non-trade payables</t>
        </is>
      </c>
      <c r="B313" s="5" t="n"/>
      <c r="C313" s="5" t="n"/>
      <c r="D313" s="6" t="n"/>
    </row>
    <row r="314" ht="18" customHeight="1">
      <c r="A314" s="10" t="inlineStr">
        <is>
          <t>Deferred income</t>
        </is>
      </c>
      <c r="B314" s="11" t="n"/>
      <c r="C314" s="11" t="n"/>
      <c r="D314" s="9" t="n"/>
    </row>
    <row r="315" ht="18" customHeight="1">
      <c r="A315" s="10" t="inlineStr">
        <is>
          <t>Accruals</t>
        </is>
      </c>
      <c r="B315" s="11" t="n"/>
      <c r="C315" s="11" t="n"/>
      <c r="D315" s="9" t="n"/>
    </row>
    <row r="316" ht="18" customHeight="1">
      <c r="A316" s="10" t="inlineStr">
        <is>
          <t>Retention payable</t>
        </is>
      </c>
      <c r="B316" s="11" t="n"/>
      <c r="C316" s="11" t="n"/>
      <c r="D316" s="9" t="n"/>
    </row>
    <row r="317" ht="18" customHeight="1">
      <c r="A317" s="10" t="inlineStr">
        <is>
          <t>Deposits</t>
        </is>
      </c>
      <c r="B317" s="11" t="n"/>
      <c r="C317" s="11" t="n"/>
      <c r="D317" s="9" t="n"/>
    </row>
    <row r="318" ht="18" customHeight="1">
      <c r="A318" s="10" t="inlineStr">
        <is>
          <t>Other non-current non-trade payables</t>
        </is>
      </c>
      <c r="B318" s="11" t="n">
        <v>4573172</v>
      </c>
      <c r="C318" s="11" t="n">
        <v>4945172</v>
      </c>
      <c r="D318" s="9" t="inlineStr">
        <is>
          <t>Page 17, Amount owing to corporate shareholder of subsidiary company (non-current)</t>
        </is>
      </c>
    </row>
    <row r="319" ht="18" customHeight="1">
      <c r="A319" s="12" t="inlineStr">
        <is>
          <t>Total non-current non-trade payables</t>
        </is>
      </c>
      <c r="B319" s="13">
        <f>1*B314+1*B315+1*B316+1*B317+1*B318</f>
        <v/>
      </c>
      <c r="C319" s="13">
        <f>1*C314+1*C315+1*C316+1*C317+1*C318</f>
        <v/>
      </c>
      <c r="D319" s="14" t="n"/>
    </row>
    <row r="320" ht="18" customHeight="1">
      <c r="A320" s="10" t="inlineStr">
        <is>
          <t>Other non-current payables</t>
        </is>
      </c>
      <c r="B320" s="15">
        <f>1*B307+1*B312+1*B319</f>
        <v/>
      </c>
      <c r="C320" s="15">
        <f>1*C307+1*C312+1*C319</f>
        <v/>
      </c>
      <c r="D320" s="9" t="n"/>
    </row>
    <row r="321" ht="18" customHeight="1">
      <c r="A321" s="12" t="inlineStr">
        <is>
          <t>*Total trade and other non-current payables</t>
        </is>
      </c>
      <c r="B321" s="13">
        <f>1*B299+1*B320</f>
        <v/>
      </c>
      <c r="C321" s="13">
        <f>1*C299+1*C320</f>
        <v/>
      </c>
      <c r="D321" s="14" t="n"/>
    </row>
    <row r="322" ht="18" customHeight="1">
      <c r="A322" s="4" t="inlineStr">
        <is>
          <t>Non-current derivative financial liabilities</t>
        </is>
      </c>
      <c r="B322" s="5" t="n"/>
      <c r="C322" s="5" t="n"/>
      <c r="D322" s="6" t="n"/>
    </row>
    <row r="323" ht="18" customHeight="1">
      <c r="A323" s="4" t="inlineStr">
        <is>
          <t>Non-current derivatives at fair value through profit or loss</t>
        </is>
      </c>
      <c r="B323" s="5" t="n"/>
      <c r="C323" s="5" t="n"/>
      <c r="D323" s="6" t="n"/>
    </row>
    <row r="324" ht="18" customHeight="1">
      <c r="A324" s="10" t="inlineStr">
        <is>
          <t>Forward contract</t>
        </is>
      </c>
      <c r="B324" s="11" t="n"/>
      <c r="C324" s="11" t="n"/>
      <c r="D324" s="9" t="n"/>
    </row>
    <row r="325" ht="18" customHeight="1">
      <c r="A325" s="10" t="inlineStr">
        <is>
          <t>Options</t>
        </is>
      </c>
      <c r="B325" s="11" t="n"/>
      <c r="C325" s="11" t="n"/>
      <c r="D325" s="9" t="n"/>
    </row>
    <row r="326" ht="18" customHeight="1">
      <c r="A326" s="10" t="inlineStr">
        <is>
          <t>Swap</t>
        </is>
      </c>
      <c r="B326" s="11" t="n"/>
      <c r="C326" s="11" t="n"/>
      <c r="D326" s="9" t="n"/>
    </row>
    <row r="327" ht="18" customHeight="1">
      <c r="A327" s="10" t="inlineStr">
        <is>
          <t>Other derivatives</t>
        </is>
      </c>
      <c r="B327" s="11" t="n"/>
      <c r="C327" s="11" t="n"/>
      <c r="D327" s="9" t="n"/>
    </row>
    <row r="328" ht="18" customHeight="1">
      <c r="A328" s="12" t="inlineStr">
        <is>
          <t>Total non-current derivatives at fair value through profit or loss</t>
        </is>
      </c>
      <c r="B328" s="13">
        <f>1*B324+1*B325+1*B326+1*B327</f>
        <v/>
      </c>
      <c r="C328" s="13">
        <f>1*C324+1*C325+1*C326+1*C327</f>
        <v/>
      </c>
      <c r="D328" s="14" t="n"/>
    </row>
    <row r="329" ht="18" customHeight="1">
      <c r="A329" s="4" t="inlineStr">
        <is>
          <t>Non-current Derivates used for hedging</t>
        </is>
      </c>
      <c r="B329" s="5" t="n"/>
      <c r="C329" s="5" t="n"/>
      <c r="D329" s="6" t="n"/>
    </row>
    <row r="330" ht="18" customHeight="1">
      <c r="A330" s="10" t="inlineStr">
        <is>
          <t>Forward contract</t>
        </is>
      </c>
      <c r="B330" s="11" t="n"/>
      <c r="C330" s="11" t="n"/>
      <c r="D330" s="9" t="n"/>
    </row>
    <row r="331" ht="18" customHeight="1">
      <c r="A331" s="10" t="inlineStr">
        <is>
          <t>Options</t>
        </is>
      </c>
      <c r="B331" s="11" t="n"/>
      <c r="C331" s="11" t="n"/>
      <c r="D331" s="9" t="n"/>
    </row>
    <row r="332" ht="18" customHeight="1">
      <c r="A332" s="10" t="inlineStr">
        <is>
          <t>Swap</t>
        </is>
      </c>
      <c r="B332" s="11" t="n"/>
      <c r="C332" s="11" t="n"/>
      <c r="D332" s="9" t="n"/>
    </row>
    <row r="333" ht="18" customHeight="1">
      <c r="A333" s="10" t="inlineStr">
        <is>
          <t>Other derivatives</t>
        </is>
      </c>
      <c r="B333" s="11" t="n"/>
      <c r="C333" s="11" t="n"/>
      <c r="D333" s="9" t="n"/>
    </row>
    <row r="334" ht="18" customHeight="1">
      <c r="A334" s="12" t="inlineStr">
        <is>
          <t>Total non-current derivatives used for hedging</t>
        </is>
      </c>
      <c r="B334" s="13">
        <f>1*B330+1*B331+1*B332+1*B333</f>
        <v/>
      </c>
      <c r="C334" s="13">
        <f>1*C330+1*C331+1*C332+1*C333</f>
        <v/>
      </c>
      <c r="D334" s="14" t="n"/>
    </row>
    <row r="335" ht="18" customHeight="1">
      <c r="A335" s="10" t="inlineStr">
        <is>
          <t>Other non-current derivative financial liabilities</t>
        </is>
      </c>
      <c r="B335" s="11" t="n"/>
      <c r="C335" s="11" t="n"/>
      <c r="D335" s="9" t="n"/>
    </row>
    <row r="336" ht="18" customHeight="1">
      <c r="A336" s="12" t="inlineStr">
        <is>
          <t>*Total non-current derivative financial liabilities</t>
        </is>
      </c>
      <c r="B336" s="13">
        <f>1*B328+1*B334+1*B335</f>
        <v/>
      </c>
      <c r="C336" s="13">
        <f>1*C328+1*C334+1*C335</f>
        <v/>
      </c>
      <c r="D336" s="14" t="n"/>
    </row>
    <row r="337" ht="18" customHeight="1">
      <c r="A337" s="4" t="inlineStr">
        <is>
          <t>Current borrowings</t>
        </is>
      </c>
      <c r="B337" s="5" t="n"/>
      <c r="C337" s="5" t="n"/>
      <c r="D337" s="6" t="n"/>
    </row>
    <row r="338" ht="18" customHeight="1">
      <c r="A338" s="4" t="inlineStr">
        <is>
          <t>Current secured bank loans received and current portion of non-current secured bank loans received</t>
        </is>
      </c>
      <c r="B338" s="5" t="n"/>
      <c r="C338" s="5" t="n"/>
      <c r="D338" s="6" t="n"/>
    </row>
    <row r="339" ht="18" customHeight="1">
      <c r="A339" s="10" t="inlineStr">
        <is>
          <t>Bankers' acceptance</t>
        </is>
      </c>
      <c r="B339" s="11" t="n"/>
      <c r="C339" s="11" t="n"/>
      <c r="D339" s="9" t="n"/>
    </row>
    <row r="340" ht="18" customHeight="1">
      <c r="A340" s="10" t="inlineStr">
        <is>
          <t>Bank overdrafts</t>
        </is>
      </c>
      <c r="B340" s="11" t="n"/>
      <c r="C340" s="11" t="n"/>
      <c r="D340" s="9" t="n"/>
    </row>
    <row r="341" ht="18" customHeight="1">
      <c r="A341" s="10" t="inlineStr">
        <is>
          <t>Trade financing facilities</t>
        </is>
      </c>
      <c r="B341" s="11" t="n"/>
      <c r="C341" s="11" t="n"/>
      <c r="D341" s="9" t="n"/>
    </row>
    <row r="342" ht="18" customHeight="1">
      <c r="A342" s="10" t="inlineStr">
        <is>
          <t>Term loans</t>
        </is>
      </c>
      <c r="B342" s="11" t="n">
        <v>29874727</v>
      </c>
      <c r="C342" s="11" t="n">
        <v>78180944</v>
      </c>
      <c r="D342" s="9" t="inlineStr">
        <is>
          <t>Page 17, Bank term loans (current)</t>
        </is>
      </c>
    </row>
    <row r="343" ht="18" customHeight="1">
      <c r="A343" s="10" t="inlineStr">
        <is>
          <t>Islamic financing facilities</t>
        </is>
      </c>
      <c r="B343" s="11" t="n"/>
      <c r="C343" s="11" t="n"/>
      <c r="D343" s="9" t="n"/>
    </row>
    <row r="344" ht="18" customHeight="1">
      <c r="A344" s="10" t="inlineStr">
        <is>
          <t>Hire purchase and finance lease liabilities</t>
        </is>
      </c>
      <c r="B344" s="11" t="n">
        <v>0</v>
      </c>
      <c r="C344" s="11" t="n">
        <v>218485</v>
      </c>
      <c r="D344" s="9" t="inlineStr">
        <is>
          <t>Page 17, Hire purchase payables (current)</t>
        </is>
      </c>
    </row>
    <row r="345" ht="18" customHeight="1">
      <c r="A345" s="10" t="inlineStr">
        <is>
          <t>Islamic medium term notes</t>
        </is>
      </c>
      <c r="B345" s="11" t="n"/>
      <c r="C345" s="11" t="n"/>
      <c r="D345" s="9" t="n"/>
    </row>
    <row r="346" ht="18" customHeight="1">
      <c r="A346" s="10" t="inlineStr">
        <is>
          <t>Sukuk</t>
        </is>
      </c>
      <c r="B346" s="11" t="n"/>
      <c r="C346" s="11" t="n"/>
      <c r="D346" s="9" t="n"/>
    </row>
    <row r="347" ht="18" customHeight="1">
      <c r="A347" s="10" t="inlineStr">
        <is>
          <t>Revolving credit and others</t>
        </is>
      </c>
      <c r="B347" s="11" t="n"/>
      <c r="C347" s="11" t="n"/>
      <c r="D347" s="9" t="n"/>
    </row>
    <row r="348" ht="18" customHeight="1">
      <c r="A348" s="10" t="inlineStr">
        <is>
          <t>Other secured bank loans received</t>
        </is>
      </c>
      <c r="B348" s="11" t="n"/>
      <c r="C348" s="11" t="n"/>
      <c r="D348" s="9" t="n"/>
    </row>
    <row r="349" ht="18" customHeight="1">
      <c r="A349" s="12" t="inlineStr">
        <is>
          <t>Total current secured bank loans received and current portion of non-current secured bank loans received</t>
        </is>
      </c>
      <c r="B349" s="13">
        <f>1*B339+1*B340+1*B341+1*B342+1*B343+1*B344+1*B345+1*B346+1*B347+1*B348</f>
        <v/>
      </c>
      <c r="C349" s="13">
        <f>1*C339+1*C340+1*C341+1*C342+1*C343+1*C344+1*C345+1*C346+1*C347+1*C348</f>
        <v/>
      </c>
      <c r="D349" s="14" t="n"/>
    </row>
    <row r="350" ht="18" customHeight="1">
      <c r="A350" s="4" t="inlineStr">
        <is>
          <t>Current unsecured bank loans received and current portion of non-current unsecured bank loans received</t>
        </is>
      </c>
      <c r="B350" s="5" t="n"/>
      <c r="C350" s="5" t="n"/>
      <c r="D350" s="6" t="n"/>
    </row>
    <row r="351" ht="18" customHeight="1">
      <c r="A351" s="10" t="inlineStr">
        <is>
          <t>Block discounting payables</t>
        </is>
      </c>
      <c r="B351" s="11" t="n"/>
      <c r="C351" s="11" t="n"/>
      <c r="D351" s="9" t="n"/>
    </row>
    <row r="352" ht="18" customHeight="1">
      <c r="A352" s="10" t="inlineStr">
        <is>
          <t>Term loans</t>
        </is>
      </c>
      <c r="B352" s="11" t="n"/>
      <c r="C352" s="11" t="n"/>
      <c r="D352" s="9" t="n"/>
    </row>
    <row r="353" ht="18" customHeight="1">
      <c r="A353" s="10" t="inlineStr">
        <is>
          <t>Irredeemable convertible unsecured loan stocks (ICULS)</t>
        </is>
      </c>
      <c r="B353" s="11" t="n"/>
      <c r="C353" s="11" t="n"/>
      <c r="D353" s="9" t="n"/>
    </row>
    <row r="354" ht="18" customHeight="1">
      <c r="A354" s="10" t="inlineStr">
        <is>
          <t>Islamic financing facilities</t>
        </is>
      </c>
      <c r="B354" s="11" t="n"/>
      <c r="C354" s="11" t="n"/>
      <c r="D354" s="9" t="n"/>
    </row>
    <row r="355" ht="18" customHeight="1">
      <c r="A355" s="10" t="inlineStr">
        <is>
          <t>Hire purchase and finance lease liabilities</t>
        </is>
      </c>
      <c r="B355" s="11" t="n"/>
      <c r="C355" s="11" t="n"/>
      <c r="D355" s="9" t="n"/>
    </row>
    <row r="356" ht="18" customHeight="1">
      <c r="A356" s="10" t="inlineStr">
        <is>
          <t>Islamic medium term notes</t>
        </is>
      </c>
      <c r="B356" s="11" t="n"/>
      <c r="C356" s="11" t="n"/>
      <c r="D356" s="9" t="n"/>
    </row>
    <row r="357" ht="18" customHeight="1">
      <c r="A357" s="10" t="inlineStr">
        <is>
          <t>Sukuk</t>
        </is>
      </c>
      <c r="B357" s="11" t="n"/>
      <c r="C357" s="11" t="n"/>
      <c r="D357" s="9" t="n"/>
    </row>
    <row r="358" ht="18" customHeight="1">
      <c r="A358" s="10" t="inlineStr">
        <is>
          <t>Revolving credit and others</t>
        </is>
      </c>
      <c r="B358" s="11" t="n"/>
      <c r="C358" s="11" t="n"/>
      <c r="D358" s="9" t="n"/>
    </row>
    <row r="359" ht="18" customHeight="1">
      <c r="A359" s="10" t="inlineStr">
        <is>
          <t>Other unsecured bank loans received</t>
        </is>
      </c>
      <c r="B359" s="11" t="n"/>
      <c r="C359" s="11" t="n"/>
      <c r="D359" s="9" t="n"/>
    </row>
    <row r="360" ht="18" customHeight="1">
      <c r="A360" s="12" t="inlineStr">
        <is>
          <t>Total current unsecured bank loans received and current portion of non-current unsecured bank loans received</t>
        </is>
      </c>
      <c r="B360" s="13">
        <f>1*B351+1*B352+1*B353+1*B354+1*B355+1*B356+1*B357+1*B358+1*B359</f>
        <v/>
      </c>
      <c r="C360" s="13">
        <f>1*C351+1*C352+1*C353+1*C354+1*C355+1*C356+1*C357+1*C358+1*C359</f>
        <v/>
      </c>
      <c r="D360" s="14" t="n"/>
    </row>
    <row r="361" ht="18" customHeight="1">
      <c r="A361" s="4" t="inlineStr">
        <is>
          <t>Current portion of secured bonds/sukuk/loan stocks</t>
        </is>
      </c>
      <c r="B361" s="5" t="n"/>
      <c r="C361" s="5" t="n"/>
      <c r="D361" s="6" t="n"/>
    </row>
    <row r="362" ht="18" customHeight="1">
      <c r="A362" s="10" t="inlineStr">
        <is>
          <t>Bonds</t>
        </is>
      </c>
      <c r="B362" s="11" t="n"/>
      <c r="C362" s="11" t="n"/>
      <c r="D362" s="9" t="n"/>
    </row>
    <row r="363" ht="18" customHeight="1">
      <c r="A363" s="10" t="inlineStr">
        <is>
          <t>Sukuk</t>
        </is>
      </c>
      <c r="B363" s="11" t="n"/>
      <c r="C363" s="11" t="n"/>
      <c r="D363" s="9" t="n"/>
    </row>
    <row r="364" ht="18" customHeight="1">
      <c r="A364" s="10" t="inlineStr">
        <is>
          <t>Medium term notes</t>
        </is>
      </c>
      <c r="B364" s="11" t="n"/>
      <c r="C364" s="11" t="n"/>
      <c r="D364" s="9" t="n"/>
    </row>
    <row r="365" ht="18" customHeight="1">
      <c r="A365" s="10" t="inlineStr">
        <is>
          <t>Loan stocks</t>
        </is>
      </c>
      <c r="B365" s="11" t="n"/>
      <c r="C365" s="11" t="n"/>
      <c r="D365" s="9" t="n"/>
    </row>
    <row r="366" ht="18" customHeight="1">
      <c r="A366" s="10" t="inlineStr">
        <is>
          <t>Preference shares</t>
        </is>
      </c>
      <c r="B366" s="11" t="n"/>
      <c r="C366" s="11" t="n"/>
      <c r="D366" s="9" t="n"/>
    </row>
    <row r="367" ht="18" customHeight="1">
      <c r="A367" s="12" t="inlineStr">
        <is>
          <t>Total current portion of secured bonds/sukuk/loan stocks</t>
        </is>
      </c>
      <c r="B367" s="13">
        <f>1*B382+1*B363+1*B364+1*B365+1*B366</f>
        <v/>
      </c>
      <c r="C367" s="13">
        <f>1*C382+1*C363+1*C364+1*C365+1*C366</f>
        <v/>
      </c>
      <c r="D367" s="14" t="n"/>
    </row>
    <row r="368" ht="18" customHeight="1">
      <c r="A368" s="4" t="inlineStr">
        <is>
          <t>Current portion of unsecured bonds/sukuk/loan stocks</t>
        </is>
      </c>
      <c r="B368" s="5" t="n"/>
      <c r="C368" s="5" t="n"/>
      <c r="D368" s="6" t="n"/>
    </row>
    <row r="369" ht="18" customHeight="1">
      <c r="A369" s="10" t="inlineStr">
        <is>
          <t>Bonds</t>
        </is>
      </c>
      <c r="B369" s="11" t="n"/>
      <c r="C369" s="11" t="n"/>
      <c r="D369" s="9" t="n"/>
    </row>
    <row r="370" ht="18" customHeight="1">
      <c r="A370" s="10" t="inlineStr">
        <is>
          <t>Sukuk</t>
        </is>
      </c>
      <c r="B370" s="11" t="n"/>
      <c r="C370" s="11" t="n"/>
      <c r="D370" s="9" t="n"/>
    </row>
    <row r="371" ht="18" customHeight="1">
      <c r="A371" s="10" t="inlineStr">
        <is>
          <t>Medium term notes</t>
        </is>
      </c>
      <c r="B371" s="11" t="n"/>
      <c r="C371" s="11" t="n"/>
      <c r="D371" s="9" t="n"/>
    </row>
    <row r="372" ht="18" customHeight="1">
      <c r="A372" s="10" t="inlineStr">
        <is>
          <t>Loan stocks</t>
        </is>
      </c>
      <c r="B372" s="11" t="n"/>
      <c r="C372" s="11" t="n"/>
      <c r="D372" s="9" t="n"/>
    </row>
    <row r="373" ht="18" customHeight="1">
      <c r="A373" s="10" t="inlineStr">
        <is>
          <t>Preference shares</t>
        </is>
      </c>
      <c r="B373" s="11" t="n"/>
      <c r="C373" s="11" t="n"/>
      <c r="D373" s="9" t="n"/>
    </row>
    <row r="374" ht="18" customHeight="1">
      <c r="A374" s="12" t="inlineStr">
        <is>
          <t>Total current portion of unsecured bonds/sukuk/loan stocks</t>
        </is>
      </c>
      <c r="B374" s="13">
        <f>1*B389+1*B370+1*B371+1*B372+1*B373</f>
        <v/>
      </c>
      <c r="C374" s="13">
        <f>1*C389+1*C370+1*C371+1*C372+1*C373</f>
        <v/>
      </c>
      <c r="D374" s="14" t="n"/>
    </row>
    <row r="375" ht="18" customHeight="1">
      <c r="A375" s="4" t="inlineStr">
        <is>
          <t>Other current borrowings</t>
        </is>
      </c>
      <c r="B375" s="5" t="n"/>
      <c r="C375" s="5" t="n"/>
      <c r="D375" s="6" t="n"/>
    </row>
    <row r="376" ht="18" customHeight="1">
      <c r="A376" s="10" t="inlineStr">
        <is>
          <t>Trade loans</t>
        </is>
      </c>
      <c r="B376" s="11" t="n"/>
      <c r="C376" s="11" t="n"/>
      <c r="D376" s="9" t="n"/>
    </row>
    <row r="377" ht="18" customHeight="1">
      <c r="A377" s="10" t="inlineStr">
        <is>
          <t>Loan from subsidiaries</t>
        </is>
      </c>
      <c r="B377" s="11" t="n"/>
      <c r="C377" s="11" t="n"/>
      <c r="D377" s="9" t="n"/>
    </row>
    <row r="378" ht="18" customHeight="1">
      <c r="A378" s="10" t="inlineStr">
        <is>
          <t>Loan from associates</t>
        </is>
      </c>
      <c r="B378" s="11" t="n"/>
      <c r="C378" s="11" t="n"/>
      <c r="D378" s="9" t="n"/>
    </row>
    <row r="379" ht="18" customHeight="1">
      <c r="A379" s="10" t="inlineStr">
        <is>
          <t>Loan from joint ventures</t>
        </is>
      </c>
      <c r="B379" s="11" t="n"/>
      <c r="C379" s="11" t="n"/>
      <c r="D379" s="9" t="n"/>
    </row>
    <row r="380" ht="18" customHeight="1">
      <c r="A380" s="10" t="inlineStr">
        <is>
          <t>Redeemable preference shares</t>
        </is>
      </c>
      <c r="B380" s="11" t="n"/>
      <c r="C380" s="11" t="n"/>
      <c r="D380" s="9" t="n"/>
    </row>
    <row r="381" ht="18" customHeight="1">
      <c r="A381" s="10" t="inlineStr">
        <is>
          <t>Other current borrowings</t>
        </is>
      </c>
      <c r="B381" s="11" t="n"/>
      <c r="C381" s="11" t="n"/>
      <c r="D381" s="9" t="n"/>
    </row>
    <row r="382" ht="18" customHeight="1">
      <c r="A382" s="12" t="inlineStr">
        <is>
          <t>Total other current borrowings</t>
        </is>
      </c>
      <c r="B382" s="13">
        <f>1*B376+1*B377+1*B378+1*B379+1*B380+1*B381</f>
        <v/>
      </c>
      <c r="C382" s="13">
        <f>1*C376+1*C377+1*C378+1*C379+1*C380+1*C381</f>
        <v/>
      </c>
      <c r="D382" s="14" t="n"/>
    </row>
    <row r="383" ht="18" customHeight="1">
      <c r="A383" s="12" t="inlineStr">
        <is>
          <t>Total current borrowings</t>
        </is>
      </c>
      <c r="B383" s="13">
        <f>1*B349+1*B360+1*B387+1*B394+1*B382</f>
        <v/>
      </c>
      <c r="C383" s="13">
        <f>1*C349+1*C360+1*C387+1*C394+1*C382</f>
        <v/>
      </c>
      <c r="D383" s="14" t="n"/>
    </row>
    <row r="384" ht="18" customHeight="1">
      <c r="A384" s="4" t="inlineStr">
        <is>
          <t>Current employee benefit liabilities</t>
        </is>
      </c>
      <c r="B384" s="5" t="n"/>
      <c r="C384" s="5" t="n"/>
      <c r="D384" s="6" t="n"/>
    </row>
    <row r="385" ht="18" customHeight="1">
      <c r="A385" s="10" t="inlineStr">
        <is>
          <t>Cash-settled share-based payment liability</t>
        </is>
      </c>
      <c r="B385" s="11" t="n"/>
      <c r="C385" s="11" t="n"/>
      <c r="D385" s="9" t="n"/>
    </row>
    <row r="386" ht="18" customHeight="1">
      <c r="A386" s="10" t="inlineStr">
        <is>
          <t>Retirement benefits</t>
        </is>
      </c>
      <c r="B386" s="11" t="n"/>
      <c r="C386" s="11" t="n"/>
      <c r="D386" s="9" t="n"/>
    </row>
    <row r="387" ht="18" customHeight="1">
      <c r="A387" s="10" t="inlineStr">
        <is>
          <t>Employment termination benefits</t>
        </is>
      </c>
      <c r="B387" s="11" t="n"/>
      <c r="C387" s="11" t="n"/>
      <c r="D387" s="9" t="n"/>
    </row>
    <row r="388" ht="18" customHeight="1">
      <c r="A388" s="10" t="inlineStr">
        <is>
          <t>Provision for unconsumed leave</t>
        </is>
      </c>
      <c r="B388" s="11" t="n"/>
      <c r="C388" s="11" t="n"/>
      <c r="D388" s="9" t="n"/>
    </row>
    <row r="389" ht="18" customHeight="1">
      <c r="A389" s="10" t="inlineStr">
        <is>
          <t>Defined contribution plan</t>
        </is>
      </c>
      <c r="B389" s="11" t="n"/>
      <c r="C389" s="11" t="n"/>
      <c r="D389" s="9" t="n"/>
    </row>
    <row r="390" ht="18" customHeight="1">
      <c r="A390" s="10" t="inlineStr">
        <is>
          <t>Defined benefit plan</t>
        </is>
      </c>
      <c r="B390" s="11" t="n"/>
      <c r="C390" s="11" t="n"/>
      <c r="D390" s="9" t="n"/>
    </row>
    <row r="391" ht="18" customHeight="1">
      <c r="A391" s="10" t="inlineStr">
        <is>
          <t>Other current employee benefit liabilities</t>
        </is>
      </c>
      <c r="B391" s="11" t="n"/>
      <c r="C391" s="11" t="n"/>
      <c r="D391" s="9" t="n"/>
    </row>
    <row r="392" ht="18" customHeight="1">
      <c r="A392" s="12" t="inlineStr">
        <is>
          <t>*Total current employee benefit liabilities</t>
        </is>
      </c>
      <c r="B392" s="13">
        <f>1*B385+1*B386+1*B387+1*B388+1*B389+1*B390+1*B391</f>
        <v/>
      </c>
      <c r="C392" s="13">
        <f>1*C385+1*C386+1*C387+1*C388+1*C389+1*C390+1*C391</f>
        <v/>
      </c>
      <c r="D392" s="14" t="n"/>
    </row>
    <row r="393" ht="18" customHeight="1">
      <c r="A393" s="4" t="inlineStr">
        <is>
          <t>Current provisions</t>
        </is>
      </c>
      <c r="B393" s="5" t="n"/>
      <c r="C393" s="5" t="n"/>
      <c r="D393" s="6" t="n"/>
    </row>
    <row r="394" ht="18" customHeight="1">
      <c r="A394" s="10" t="inlineStr">
        <is>
          <t>Warranty provision</t>
        </is>
      </c>
      <c r="B394" s="11" t="n"/>
      <c r="C394" s="11" t="n"/>
      <c r="D394" s="9" t="n"/>
    </row>
    <row r="395" ht="18" customHeight="1">
      <c r="A395" s="10" t="inlineStr">
        <is>
          <t>Restructuring provision</t>
        </is>
      </c>
      <c r="B395" s="11" t="n"/>
      <c r="C395" s="11" t="n"/>
      <c r="D395" s="9" t="n"/>
    </row>
    <row r="396" ht="18" customHeight="1">
      <c r="A396" s="10" t="inlineStr">
        <is>
          <t>Legal proceedings provision</t>
        </is>
      </c>
      <c r="B396" s="11" t="n"/>
      <c r="C396" s="11" t="n"/>
      <c r="D396" s="9" t="n"/>
    </row>
    <row r="397" ht="18" customHeight="1">
      <c r="A397" s="10" t="inlineStr">
        <is>
          <t>Refunds provision</t>
        </is>
      </c>
      <c r="B397" s="11" t="n"/>
      <c r="C397" s="11" t="n"/>
      <c r="D397" s="9" t="n"/>
    </row>
    <row r="398" ht="18" customHeight="1">
      <c r="A398" s="10" t="inlineStr">
        <is>
          <t>Onerous contracts provision</t>
        </is>
      </c>
      <c r="B398" s="11" t="n"/>
      <c r="C398" s="11" t="n"/>
      <c r="D398" s="9" t="n"/>
    </row>
    <row r="399" ht="18" customHeight="1">
      <c r="A399" s="10" t="inlineStr">
        <is>
          <t>Provision for decommissioning, restoration and rehabilitation costs</t>
        </is>
      </c>
      <c r="B399" s="11" t="n"/>
      <c r="C399" s="11" t="n"/>
      <c r="D399" s="9" t="n"/>
    </row>
    <row r="400" ht="18" customHeight="1">
      <c r="A400" s="10" t="inlineStr">
        <is>
          <t>Other current provisions</t>
        </is>
      </c>
      <c r="B400" s="11" t="n"/>
      <c r="C400" s="11" t="n"/>
      <c r="D400" s="9" t="n"/>
    </row>
    <row r="401" ht="18" customHeight="1">
      <c r="A401" s="12" t="inlineStr">
        <is>
          <t>*Total current provisions</t>
        </is>
      </c>
      <c r="B401" s="13">
        <f>1*B394+1*B395+1*B396+1*B397+1*B398+1*B399+1*B400</f>
        <v/>
      </c>
      <c r="C401" s="13">
        <f>1*C394+1*C395+1*C396+1*C397+1*C398+1*C399+1*C400</f>
        <v/>
      </c>
      <c r="D401" s="14" t="n"/>
    </row>
    <row r="402" ht="18" customHeight="1">
      <c r="A402" s="4" t="inlineStr">
        <is>
          <t>Trade and other current payables</t>
        </is>
      </c>
      <c r="B402" s="5" t="n"/>
      <c r="C402" s="5" t="n"/>
      <c r="D402" s="6" t="n"/>
    </row>
    <row r="403" ht="18" customHeight="1">
      <c r="A403" s="4" t="inlineStr">
        <is>
          <t>Current trade payables</t>
        </is>
      </c>
      <c r="B403" s="5" t="n"/>
      <c r="C403" s="5" t="n"/>
      <c r="D403" s="6" t="n"/>
    </row>
    <row r="404" ht="18" customHeight="1">
      <c r="A404" s="10" t="inlineStr">
        <is>
          <t>Trade payables</t>
        </is>
      </c>
      <c r="B404" s="11" t="n">
        <v>65669077</v>
      </c>
      <c r="C404" s="11" t="n">
        <v>46760294</v>
      </c>
      <c r="D404" s="9" t="inlineStr">
        <is>
          <t>Page 17, Trade payables</t>
        </is>
      </c>
    </row>
    <row r="405" ht="18" customHeight="1">
      <c r="A405" s="10" t="inlineStr">
        <is>
          <t>Trade payable due to contract suppliers</t>
        </is>
      </c>
      <c r="B405" s="11" t="n"/>
      <c r="C405" s="11" t="n"/>
      <c r="D405" s="9" t="n"/>
    </row>
    <row r="406" ht="18" customHeight="1">
      <c r="A406" s="10" t="inlineStr">
        <is>
          <t>Trade payables due to holding company</t>
        </is>
      </c>
      <c r="B406" s="11" t="n">
        <v>2663082</v>
      </c>
      <c r="C406" s="11" t="n">
        <v>1588549</v>
      </c>
      <c r="D406" s="9" t="inlineStr">
        <is>
          <t>Page 17, Amount owing to immediate holding company (current)</t>
        </is>
      </c>
    </row>
    <row r="407" ht="18" customHeight="1">
      <c r="A407" s="10" t="inlineStr">
        <is>
          <t>Trade payables due to subsidiaries</t>
        </is>
      </c>
      <c r="B407" s="11" t="n"/>
      <c r="C407" s="11" t="n"/>
      <c r="D407" s="9" t="n"/>
    </row>
    <row r="408" ht="18" customHeight="1">
      <c r="A408" s="10" t="inlineStr">
        <is>
          <t>Trade payables due to associates</t>
        </is>
      </c>
      <c r="B408" s="11" t="n"/>
      <c r="C408" s="11" t="n"/>
      <c r="D408" s="9" t="n"/>
    </row>
    <row r="409" ht="18" customHeight="1">
      <c r="A409" s="10" t="inlineStr">
        <is>
          <t>Trade payables due to joint ventures</t>
        </is>
      </c>
      <c r="B409" s="11" t="n"/>
      <c r="C409" s="11" t="n"/>
      <c r="D409" s="9" t="n"/>
    </row>
    <row r="410" ht="18" customHeight="1">
      <c r="A410" s="10" t="inlineStr">
        <is>
          <t>Trade payables due to other related parties</t>
        </is>
      </c>
      <c r="B410" s="11" t="n">
        <v>16501689</v>
      </c>
      <c r="C410" s="11" t="n">
        <v>5340283</v>
      </c>
      <c r="D410" s="9" t="inlineStr">
        <is>
          <t>Page 17, Amounts owing to related companies (current)</t>
        </is>
      </c>
    </row>
    <row r="411" ht="18" customHeight="1">
      <c r="A411" s="10" t="inlineStr">
        <is>
          <t>Other current trade payables</t>
        </is>
      </c>
      <c r="B411" s="11" t="n"/>
      <c r="C411" s="11" t="n"/>
      <c r="D411" s="9" t="n"/>
    </row>
    <row r="412" ht="18" customHeight="1">
      <c r="A412" s="12" t="inlineStr">
        <is>
          <t>Total current trade payables</t>
        </is>
      </c>
      <c r="B412" s="13">
        <f>1*B404+1*B405+1*B406+1*B407+1*B408+1*B409+1*B410+1*B411</f>
        <v/>
      </c>
      <c r="C412" s="13">
        <f>1*C404+1*C405+1*C406+1*C407+1*C408+1*C409+1*C410+1*C411</f>
        <v/>
      </c>
      <c r="D412" s="14" t="n"/>
    </row>
    <row r="413" ht="18" customHeight="1">
      <c r="A413" s="4" t="inlineStr">
        <is>
          <t>Other current payables</t>
        </is>
      </c>
      <c r="B413" s="5" t="n"/>
      <c r="C413" s="5" t="n"/>
      <c r="D413" s="6" t="n"/>
    </row>
    <row r="414" ht="18" customHeight="1">
      <c r="A414" s="4" t="inlineStr">
        <is>
          <t xml:space="preserve"> Other current payables due to related parties</t>
        </is>
      </c>
      <c r="B414" s="5" t="n"/>
      <c r="C414" s="5" t="n"/>
      <c r="D414" s="6" t="n"/>
    </row>
    <row r="415" ht="18" customHeight="1">
      <c r="A415" s="10" t="inlineStr">
        <is>
          <t>Other payables due to holding company</t>
        </is>
      </c>
      <c r="B415" s="11" t="n"/>
      <c r="C415" s="11" t="n"/>
      <c r="D415" s="9" t="n"/>
    </row>
    <row r="416" ht="18" customHeight="1">
      <c r="A416" s="10" t="inlineStr">
        <is>
          <t>Other payables due to subsidiaries</t>
        </is>
      </c>
      <c r="B416" s="11" t="n"/>
      <c r="C416" s="11" t="n"/>
      <c r="D416" s="9" t="n"/>
    </row>
    <row r="417" ht="18" customHeight="1">
      <c r="A417" s="10" t="inlineStr">
        <is>
          <t>Other payables due to associates</t>
        </is>
      </c>
      <c r="B417" s="11" t="n"/>
      <c r="C417" s="11" t="n"/>
      <c r="D417" s="9" t="n"/>
    </row>
    <row r="418" ht="18" customHeight="1">
      <c r="A418" s="10" t="inlineStr">
        <is>
          <t>Other payables due to joint ventures</t>
        </is>
      </c>
      <c r="B418" s="11" t="n"/>
      <c r="C418" s="11" t="n"/>
      <c r="D418" s="9" t="n"/>
    </row>
    <row r="419" ht="18" customHeight="1">
      <c r="A419" s="10" t="inlineStr">
        <is>
          <t>Other payables due to other related parties</t>
        </is>
      </c>
      <c r="B419" s="11" t="n"/>
      <c r="C419" s="11" t="n"/>
      <c r="D419" s="9" t="n"/>
    </row>
    <row r="420" ht="18" customHeight="1">
      <c r="A420" s="12" t="inlineStr">
        <is>
          <t>Total other current payables due to related parties</t>
        </is>
      </c>
      <c r="B420" s="13">
        <f>1*B415+1*B416+1*B417+1*B418+1*B419</f>
        <v/>
      </c>
      <c r="C420" s="13">
        <f>1*C415+1*C416+1*C417+1*C418+1*C419</f>
        <v/>
      </c>
      <c r="D420" s="14" t="n"/>
    </row>
    <row r="421" ht="18" customHeight="1">
      <c r="A421" s="4" t="inlineStr">
        <is>
          <t>Other payables due to non-controlling interests</t>
        </is>
      </c>
      <c r="B421" s="5" t="n"/>
      <c r="C421" s="5" t="n"/>
      <c r="D421" s="6" t="n"/>
    </row>
    <row r="422" ht="18" customHeight="1">
      <c r="A422" s="10" t="inlineStr">
        <is>
          <t>Dividend payable to non-controlling interest</t>
        </is>
      </c>
      <c r="B422" s="11" t="n"/>
      <c r="C422" s="11" t="n"/>
      <c r="D422" s="9" t="n"/>
    </row>
    <row r="423" ht="18" customHeight="1">
      <c r="A423" s="10" t="inlineStr">
        <is>
          <t>Loans from non-controlling interest</t>
        </is>
      </c>
      <c r="B423" s="11" t="n"/>
      <c r="C423" s="11" t="n"/>
      <c r="D423" s="9" t="n"/>
    </row>
    <row r="424" ht="18" customHeight="1">
      <c r="A424" s="10" t="inlineStr">
        <is>
          <t>Miscellaneous payable due to non-controlling interests</t>
        </is>
      </c>
      <c r="B424" s="11" t="n"/>
      <c r="C424" s="11" t="n"/>
      <c r="D424" s="9" t="n"/>
    </row>
    <row r="425" ht="18" customHeight="1">
      <c r="A425" s="12" t="inlineStr">
        <is>
          <t>Total other payables due to non-controlling interests</t>
        </is>
      </c>
      <c r="B425" s="13">
        <f>1*B422+1*B423+1*B424</f>
        <v/>
      </c>
      <c r="C425" s="13">
        <f>1*C422+1*C423+1*C424</f>
        <v/>
      </c>
      <c r="D425" s="14" t="n"/>
    </row>
    <row r="426" ht="18" customHeight="1">
      <c r="A426" s="4" t="inlineStr">
        <is>
          <t>Current non-trade payables</t>
        </is>
      </c>
      <c r="B426" s="5" t="n"/>
      <c r="C426" s="5" t="n"/>
      <c r="D426" s="6" t="n"/>
    </row>
    <row r="427" ht="18" customHeight="1">
      <c r="A427" s="10" t="inlineStr">
        <is>
          <t>Accruals</t>
        </is>
      </c>
      <c r="B427" s="11" t="n"/>
      <c r="C427" s="11" t="n"/>
      <c r="D427" s="9" t="n"/>
    </row>
    <row r="428" ht="18" customHeight="1">
      <c r="A428" s="10" t="inlineStr">
        <is>
          <t>Retention payable</t>
        </is>
      </c>
      <c r="B428" s="11" t="n"/>
      <c r="C428" s="11" t="n"/>
      <c r="D428" s="9" t="n"/>
    </row>
    <row r="429" ht="18" customHeight="1">
      <c r="A429" s="10" t="inlineStr">
        <is>
          <t>Deferred income</t>
        </is>
      </c>
      <c r="B429" s="11" t="n"/>
      <c r="C429" s="11" t="n"/>
      <c r="D429" s="9" t="n"/>
    </row>
    <row r="430" ht="18" customHeight="1">
      <c r="A430" s="10" t="inlineStr">
        <is>
          <t>Deposits and advanced billings</t>
        </is>
      </c>
      <c r="B430" s="11" t="n"/>
      <c r="C430" s="11" t="n"/>
      <c r="D430" s="9" t="n"/>
    </row>
    <row r="431" ht="18" customHeight="1">
      <c r="A431" s="10" t="inlineStr">
        <is>
          <t>Financing costs</t>
        </is>
      </c>
      <c r="B431" s="11" t="n"/>
      <c r="C431" s="11" t="n"/>
      <c r="D431" s="9" t="n"/>
    </row>
    <row r="432" ht="18" customHeight="1">
      <c r="A432" s="10" t="inlineStr">
        <is>
          <t>Dividend payable</t>
        </is>
      </c>
      <c r="B432" s="11" t="n"/>
      <c r="C432" s="11" t="n"/>
      <c r="D432" s="9" t="n"/>
    </row>
    <row r="433" ht="18" customHeight="1">
      <c r="A433" s="10" t="inlineStr">
        <is>
          <t>Interest payables</t>
        </is>
      </c>
      <c r="B433" s="11" t="n"/>
      <c r="C433" s="11" t="n"/>
      <c r="D433" s="9" t="n"/>
    </row>
    <row r="434" ht="18" customHeight="1">
      <c r="A434" s="10" t="inlineStr">
        <is>
          <t>Other current non-trade payables</t>
        </is>
      </c>
      <c r="B434" s="11" t="n">
        <v>42696840</v>
      </c>
      <c r="C434" s="11" t="n">
        <v>29336839</v>
      </c>
      <c r="D434" s="9" t="inlineStr">
        <is>
          <t>Page 17, Other payables + Corporate Sh (28849507 + 487332)</t>
        </is>
      </c>
    </row>
    <row r="435" ht="18" customHeight="1">
      <c r="A435" s="12" t="inlineStr">
        <is>
          <t>Total current non-trade payables</t>
        </is>
      </c>
      <c r="B435" s="13">
        <f>1*B427+1*B428+1*B429+1*B430+1*B431+1*B432+1*B433+1*B434</f>
        <v/>
      </c>
      <c r="C435" s="13">
        <f>1*C427+1*C428+1*C429+1*C430+1*C431+1*C432+1*C433+1*C434</f>
        <v/>
      </c>
      <c r="D435" s="14" t="n"/>
    </row>
    <row r="436" ht="18" customHeight="1">
      <c r="A436" s="12" t="inlineStr">
        <is>
          <t>Total other current payables</t>
        </is>
      </c>
      <c r="B436" s="13">
        <f>1*B420+1*B425+1*B435</f>
        <v/>
      </c>
      <c r="C436" s="13">
        <f>1*C420+1*C425+1*C435</f>
        <v/>
      </c>
      <c r="D436" s="14" t="n"/>
    </row>
    <row r="437" ht="18" customHeight="1">
      <c r="A437" s="12" t="inlineStr">
        <is>
          <t>*Total trade and other current payables</t>
        </is>
      </c>
      <c r="B437" s="13">
        <f>1*B412+1*B436</f>
        <v/>
      </c>
      <c r="C437" s="13">
        <f>1*C412+1*C436</f>
        <v/>
      </c>
      <c r="D437" s="14" t="n"/>
    </row>
    <row r="438" ht="18" customHeight="1">
      <c r="A438" s="4" t="inlineStr">
        <is>
          <t>Current derivative financial liabilities</t>
        </is>
      </c>
      <c r="B438" s="5" t="n"/>
      <c r="C438" s="5" t="n"/>
      <c r="D438" s="6" t="n"/>
    </row>
    <row r="439" ht="18" customHeight="1">
      <c r="A439" s="4" t="inlineStr">
        <is>
          <t>Current derivatives at fair value through profit or loss</t>
        </is>
      </c>
      <c r="B439" s="5" t="n"/>
      <c r="C439" s="5" t="n"/>
      <c r="D439" s="6" t="n"/>
    </row>
    <row r="440" ht="18" customHeight="1">
      <c r="A440" s="10" t="inlineStr">
        <is>
          <t>Forward contract</t>
        </is>
      </c>
      <c r="B440" s="11" t="n"/>
      <c r="C440" s="11" t="n"/>
      <c r="D440" s="9" t="n"/>
    </row>
    <row r="441" ht="18" customHeight="1">
      <c r="A441" s="10" t="inlineStr">
        <is>
          <t>Options</t>
        </is>
      </c>
      <c r="B441" s="11" t="n"/>
      <c r="C441" s="11" t="n"/>
      <c r="D441" s="9" t="n"/>
    </row>
    <row r="442" ht="18" customHeight="1">
      <c r="A442" s="10" t="inlineStr">
        <is>
          <t>Swap</t>
        </is>
      </c>
      <c r="B442" s="11" t="n"/>
      <c r="C442" s="11" t="n"/>
      <c r="D442" s="9" t="n"/>
    </row>
    <row r="443" ht="18" customHeight="1">
      <c r="A443" s="10" t="inlineStr">
        <is>
          <t>Other derivatives</t>
        </is>
      </c>
      <c r="B443" s="11" t="n"/>
      <c r="C443" s="11" t="n"/>
      <c r="D443" s="9" t="n"/>
    </row>
    <row r="444" ht="18" customHeight="1">
      <c r="A444" s="12" t="inlineStr">
        <is>
          <t>Total current derivatives at fair value through profit or loss</t>
        </is>
      </c>
      <c r="B444" s="13">
        <f>1*B440+1*B441+1*B442+1*B443</f>
        <v/>
      </c>
      <c r="C444" s="13">
        <f>1*C440+1*C441+1*C442+1*C443</f>
        <v/>
      </c>
      <c r="D444" s="14" t="n"/>
    </row>
    <row r="445" ht="18" customHeight="1">
      <c r="A445" s="4" t="inlineStr">
        <is>
          <t>Current derivatives used for hedging</t>
        </is>
      </c>
      <c r="B445" s="5" t="n"/>
      <c r="C445" s="5" t="n"/>
      <c r="D445" s="6" t="n"/>
    </row>
    <row r="446" ht="18" customHeight="1">
      <c r="A446" s="10" t="inlineStr">
        <is>
          <t>Forward contract</t>
        </is>
      </c>
      <c r="B446" s="15" t="n"/>
      <c r="C446" s="15" t="n"/>
      <c r="D446" s="9" t="n"/>
    </row>
    <row r="447" ht="18" customHeight="1">
      <c r="A447" s="10" t="inlineStr">
        <is>
          <t>Options</t>
        </is>
      </c>
      <c r="B447" s="15" t="n"/>
      <c r="C447" s="15" t="n"/>
      <c r="D447" s="9" t="n"/>
    </row>
    <row r="448" ht="18" customHeight="1">
      <c r="A448" s="10" t="inlineStr">
        <is>
          <t>Swap</t>
        </is>
      </c>
      <c r="B448" s="11" t="n"/>
      <c r="C448" s="11" t="n"/>
      <c r="D448" s="9" t="n"/>
    </row>
    <row r="449" ht="18" customHeight="1">
      <c r="A449" s="10" t="inlineStr">
        <is>
          <t>Other derivatives</t>
        </is>
      </c>
      <c r="B449" s="11" t="n"/>
      <c r="C449" s="11" t="n"/>
      <c r="D449" s="9" t="n"/>
    </row>
    <row r="450" ht="18" customHeight="1">
      <c r="A450" s="12" t="inlineStr">
        <is>
          <t>Total current derivatives used for hedging</t>
        </is>
      </c>
      <c r="B450" s="13">
        <f>1*B446+1*B447+1*B448+1*B449</f>
        <v/>
      </c>
      <c r="C450" s="13">
        <f>1*C446+1*C447+1*C448+1*C449</f>
        <v/>
      </c>
      <c r="D450" s="14" t="n"/>
    </row>
    <row r="451" ht="18" customHeight="1">
      <c r="A451" s="10" t="inlineStr">
        <is>
          <t>Other current derivative financial liabilities</t>
        </is>
      </c>
      <c r="B451" s="11" t="n"/>
      <c r="C451" s="11" t="n"/>
      <c r="D451" s="9" t="n"/>
    </row>
    <row r="452" ht="18" customHeight="1">
      <c r="A452" s="12" t="inlineStr">
        <is>
          <t>*Total current derivative financial liabilities</t>
        </is>
      </c>
      <c r="B452" s="13">
        <f>1*B444+1*B450+1*B451</f>
        <v/>
      </c>
      <c r="C452" s="13">
        <f>1*C444+1*C450+1*C451</f>
        <v/>
      </c>
      <c r="D452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" t="inlineStr">
        <is>
          <t>01/01/YYYY - 31/12/YYYY</t>
        </is>
      </c>
      <c r="C1" s="1" t="inlineStr">
        <is>
          <t>01/01/YYYY - 31/12/YYYY</t>
        </is>
      </c>
      <c r="D1" s="2" t="inlineStr">
        <is>
          <t>Source</t>
        </is>
      </c>
    </row>
    <row r="2"/>
    <row r="3" ht="24" customHeight="1">
      <c r="A3" s="3" t="inlineStr">
        <is>
          <t>Statement of profit or loss, by function of expense</t>
        </is>
      </c>
      <c r="D3" s="3" t="n"/>
    </row>
    <row r="4" ht="18" customHeight="1">
      <c r="A4" s="4" t="inlineStr">
        <is>
          <t>Statement of Profit or Loss</t>
        </is>
      </c>
      <c r="B4" s="5" t="n"/>
      <c r="C4" s="5" t="n"/>
      <c r="D4" s="6" t="n"/>
    </row>
    <row r="5" ht="18" customHeight="1">
      <c r="A5" s="4" t="inlineStr">
        <is>
          <t>Statement of profit or loss</t>
        </is>
      </c>
      <c r="B5" s="5" t="n"/>
      <c r="C5" s="5" t="n"/>
      <c r="D5" s="6" t="n"/>
    </row>
    <row r="6" ht="18" customHeight="1">
      <c r="A6" s="4" t="inlineStr">
        <is>
          <t>Continuing operations</t>
        </is>
      </c>
      <c r="B6" s="5" t="n"/>
      <c r="C6" s="5" t="n"/>
      <c r="D6" s="6" t="n"/>
    </row>
    <row r="7" ht="18" customHeight="1">
      <c r="A7" s="7" t="inlineStr">
        <is>
          <t>*Revenue</t>
        </is>
      </c>
      <c r="B7" s="8">
        <f>'SOPL-Analysis-Function'!B40</f>
        <v/>
      </c>
      <c r="C7" s="8">
        <f>'SOPL-Analysis-Function'!C40</f>
        <v/>
      </c>
      <c r="D7" s="9" t="n"/>
    </row>
    <row r="8" ht="18" customHeight="1">
      <c r="A8" s="7" t="inlineStr">
        <is>
          <t>*Cost of sales</t>
        </is>
      </c>
      <c r="B8" s="8">
        <f>'SOPL-Analysis-Function'!B47</f>
        <v/>
      </c>
      <c r="C8" s="8">
        <f>'SOPL-Analysis-Function'!C47</f>
        <v/>
      </c>
      <c r="D8" s="9" t="n"/>
    </row>
    <row r="9" ht="18" customHeight="1">
      <c r="A9" s="7" t="inlineStr">
        <is>
          <t>*Gross profit</t>
        </is>
      </c>
      <c r="B9" s="8">
        <f>1*B7+-1*B8</f>
        <v/>
      </c>
      <c r="C9" s="8">
        <f>1*C7+-1*C8</f>
        <v/>
      </c>
      <c r="D9" s="9" t="n"/>
    </row>
    <row r="10" ht="18" customHeight="1">
      <c r="A10" s="7" t="inlineStr">
        <is>
          <t>*Other income</t>
        </is>
      </c>
      <c r="B10" s="8">
        <f>'SOPL-Analysis-Function'!B90</f>
        <v/>
      </c>
      <c r="C10" s="8">
        <f>'SOPL-Analysis-Function'!C90</f>
        <v/>
      </c>
      <c r="D10" s="9" t="n"/>
    </row>
    <row r="11" ht="18" customHeight="1">
      <c r="A11" s="10" t="inlineStr">
        <is>
          <t>Selling and distribution expenses</t>
        </is>
      </c>
      <c r="B11" s="11" t="n"/>
      <c r="C11" s="11" t="n"/>
      <c r="D11" s="9" t="n"/>
    </row>
    <row r="12" ht="18" customHeight="1">
      <c r="A12" s="7" t="inlineStr">
        <is>
          <t>*Administrative expenses</t>
        </is>
      </c>
      <c r="B12" s="11" t="n">
        <v>75369006</v>
      </c>
      <c r="C12" s="11" t="n">
        <v>71956154</v>
      </c>
      <c r="D12" s="9" t="inlineStr">
        <is>
          <t>Page 18, Total 77,098,623 less Analysis-Other-Expenses 5,142,469</t>
        </is>
      </c>
    </row>
    <row r="13" ht="18" customHeight="1">
      <c r="A13" s="10" t="inlineStr">
        <is>
          <t>Research and development expense</t>
        </is>
      </c>
      <c r="B13" s="11" t="n"/>
      <c r="C13" s="11" t="n"/>
      <c r="D13" s="9" t="n"/>
    </row>
    <row r="14" ht="18" customHeight="1">
      <c r="A14" s="7" t="inlineStr">
        <is>
          <t>*Other expenses</t>
        </is>
      </c>
      <c r="B14" s="8">
        <f>'SOPL-Analysis-Function'!B134</f>
        <v/>
      </c>
      <c r="C14" s="8">
        <f>'SOPL-Analysis-Function'!C134</f>
        <v/>
      </c>
      <c r="D14" s="9" t="n"/>
    </row>
    <row r="15" ht="18" customHeight="1">
      <c r="A15" s="12" t="inlineStr">
        <is>
          <t>*Profit (loss) from operating activities</t>
        </is>
      </c>
      <c r="B15" s="13">
        <f>1*B7+-1*B8+1*B10+-1*B11+-1*B12+-1*B13+-1*B14</f>
        <v/>
      </c>
      <c r="C15" s="13">
        <f>1*C7+-1*C8+1*C10+-1*C11+-1*C12+-1*C13+-1*C14</f>
        <v/>
      </c>
      <c r="D15" s="14" t="n"/>
    </row>
    <row r="16" ht="18" customHeight="1">
      <c r="A16" s="7" t="inlineStr">
        <is>
          <t>*Finance income</t>
        </is>
      </c>
      <c r="B16" s="8">
        <f>'SOPL-Analysis-Function'!B138</f>
        <v/>
      </c>
      <c r="C16" s="8">
        <f>'SOPL-Analysis-Function'!C138</f>
        <v/>
      </c>
      <c r="D16" s="9" t="n"/>
    </row>
    <row r="17" ht="18" customHeight="1">
      <c r="A17" s="7" t="inlineStr">
        <is>
          <t>*Finance costs</t>
        </is>
      </c>
      <c r="B17" s="11" t="n">
        <v>14396928</v>
      </c>
      <c r="C17" s="11" t="n">
        <v>18347594</v>
      </c>
      <c r="D17" s="9" t="inlineStr">
        <is>
          <t>Page 18</t>
        </is>
      </c>
    </row>
    <row r="18" ht="18" customHeight="1">
      <c r="A18" s="10" t="inlineStr">
        <is>
          <t>Share of profit (loss) of associates and joint ventures accounted for using equity method</t>
        </is>
      </c>
      <c r="B18" s="11" t="n">
        <v>291946</v>
      </c>
      <c r="C18" s="11" t="n">
        <v>-302060</v>
      </c>
      <c r="D18" s="9" t="inlineStr">
        <is>
          <t>Page 18</t>
        </is>
      </c>
    </row>
    <row r="19" ht="18" customHeight="1">
      <c r="A19" s="10" t="inlineStr">
        <is>
          <t>Fair valuation gain (loss) arising from distribution of non-cash assets to owners</t>
        </is>
      </c>
      <c r="B19" s="11" t="n"/>
      <c r="C19" s="11" t="n"/>
      <c r="D19" s="9" t="n"/>
    </row>
    <row r="20" ht="18" customHeight="1">
      <c r="A20" s="12" t="inlineStr">
        <is>
          <t>*Profit (loss) before tax</t>
        </is>
      </c>
      <c r="B20" s="13">
        <f>1*B7+-1*B8+1*B10+-1*B11+-1*B12+-1*B13+-1*B14+1*B16+-1*B17+1*B18+1*B19</f>
        <v/>
      </c>
      <c r="C20" s="13">
        <f>1*C7+-1*C8+1*C10+-1*C11+-1*C12+-1*C13+-1*C14+1*C16+-1*C17+1*C18+1*C19</f>
        <v/>
      </c>
      <c r="D20" s="14" t="n"/>
    </row>
    <row r="21" ht="18" customHeight="1">
      <c r="A21" s="7" t="inlineStr">
        <is>
          <t>*Tax expense</t>
        </is>
      </c>
      <c r="B21" s="11" t="n">
        <v>17020092</v>
      </c>
      <c r="C21" s="11" t="n">
        <v>10691638</v>
      </c>
      <c r="D21" s="9" t="inlineStr">
        <is>
          <t>Page 18</t>
        </is>
      </c>
    </row>
    <row r="22" ht="18" customHeight="1">
      <c r="A22" s="10" t="inlineStr">
        <is>
          <t>Contribution of zakat</t>
        </is>
      </c>
      <c r="B22" s="11" t="n"/>
      <c r="C22" s="11" t="n"/>
      <c r="D22" s="9" t="n"/>
    </row>
    <row r="23" ht="18" customHeight="1">
      <c r="A23" s="12" t="inlineStr">
        <is>
          <t>*Profit (loss) from continuing operations</t>
        </is>
      </c>
      <c r="B23" s="13">
        <f>1*B20+-1*B21+-1*B22</f>
        <v/>
      </c>
      <c r="C23" s="13">
        <f>1*C20+-1*C21+-1*C22</f>
        <v/>
      </c>
      <c r="D23" s="14" t="n"/>
    </row>
    <row r="24" ht="18" customHeight="1">
      <c r="A24" s="4" t="inlineStr">
        <is>
          <t>Discontinued operations</t>
        </is>
      </c>
      <c r="B24" s="5" t="n"/>
      <c r="C24" s="5" t="n"/>
      <c r="D24" s="6" t="n"/>
    </row>
    <row r="25" ht="18" customHeight="1">
      <c r="A25" s="10" t="inlineStr">
        <is>
          <t>Profit (loss) from discontinued operations, net of tax</t>
        </is>
      </c>
      <c r="B25" s="11" t="n"/>
      <c r="C25" s="11" t="n"/>
      <c r="D25" s="9" t="n"/>
    </row>
    <row r="26" ht="18" customHeight="1">
      <c r="A26" s="12" t="inlineStr">
        <is>
          <t>*Profit (loss)</t>
        </is>
      </c>
      <c r="B26" s="13">
        <f>1*B23+1*B25</f>
        <v/>
      </c>
      <c r="C26" s="13">
        <f>1*C23+1*C25</f>
        <v/>
      </c>
      <c r="D26" s="14" t="n"/>
    </row>
    <row r="27" ht="18" customHeight="1">
      <c r="A27" s="4" t="inlineStr">
        <is>
          <t>Profit (loss), attributable to</t>
        </is>
      </c>
      <c r="B27" s="5" t="n"/>
      <c r="C27" s="5" t="n"/>
      <c r="D27" s="6" t="n"/>
    </row>
    <row r="28" ht="18" customHeight="1">
      <c r="A28" s="10" t="inlineStr">
        <is>
          <t>Profit (loss), attributable to owners of parent</t>
        </is>
      </c>
      <c r="B28" s="11" t="n">
        <v>41273994</v>
      </c>
      <c r="C28" s="11" t="n">
        <v>8891310</v>
      </c>
      <c r="D28" s="9" t="inlineStr">
        <is>
          <t>Page 19</t>
        </is>
      </c>
    </row>
    <row r="29" ht="18" customHeight="1">
      <c r="A29" s="10" t="inlineStr">
        <is>
          <t>Profit (loss) attributable to equity other components</t>
        </is>
      </c>
      <c r="B29" s="11" t="n"/>
      <c r="C29" s="11" t="n"/>
      <c r="D29" s="9" t="n"/>
    </row>
    <row r="30" ht="18" customHeight="1">
      <c r="A30" s="10" t="inlineStr">
        <is>
          <t>Profit (loss), attributable to non-controlling interests</t>
        </is>
      </c>
      <c r="B30" s="11" t="n">
        <v>2395318</v>
      </c>
      <c r="C30" s="11" t="n">
        <v>1014833</v>
      </c>
      <c r="D30" s="9" t="inlineStr">
        <is>
          <t>Page 19</t>
        </is>
      </c>
    </row>
    <row r="31" ht="18" customHeight="1">
      <c r="A31" s="12" t="inlineStr">
        <is>
          <t>*Total profit (loss)</t>
        </is>
      </c>
      <c r="B31" s="13">
        <f>1*B28+1*B29+1*B30</f>
        <v/>
      </c>
      <c r="C31" s="13">
        <f>1*C28+1*C29+1*C30</f>
        <v/>
      </c>
      <c r="D31" s="14" t="n"/>
    </row>
    <row r="32" ht="18" customHeight="1">
      <c r="A32" s="4" t="inlineStr">
        <is>
          <t>Earnings per share</t>
        </is>
      </c>
      <c r="B32" s="5" t="n"/>
      <c r="C32" s="5" t="n"/>
      <c r="D32" s="6" t="n"/>
    </row>
    <row r="33" ht="18" customHeight="1">
      <c r="A33" s="4" t="inlineStr">
        <is>
          <t>Basic earnings per share</t>
        </is>
      </c>
      <c r="B33" s="5" t="n"/>
      <c r="C33" s="5" t="n"/>
      <c r="D33" s="6" t="n"/>
    </row>
    <row r="34" ht="18" customHeight="1">
      <c r="A34" s="10" t="inlineStr">
        <is>
          <t>Basic earnings (loss) per share from continuing operations</t>
        </is>
      </c>
      <c r="B34" s="11" t="n">
        <v>5.16</v>
      </c>
      <c r="C34" s="11" t="n">
        <v>1.11</v>
      </c>
      <c r="D34" s="9" t="inlineStr">
        <is>
          <t>Page 19</t>
        </is>
      </c>
    </row>
    <row r="35" ht="18" customHeight="1">
      <c r="A35" s="10" t="inlineStr">
        <is>
          <t>Basic earnings (loss) per share from discontinued operations</t>
        </is>
      </c>
      <c r="B35" s="11" t="n"/>
      <c r="C35" s="11" t="n"/>
      <c r="D35" s="9" t="n"/>
    </row>
    <row r="36" ht="18" customHeight="1">
      <c r="A36" s="12" t="inlineStr">
        <is>
          <t>*Total basic earnings (loss) per share</t>
        </is>
      </c>
      <c r="B36" s="13">
        <f>1*B35</f>
        <v/>
      </c>
      <c r="C36" s="13">
        <f>1*C35</f>
        <v/>
      </c>
      <c r="D36" s="14" t="n"/>
    </row>
    <row r="37" ht="18" customHeight="1">
      <c r="A37" s="4" t="inlineStr">
        <is>
          <t>Diluted earnings per share</t>
        </is>
      </c>
      <c r="B37" s="5" t="n"/>
      <c r="C37" s="5" t="n"/>
      <c r="D37" s="6" t="n"/>
    </row>
    <row r="38" ht="18" customHeight="1">
      <c r="A38" s="10" t="inlineStr">
        <is>
          <t>Diluted earnings (loss) per share from continuing operations</t>
        </is>
      </c>
      <c r="B38" s="11" t="n"/>
      <c r="C38" s="11" t="n"/>
      <c r="D38" s="9" t="n"/>
    </row>
    <row r="39" ht="18" customHeight="1">
      <c r="A39" s="10" t="inlineStr">
        <is>
          <t>Diluted earnings (loss) per share from discontinued operations</t>
        </is>
      </c>
      <c r="B39" s="11" t="n"/>
      <c r="C39" s="11" t="n"/>
      <c r="D39" s="9" t="n"/>
    </row>
    <row r="40" ht="18" customHeight="1">
      <c r="A40" s="12" t="inlineStr">
        <is>
          <t>*Total diluted earnings (loss) per share</t>
        </is>
      </c>
      <c r="B40" s="13">
        <f>1*B39</f>
        <v/>
      </c>
      <c r="C40" s="13">
        <f>1*C39</f>
        <v/>
      </c>
      <c r="D40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" t="inlineStr">
        <is>
          <t>01/01/YYYY - 31/12/YYYY</t>
        </is>
      </c>
      <c r="C1" s="1" t="inlineStr">
        <is>
          <t>01/01/YYYY - 31/12/YYYY</t>
        </is>
      </c>
      <c r="D1" s="2" t="inlineStr">
        <is>
          <t>Source</t>
        </is>
      </c>
    </row>
    <row r="2"/>
    <row r="3" ht="24" customHeight="1">
      <c r="A3" s="3" t="inlineStr">
        <is>
          <t>Analysis of profit or loss, by function of expense</t>
        </is>
      </c>
      <c r="D3" s="3" t="n"/>
    </row>
    <row r="4" ht="18" customHeight="1">
      <c r="A4" s="4" t="inlineStr">
        <is>
          <t>Analysis of profit or loss</t>
        </is>
      </c>
      <c r="B4" s="5" t="n"/>
      <c r="C4" s="5" t="n"/>
      <c r="D4" s="6" t="n"/>
    </row>
    <row r="5" ht="18" customHeight="1">
      <c r="A5" s="4" t="inlineStr">
        <is>
          <t>Statement of profit or loss</t>
        </is>
      </c>
      <c r="B5" s="5" t="n"/>
      <c r="C5" s="5" t="n"/>
      <c r="D5" s="6" t="n"/>
    </row>
    <row r="6" ht="18" customHeight="1">
      <c r="A6" s="4" t="inlineStr">
        <is>
          <t>Revenue</t>
        </is>
      </c>
      <c r="B6" s="5" t="n"/>
      <c r="C6" s="5" t="n"/>
      <c r="D6" s="6" t="n"/>
    </row>
    <row r="7" ht="18" customHeight="1">
      <c r="A7" s="4" t="inlineStr">
        <is>
          <t>Revenue from sale of goods</t>
        </is>
      </c>
      <c r="B7" s="5" t="n"/>
      <c r="C7" s="5" t="n"/>
      <c r="D7" s="6" t="n"/>
    </row>
    <row r="8" ht="18" customHeight="1">
      <c r="A8" s="10" t="inlineStr">
        <is>
          <t>Revenue from sale of broadband and telecommunication</t>
        </is>
      </c>
      <c r="B8" s="11" t="n"/>
      <c r="C8" s="11" t="n"/>
      <c r="D8" s="9" t="n"/>
    </row>
    <row r="9" ht="18" customHeight="1">
      <c r="A9" s="10" t="inlineStr">
        <is>
          <t>Revenue from property development</t>
        </is>
      </c>
      <c r="B9" s="11" t="n"/>
      <c r="C9" s="11" t="n"/>
      <c r="D9" s="9" t="n"/>
    </row>
    <row r="10" ht="18" customHeight="1">
      <c r="A10" s="10" t="inlineStr">
        <is>
          <t>Revenue from construction contracts</t>
        </is>
      </c>
      <c r="B10" s="11" t="n"/>
      <c r="C10" s="11" t="n"/>
      <c r="D10" s="9" t="n"/>
    </row>
    <row r="11" ht="18" customHeight="1">
      <c r="A11" s="10" t="inlineStr">
        <is>
          <t>Revenue from clean water, treatment and disposal of waste water</t>
        </is>
      </c>
      <c r="B11" s="11" t="n"/>
      <c r="C11" s="11" t="n"/>
      <c r="D11" s="9" t="n"/>
    </row>
    <row r="12" ht="18" customHeight="1">
      <c r="A12" s="10" t="inlineStr">
        <is>
          <t>Revenue from sale of food and beverage</t>
        </is>
      </c>
      <c r="B12" s="11" t="n"/>
      <c r="C12" s="11" t="n"/>
      <c r="D12" s="9" t="n"/>
    </row>
    <row r="13" ht="18" customHeight="1">
      <c r="A13" s="10" t="inlineStr">
        <is>
          <t>Revenue from sale of agricultural produce</t>
        </is>
      </c>
      <c r="B13" s="11" t="n"/>
      <c r="C13" s="11" t="n"/>
      <c r="D13" s="9" t="n"/>
    </row>
    <row r="14" ht="18" customHeight="1">
      <c r="A14" s="10" t="inlineStr">
        <is>
          <t>Revenue from sale of oil and gas products</t>
        </is>
      </c>
      <c r="B14" s="11" t="n"/>
      <c r="C14" s="11" t="n"/>
      <c r="D14" s="9" t="n"/>
    </row>
    <row r="15" ht="18" customHeight="1">
      <c r="A15" s="10" t="inlineStr">
        <is>
          <t>Revenue from sale of other goods</t>
        </is>
      </c>
      <c r="B15" s="11" t="n"/>
      <c r="C15" s="11" t="n"/>
      <c r="D15" s="9" t="n"/>
    </row>
    <row r="16" ht="18" customHeight="1">
      <c r="A16" s="12" t="inlineStr">
        <is>
          <t>Total revenue from sale of goods</t>
        </is>
      </c>
      <c r="B16" s="13">
        <f>1*B8+1*B9+1*B10+1*B11+1*B12+1*B13+1*B14+1*B15</f>
        <v/>
      </c>
      <c r="C16" s="13">
        <f>1*C8+1*C9+1*C10+1*C11+1*C12+1*C13+1*C14+1*C15</f>
        <v/>
      </c>
      <c r="D16" s="14" t="n"/>
    </row>
    <row r="17" ht="18" customHeight="1">
      <c r="A17" s="4" t="inlineStr">
        <is>
          <t>Revenue from rendering of services</t>
        </is>
      </c>
      <c r="B17" s="5" t="n"/>
      <c r="C17" s="5" t="n"/>
      <c r="D17" s="6" t="n"/>
    </row>
    <row r="18" ht="18" customHeight="1">
      <c r="A18" s="10" t="inlineStr">
        <is>
          <t>Revenue from rendering of entertainment services</t>
        </is>
      </c>
      <c r="B18" s="11" t="n"/>
      <c r="C18" s="11" t="n"/>
      <c r="D18" s="9" t="n"/>
    </row>
    <row r="19" ht="18" customHeight="1">
      <c r="A19" s="10" t="inlineStr">
        <is>
          <t>Revenue from rendering of telecommunication services</t>
        </is>
      </c>
      <c r="B19" s="11" t="n"/>
      <c r="C19" s="11" t="n"/>
      <c r="D19" s="9" t="n"/>
    </row>
    <row r="20" ht="18" customHeight="1">
      <c r="A20" s="10" t="inlineStr">
        <is>
          <t>Revenue from rendering of transport services</t>
        </is>
      </c>
      <c r="B20" s="11" t="n"/>
      <c r="C20" s="11" t="n"/>
      <c r="D20" s="9" t="n"/>
    </row>
    <row r="21" ht="18" customHeight="1">
      <c r="A21" s="10" t="inlineStr">
        <is>
          <t>Revenue from rendering of information technology services</t>
        </is>
      </c>
      <c r="B21" s="11" t="n"/>
      <c r="C21" s="11" t="n"/>
      <c r="D21" s="9" t="n"/>
    </row>
    <row r="22" ht="18" customHeight="1">
      <c r="A22" s="10" t="inlineStr">
        <is>
          <t>Revenue from rendering of educational services</t>
        </is>
      </c>
      <c r="B22" s="11" t="n"/>
      <c r="C22" s="11" t="n"/>
      <c r="D22" s="9" t="n"/>
    </row>
    <row r="23" ht="18" customHeight="1">
      <c r="A23" s="10" t="inlineStr">
        <is>
          <t>Revenue from rendering of healthcare services</t>
        </is>
      </c>
      <c r="B23" s="11" t="n"/>
      <c r="C23" s="11" t="n"/>
      <c r="D23" s="9" t="n"/>
    </row>
    <row r="24" ht="18" customHeight="1">
      <c r="A24" s="10" t="inlineStr">
        <is>
          <t>Revenue from rendering of shipping and shipping related services</t>
        </is>
      </c>
      <c r="B24" s="11" t="n"/>
      <c r="C24" s="11" t="n"/>
      <c r="D24" s="9" t="n"/>
    </row>
    <row r="25" ht="18" customHeight="1">
      <c r="A25" s="10" t="inlineStr">
        <is>
          <t>Revenue from rendering of other services</t>
        </is>
      </c>
      <c r="B25" s="11" t="n">
        <v>946612167</v>
      </c>
      <c r="C25" s="11" t="n">
        <v>747438303</v>
      </c>
      <c r="D25" s="9" t="inlineStr">
        <is>
          <t>Page 18, Statement of Comprehensive Income</t>
        </is>
      </c>
    </row>
    <row r="26" ht="18" customHeight="1">
      <c r="A26" s="12" t="inlineStr">
        <is>
          <t>Total revenue from rendering of services</t>
        </is>
      </c>
      <c r="B26" s="13">
        <f>1*B18+1*B19+1*B20+1*B21+1*B22+1*B23+1*B24+1*B25</f>
        <v/>
      </c>
      <c r="C26" s="13">
        <f>1*C18+1*C19+1*C20+1*C21+1*C22+1*C23+1*C24+1*C25</f>
        <v/>
      </c>
      <c r="D26" s="14" t="n"/>
    </row>
    <row r="27" ht="18" customHeight="1">
      <c r="A27" s="4" t="inlineStr">
        <is>
          <t>Interest income</t>
        </is>
      </c>
      <c r="B27" s="5" t="n"/>
      <c r="C27" s="5" t="n"/>
      <c r="D27" s="6" t="inlineStr">
        <is>
          <t>Moving to Misc to ensure inclusion in total</t>
        </is>
      </c>
    </row>
    <row r="28" ht="18" customHeight="1">
      <c r="A28" s="10" t="inlineStr">
        <is>
          <t>Interest income on loans, advances and financing</t>
        </is>
      </c>
      <c r="B28" s="11" t="n"/>
      <c r="C28" s="11" t="n"/>
      <c r="D28" s="9" t="n"/>
    </row>
    <row r="29" ht="18" customHeight="1">
      <c r="A29" s="10" t="inlineStr">
        <is>
          <t>Interest income on other financial assets</t>
        </is>
      </c>
      <c r="B29" s="11" t="n"/>
      <c r="C29" s="11" t="n"/>
      <c r="D29" s="9" t="n"/>
    </row>
    <row r="30" ht="18" customHeight="1">
      <c r="A30" s="12" t="inlineStr">
        <is>
          <t>Total interest income</t>
        </is>
      </c>
      <c r="B30" s="13">
        <f>1*B28+1*B29</f>
        <v/>
      </c>
      <c r="C30" s="13">
        <f>1*C28+1*C29</f>
        <v/>
      </c>
      <c r="D30" s="14" t="n"/>
    </row>
    <row r="31" ht="18" customHeight="1">
      <c r="A31" s="4" t="inlineStr">
        <is>
          <t>Other fee and commission income</t>
        </is>
      </c>
      <c r="B31" s="5" t="n"/>
      <c r="C31" s="5" t="n"/>
      <c r="D31" s="6" t="n"/>
    </row>
    <row r="32" ht="18" customHeight="1">
      <c r="A32" s="10" t="inlineStr">
        <is>
          <t>Gross brokerage and other charges</t>
        </is>
      </c>
      <c r="B32" s="11" t="n"/>
      <c r="C32" s="11" t="n"/>
      <c r="D32" s="9" t="n"/>
    </row>
    <row r="33" ht="18" customHeight="1">
      <c r="A33" s="10" t="inlineStr">
        <is>
          <t>Underwriting commissions and fund management income</t>
        </is>
      </c>
      <c r="B33" s="11" t="n"/>
      <c r="C33" s="11" t="n"/>
      <c r="D33" s="9" t="n"/>
    </row>
    <row r="34" ht="18" customHeight="1">
      <c r="A34" s="10" t="inlineStr">
        <is>
          <t>Other fee and commission income</t>
        </is>
      </c>
      <c r="B34" s="11" t="n"/>
      <c r="C34" s="11" t="n"/>
      <c r="D34" s="9" t="n"/>
    </row>
    <row r="35" ht="18" customHeight="1">
      <c r="A35" s="12" t="inlineStr">
        <is>
          <t>Total other fee and commission income</t>
        </is>
      </c>
      <c r="B35" s="13">
        <f>1*B32+1*B33+1*B34</f>
        <v/>
      </c>
      <c r="C35" s="13">
        <f>1*C32+1*C33+1*C34</f>
        <v/>
      </c>
      <c r="D35" s="14" t="n"/>
    </row>
    <row r="36" ht="18" customHeight="1">
      <c r="A36" s="10" t="inlineStr">
        <is>
          <t>Dividend income</t>
        </is>
      </c>
      <c r="B36" s="11" t="n"/>
      <c r="C36" s="11" t="n"/>
      <c r="D36" s="9" t="n"/>
    </row>
    <row r="37" ht="18" customHeight="1">
      <c r="A37" s="10" t="inlineStr">
        <is>
          <t>Rental income</t>
        </is>
      </c>
      <c r="B37" s="11" t="n"/>
      <c r="C37" s="11" t="n"/>
      <c r="D37" s="9" t="n"/>
    </row>
    <row r="38" ht="18" customHeight="1">
      <c r="A38" s="10" t="inlineStr">
        <is>
          <t>Royalty income</t>
        </is>
      </c>
      <c r="B38" s="11" t="n"/>
      <c r="C38" s="11" t="n"/>
      <c r="D38" s="9" t="n"/>
    </row>
    <row r="39" ht="18" customHeight="1">
      <c r="A39" s="10" t="inlineStr">
        <is>
          <t>Other revenue</t>
        </is>
      </c>
      <c r="B39" s="11" t="n"/>
      <c r="C39" s="11" t="n"/>
      <c r="D39" s="9" t="n"/>
    </row>
    <row r="40" ht="18" customHeight="1">
      <c r="A40" s="12" t="inlineStr">
        <is>
          <t>*Total revenue</t>
        </is>
      </c>
      <c r="B40" s="13">
        <f>1*B16+1*B26+1*B30+1*B35+1*B36+1*B37+1*B38+1*B39</f>
        <v/>
      </c>
      <c r="C40" s="13">
        <f>1*C16+1*C26+1*C30+1*C35+1*C36+1*C37+1*C38+1*C39</f>
        <v/>
      </c>
      <c r="D40" s="14" t="n"/>
    </row>
    <row r="41" ht="18" customHeight="1">
      <c r="A41" s="4" t="inlineStr">
        <is>
          <t>Cost of sales</t>
        </is>
      </c>
      <c r="B41" s="5" t="n"/>
      <c r="C41" s="5" t="n"/>
      <c r="D41" s="6" t="n"/>
    </row>
    <row r="42" ht="18" customHeight="1">
      <c r="A42" s="10" t="inlineStr">
        <is>
          <t>Cost of inventories</t>
        </is>
      </c>
      <c r="B42" s="11" t="n"/>
      <c r="C42" s="11" t="n"/>
      <c r="D42" s="9" t="n"/>
    </row>
    <row r="43" ht="18" customHeight="1">
      <c r="A43" s="10" t="inlineStr">
        <is>
          <t>Construction contract costs</t>
        </is>
      </c>
      <c r="B43" s="11" t="n"/>
      <c r="C43" s="11" t="n"/>
      <c r="D43" s="9" t="n"/>
    </row>
    <row r="44" ht="18" customHeight="1">
      <c r="A44" s="10" t="inlineStr">
        <is>
          <t>Energy costs</t>
        </is>
      </c>
      <c r="B44" s="11" t="n"/>
      <c r="C44" s="11" t="n"/>
      <c r="D44" s="9" t="n"/>
    </row>
    <row r="45" ht="18" customHeight="1">
      <c r="A45" s="10" t="inlineStr">
        <is>
          <t>Property development costs</t>
        </is>
      </c>
      <c r="B45" s="11" t="n"/>
      <c r="C45" s="11" t="n"/>
      <c r="D45" s="9" t="n"/>
    </row>
    <row r="46" ht="18" customHeight="1">
      <c r="A46" s="10" t="inlineStr">
        <is>
          <t>Other cost of sales</t>
        </is>
      </c>
      <c r="B46" s="11" t="n">
        <v>795446580</v>
      </c>
      <c r="C46" s="11" t="n">
        <v>638136490</v>
      </c>
      <c r="D46" s="9" t="inlineStr">
        <is>
          <t>Page 18, Statement of Comprehensive Income</t>
        </is>
      </c>
    </row>
    <row r="47" ht="18" customHeight="1">
      <c r="A47" s="12" t="inlineStr">
        <is>
          <t>*Total cost of sales</t>
        </is>
      </c>
      <c r="B47" s="13">
        <f>1*B42+1*B43+1*B44+1*B45+1*B46</f>
        <v/>
      </c>
      <c r="C47" s="13">
        <f>1*C42+1*C43+1*C44+1*C45+1*C46</f>
        <v/>
      </c>
      <c r="D47" s="14" t="n"/>
    </row>
    <row r="48" ht="18" customHeight="1">
      <c r="A48" s="4" t="inlineStr">
        <is>
          <t>Other income</t>
        </is>
      </c>
      <c r="B48" s="5" t="n"/>
      <c r="C48" s="5" t="n"/>
      <c r="D48" s="6" t="n"/>
    </row>
    <row r="49" ht="18" customHeight="1">
      <c r="A49" s="10" t="inlineStr">
        <is>
          <t>Deferred income</t>
        </is>
      </c>
      <c r="B49" s="11" t="n"/>
      <c r="C49" s="11" t="n"/>
      <c r="D49" s="9" t="n"/>
    </row>
    <row r="50" ht="18" customHeight="1">
      <c r="A50" s="10" t="inlineStr">
        <is>
          <t>Bad debts recovered</t>
        </is>
      </c>
      <c r="B50" s="11" t="n">
        <v>818137</v>
      </c>
      <c r="C50" s="11" t="n">
        <v>69883</v>
      </c>
      <c r="D50" s="9" t="inlineStr">
        <is>
          <t>Page 76, Note 27</t>
        </is>
      </c>
    </row>
    <row r="51" ht="18" customHeight="1">
      <c r="A51" s="10" t="inlineStr">
        <is>
          <t>Dividend income</t>
        </is>
      </c>
      <c r="B51" s="11" t="n">
        <v>36600</v>
      </c>
      <c r="C51" s="11" t="n"/>
      <c r="D51" s="9" t="inlineStr">
        <is>
          <t>Page 76, Note 27</t>
        </is>
      </c>
    </row>
    <row r="52" ht="18" customHeight="1">
      <c r="A52" s="10" t="inlineStr">
        <is>
          <t>Royalty/franchise income</t>
        </is>
      </c>
      <c r="B52" s="11" t="n"/>
      <c r="C52" s="11" t="n"/>
      <c r="D52" s="9" t="n"/>
    </row>
    <row r="53" ht="18" customHeight="1">
      <c r="A53" s="10" t="inlineStr">
        <is>
          <t>Write back of fuel cost</t>
        </is>
      </c>
      <c r="B53" s="11" t="n"/>
      <c r="C53" s="11" t="n"/>
      <c r="D53" s="9" t="n"/>
    </row>
    <row r="54" ht="18" customHeight="1">
      <c r="A54" s="10" t="inlineStr">
        <is>
          <t>Income from reimbursements under insurance policies</t>
        </is>
      </c>
      <c r="B54" s="11" t="n"/>
      <c r="C54" s="11" t="n"/>
      <c r="D54" s="9" t="n"/>
    </row>
    <row r="55" ht="18" customHeight="1">
      <c r="A55" s="10" t="inlineStr">
        <is>
          <t>Grant or incentives by Malaysian government or it's agencies</t>
        </is>
      </c>
      <c r="B55" s="11" t="n">
        <v>664800</v>
      </c>
      <c r="C55" s="11" t="n"/>
      <c r="D55" s="9" t="inlineStr">
        <is>
          <t>Page 76, Note 27</t>
        </is>
      </c>
    </row>
    <row r="56" ht="18" customHeight="1">
      <c r="A56" s="10" t="inlineStr">
        <is>
          <t>Grant or incentives by foreign government or it's agencies</t>
        </is>
      </c>
      <c r="B56" s="11" t="n"/>
      <c r="C56" s="11" t="n"/>
      <c r="D56" s="9" t="n"/>
    </row>
    <row r="57" ht="18" customHeight="1">
      <c r="A57" s="10" t="inlineStr">
        <is>
          <t>Contributions or donations by local contributor</t>
        </is>
      </c>
      <c r="B57" s="11" t="n"/>
      <c r="C57" s="11" t="n"/>
      <c r="D57" s="9" t="n"/>
    </row>
    <row r="58" ht="18" customHeight="1">
      <c r="A58" s="10" t="inlineStr">
        <is>
          <t>Contributions or donations by foreign contributor</t>
        </is>
      </c>
      <c r="B58" s="11" t="n"/>
      <c r="C58" s="11" t="n"/>
      <c r="D58" s="9" t="n"/>
    </row>
    <row r="59" ht="18" customHeight="1">
      <c r="A59" s="10" t="inlineStr">
        <is>
          <t>Contributions or donations by unknown contributor</t>
        </is>
      </c>
      <c r="B59" s="11" t="n"/>
      <c r="C59" s="11" t="n"/>
      <c r="D59" s="9" t="n"/>
    </row>
    <row r="60" ht="18" customHeight="1">
      <c r="A60" s="4" t="inlineStr">
        <is>
          <t>Foreign exchange gain</t>
        </is>
      </c>
      <c r="B60" s="5" t="n"/>
      <c r="C60" s="5" t="n"/>
      <c r="D60" s="6" t="n"/>
    </row>
    <row r="61" ht="18" customHeight="1">
      <c r="A61" s="10" t="inlineStr">
        <is>
          <t>Realised gain on foreign exchange</t>
        </is>
      </c>
      <c r="B61" s="11" t="n"/>
      <c r="C61" s="11" t="n">
        <v>551992</v>
      </c>
      <c r="D61" s="9" t="inlineStr">
        <is>
          <t>Page 76, Note 27</t>
        </is>
      </c>
    </row>
    <row r="62" ht="18" customHeight="1">
      <c r="A62" s="10" t="inlineStr">
        <is>
          <t>Unrealised gain on foreign exchange</t>
        </is>
      </c>
      <c r="B62" s="11" t="n"/>
      <c r="C62" s="11" t="n">
        <v>1219222</v>
      </c>
      <c r="D62" s="9" t="inlineStr">
        <is>
          <t>Page 76, Note 27</t>
        </is>
      </c>
    </row>
    <row r="63" ht="18" customHeight="1">
      <c r="A63" s="12" t="inlineStr">
        <is>
          <t>Total foreign exchange gain</t>
        </is>
      </c>
      <c r="B63" s="13">
        <f>1*B61+1*B62</f>
        <v/>
      </c>
      <c r="C63" s="13">
        <f>1*C61+1*C62</f>
        <v/>
      </c>
      <c r="D63" s="14" t="n"/>
    </row>
    <row r="64" ht="18" customHeight="1">
      <c r="A64" s="4" t="inlineStr">
        <is>
          <t>Gain on disposal of subsidiaries, associates and joint ventures</t>
        </is>
      </c>
      <c r="B64" s="5" t="n"/>
      <c r="C64" s="5" t="n"/>
      <c r="D64" s="6" t="n"/>
    </row>
    <row r="65" ht="18" customHeight="1">
      <c r="A65" s="10" t="inlineStr">
        <is>
          <t>Gain on disposal of subsidiaries</t>
        </is>
      </c>
      <c r="B65" s="11" t="n"/>
      <c r="C65" s="11" t="n"/>
      <c r="D65" s="9" t="n"/>
    </row>
    <row r="66" ht="18" customHeight="1">
      <c r="A66" s="10" t="inlineStr">
        <is>
          <t>Gain on disposal of associates</t>
        </is>
      </c>
      <c r="B66" s="11" t="n"/>
      <c r="C66" s="11" t="n"/>
      <c r="D66" s="9" t="n"/>
    </row>
    <row r="67" ht="18" customHeight="1">
      <c r="A67" s="10" t="inlineStr">
        <is>
          <t>Gain on disposal of joint ventures</t>
        </is>
      </c>
      <c r="B67" s="11" t="n"/>
      <c r="C67" s="11" t="n"/>
      <c r="D67" s="9" t="n"/>
    </row>
    <row r="68" ht="18" customHeight="1">
      <c r="A68" s="12" t="inlineStr">
        <is>
          <t>Total gain on disposal of subsidiaries, associates and joint ventures</t>
        </is>
      </c>
      <c r="B68" s="13">
        <f>1*B65+1*B66+1*B67</f>
        <v/>
      </c>
      <c r="C68" s="13">
        <f>1*C65+1*C66+1*C67</f>
        <v/>
      </c>
      <c r="D68" s="14" t="n"/>
    </row>
    <row r="69" ht="18" customHeight="1">
      <c r="A69" s="10" t="inlineStr">
        <is>
          <t>Gain on disposal from other investments</t>
        </is>
      </c>
      <c r="B69" s="11" t="n"/>
      <c r="C69" s="11" t="n"/>
      <c r="D69" s="9" t="n"/>
    </row>
    <row r="70" ht="18" customHeight="1">
      <c r="A70" s="10" t="inlineStr">
        <is>
          <t>Gains on disposals of property, plant and equipment</t>
        </is>
      </c>
      <c r="B70" s="11" t="n">
        <v>809323</v>
      </c>
      <c r="C70" s="11" t="n">
        <v>648816</v>
      </c>
      <c r="D70" s="9" t="inlineStr">
        <is>
          <t>Page 76, Note 27</t>
        </is>
      </c>
    </row>
    <row r="71" ht="18" customHeight="1">
      <c r="A71" s="10" t="inlineStr">
        <is>
          <t>Gains on disposals of other non-current assets</t>
        </is>
      </c>
      <c r="B71" s="11" t="n"/>
      <c r="C71" s="11" t="n"/>
      <c r="D71" s="9" t="n"/>
    </row>
    <row r="72" ht="18" customHeight="1">
      <c r="A72" s="10" t="inlineStr">
        <is>
          <t>Other gains recognised in profit or loss, fair value measurement, assets</t>
        </is>
      </c>
      <c r="B72" s="11" t="n">
        <v>108626</v>
      </c>
      <c r="C72" s="11" t="n">
        <v>174436</v>
      </c>
      <c r="D72" s="9" t="inlineStr">
        <is>
          <t>Page 76, Note 27</t>
        </is>
      </c>
    </row>
    <row r="73" ht="18" customHeight="1">
      <c r="A73" s="4" t="inlineStr">
        <is>
          <t>Reversal of impairment loss recognised in profit or loss</t>
        </is>
      </c>
      <c r="B73" s="5" t="n"/>
      <c r="C73" s="5" t="n"/>
      <c r="D73" s="6" t="n"/>
    </row>
    <row r="74" ht="18" customHeight="1">
      <c r="A74" s="10" t="inlineStr">
        <is>
          <t>Reversal of impairment loss on receivables</t>
        </is>
      </c>
      <c r="B74" s="11" t="n"/>
      <c r="C74" s="11" t="n"/>
      <c r="D74" s="9" t="n"/>
    </row>
    <row r="75" ht="18" customHeight="1">
      <c r="A75" s="10" t="inlineStr">
        <is>
          <t>Reversal of impairment in development expenditure</t>
        </is>
      </c>
      <c r="B75" s="11" t="n"/>
      <c r="C75" s="11" t="n"/>
      <c r="D75" s="9" t="n"/>
    </row>
    <row r="76" ht="18" customHeight="1">
      <c r="A76" s="10" t="inlineStr">
        <is>
          <t>Reversal of impairment in land held for property development</t>
        </is>
      </c>
      <c r="B76" s="11" t="n"/>
      <c r="C76" s="11" t="n"/>
      <c r="D76" s="9" t="n"/>
    </row>
    <row r="77" ht="18" customHeight="1">
      <c r="A77" s="10" t="inlineStr">
        <is>
          <t>Reversal of impairment in property, plant and equipment</t>
        </is>
      </c>
      <c r="B77" s="11" t="n"/>
      <c r="C77" s="11" t="n"/>
      <c r="D77" s="9" t="n"/>
    </row>
    <row r="78" ht="18" customHeight="1">
      <c r="A78" s="10" t="inlineStr">
        <is>
          <t>Reversal of impairment in other assets</t>
        </is>
      </c>
      <c r="B78" s="11" t="n"/>
      <c r="C78" s="11" t="n"/>
      <c r="D78" s="9" t="n"/>
    </row>
    <row r="79" ht="18" customHeight="1">
      <c r="A79" s="12" t="inlineStr">
        <is>
          <t>Total reversal of impairment loss recognised in profit or loss</t>
        </is>
      </c>
      <c r="B79" s="13">
        <f>1*B75+1*B76+1*B77+1*B78</f>
        <v/>
      </c>
      <c r="C79" s="13">
        <f>1*C75+1*C76+1*C77+1*C78</f>
        <v/>
      </c>
      <c r="D79" s="14" t="n"/>
    </row>
    <row r="80" ht="18" customHeight="1">
      <c r="A80" s="10" t="inlineStr">
        <is>
          <t>Reversal of inventories written down to net realisable value</t>
        </is>
      </c>
      <c r="B80" s="11" t="n"/>
      <c r="C80" s="11" t="n"/>
      <c r="D80" s="9" t="n"/>
    </row>
    <row r="81" ht="18" customHeight="1">
      <c r="A81" s="10" t="inlineStr">
        <is>
          <t>Interest income</t>
        </is>
      </c>
      <c r="B81" s="11" t="n"/>
      <c r="C81" s="11" t="n"/>
      <c r="D81" s="9" t="n"/>
    </row>
    <row r="82" ht="18" customHeight="1">
      <c r="A82" s="10" t="inlineStr">
        <is>
          <t>Management fees</t>
        </is>
      </c>
      <c r="B82" s="11" t="n"/>
      <c r="C82" s="11" t="n"/>
      <c r="D82" s="9" t="n"/>
    </row>
    <row r="83" ht="18" customHeight="1">
      <c r="A83" s="10" t="inlineStr">
        <is>
          <t>Net deposits recognised</t>
        </is>
      </c>
      <c r="B83" s="11" t="n"/>
      <c r="C83" s="11" t="n"/>
      <c r="D83" s="9" t="n"/>
    </row>
    <row r="84" ht="18" customHeight="1">
      <c r="A84" s="10" t="inlineStr">
        <is>
          <t>Net fair value gain on derivatives</t>
        </is>
      </c>
      <c r="B84" s="11" t="n"/>
      <c r="C84" s="11" t="n"/>
      <c r="D84" s="9" t="n"/>
    </row>
    <row r="85" ht="18" customHeight="1">
      <c r="A85" s="10" t="inlineStr">
        <is>
          <t>Net fair value gain on recycle of forex reserve upon disposal of subsidiaries</t>
        </is>
      </c>
      <c r="B85" s="11" t="n"/>
      <c r="C85" s="11" t="n"/>
      <c r="D85" s="9" t="n"/>
    </row>
    <row r="86" ht="18" customHeight="1">
      <c r="A86" s="10" t="inlineStr">
        <is>
          <t>Other fee and commission</t>
        </is>
      </c>
      <c r="B86" s="11" t="n"/>
      <c r="C86" s="11" t="n"/>
      <c r="D86" s="9" t="n"/>
    </row>
    <row r="87" ht="18" customHeight="1">
      <c r="A87" s="10" t="inlineStr">
        <is>
          <t>Other rental income</t>
        </is>
      </c>
      <c r="B87" s="11" t="n"/>
      <c r="C87" s="11" t="n"/>
      <c r="D87" s="9" t="n"/>
    </row>
    <row r="88" ht="18" customHeight="1">
      <c r="A88" s="10" t="inlineStr">
        <is>
          <t>Rental income on land and buildings</t>
        </is>
      </c>
      <c r="B88" s="11" t="n">
        <v>24806</v>
      </c>
      <c r="C88" s="11" t="n">
        <v>23625</v>
      </c>
      <c r="D88" s="9" t="inlineStr">
        <is>
          <t>Page 76, Note 27</t>
        </is>
      </c>
    </row>
    <row r="89" ht="18" customHeight="1">
      <c r="A89" s="10" t="inlineStr">
        <is>
          <t>Other miscellaneous income</t>
        </is>
      </c>
      <c r="B89" s="11" t="n">
        <v>1985623</v>
      </c>
      <c r="C89" s="11" t="n">
        <v>4356271</v>
      </c>
      <c r="D89" s="9" t="inlineStr">
        <is>
          <t>Note 27: Sundry 786,283 + Interest income 3,569,988</t>
        </is>
      </c>
    </row>
    <row r="90" ht="18" customHeight="1">
      <c r="A90" s="12" t="inlineStr">
        <is>
          <t>*Total other income</t>
        </is>
      </c>
      <c r="B90" s="13">
        <f>1*B49+1*B50+1*B51+1*B52+1*B53+1*B54+1*B55+1*B56+1*B57+1*B58+1*B59+1*B63+1*B68+1*B69+1*B70+1*B71+1*B72+1*B99+1*B80+1*B81+1*B82+1*B85+1*B86+1*B87+1*B88+1*B89+1*B84+1*B83</f>
        <v/>
      </c>
      <c r="C90" s="13">
        <f>1*C49+1*C50+1*C51+1*C52+1*C53+1*C54+1*C55+1*C56+1*C57+1*C58+1*C59+1*C63+1*C68+1*C69+1*C70+1*C71+1*C72+1*C99+1*C80+1*C81+1*C82+1*C85+1*C86+1*C87+1*C88+1*C89+1*C84+1*C83</f>
        <v/>
      </c>
      <c r="D90" s="14" t="n"/>
    </row>
    <row r="91" ht="18" customHeight="1">
      <c r="A91" s="4" t="inlineStr">
        <is>
          <t>Other expenses</t>
        </is>
      </c>
      <c r="B91" s="5" t="n"/>
      <c r="C91" s="5" t="n"/>
      <c r="D91" s="6" t="n"/>
    </row>
    <row r="92" ht="18" customHeight="1">
      <c r="A92" s="4" t="inlineStr">
        <is>
          <t>Auditor's remuneration</t>
        </is>
      </c>
      <c r="B92" s="5" t="n"/>
      <c r="C92" s="5" t="n"/>
      <c r="D92" s="6" t="n"/>
    </row>
    <row r="93" ht="18" customHeight="1">
      <c r="A93" s="10" t="inlineStr">
        <is>
          <t>Auditor's remuneration for audit services</t>
        </is>
      </c>
      <c r="B93" s="11" t="n">
        <v>254040</v>
      </c>
      <c r="C93" s="11" t="n">
        <v>259366</v>
      </c>
      <c r="D93" s="9" t="inlineStr">
        <is>
          <t>Page 77, Note 28</t>
        </is>
      </c>
    </row>
    <row r="94" ht="18" customHeight="1">
      <c r="A94" s="10" t="inlineStr">
        <is>
          <t>Auditor's remuneration for other services</t>
        </is>
      </c>
      <c r="B94" s="11" t="n">
        <v>73670</v>
      </c>
      <c r="C94" s="11" t="n">
        <v>78970</v>
      </c>
      <c r="D94" s="9" t="inlineStr">
        <is>
          <t>Page 77, Note 28, Review 73,670 + Other 5,300</t>
        </is>
      </c>
    </row>
    <row r="95" ht="18" customHeight="1">
      <c r="A95" s="12" t="inlineStr">
        <is>
          <t>*Total auditor's remuneration</t>
        </is>
      </c>
      <c r="B95" s="13">
        <f>1*B93+1*B94</f>
        <v/>
      </c>
      <c r="C95" s="13">
        <f>1*C93+1*C94</f>
        <v/>
      </c>
      <c r="D95" s="14" t="n"/>
    </row>
    <row r="96" ht="18" customHeight="1">
      <c r="A96" s="10" t="inlineStr">
        <is>
          <t>Amortisation expense</t>
        </is>
      </c>
      <c r="B96" s="11" t="n"/>
      <c r="C96" s="11" t="n"/>
      <c r="D96" s="9" t="n"/>
    </row>
    <row r="97" ht="18" customHeight="1">
      <c r="A97" s="10" t="inlineStr">
        <is>
          <t>Depreciation, property, plant and equipment</t>
        </is>
      </c>
      <c r="B97" s="11" t="n"/>
      <c r="C97" s="11" t="n"/>
      <c r="D97" s="9" t="n"/>
    </row>
    <row r="98" ht="18" customHeight="1">
      <c r="A98" s="10" t="inlineStr">
        <is>
          <t>Natural disaster related expenses</t>
        </is>
      </c>
      <c r="B98" s="11" t="n"/>
      <c r="C98" s="11" t="n"/>
      <c r="D98" s="9" t="n"/>
    </row>
    <row r="99" ht="18" customHeight="1">
      <c r="A99" s="4" t="inlineStr">
        <is>
          <t>Loss on disposal of subsidiaries, associates and joint ventures</t>
        </is>
      </c>
      <c r="B99" s="5" t="n"/>
      <c r="C99" s="5" t="n"/>
      <c r="D99" s="6" t="n"/>
    </row>
    <row r="100" ht="18" customHeight="1">
      <c r="A100" s="10" t="inlineStr">
        <is>
          <t>Loss on disposal of subsidiaries</t>
        </is>
      </c>
      <c r="B100" s="11" t="n"/>
      <c r="C100" s="11" t="n"/>
      <c r="D100" s="9" t="n"/>
    </row>
    <row r="101" ht="18" customHeight="1">
      <c r="A101" s="10" t="inlineStr">
        <is>
          <t>Loss on disposal of associates</t>
        </is>
      </c>
      <c r="B101" s="11" t="n"/>
      <c r="C101" s="11" t="n"/>
      <c r="D101" s="9" t="n"/>
    </row>
    <row r="102" ht="18" customHeight="1">
      <c r="A102" s="10" t="inlineStr">
        <is>
          <t>Loss on disposal of joint ventures</t>
        </is>
      </c>
      <c r="B102" s="11" t="n"/>
      <c r="C102" s="11" t="n"/>
      <c r="D102" s="9" t="n"/>
    </row>
    <row r="103" ht="18" customHeight="1">
      <c r="A103" s="12" t="inlineStr">
        <is>
          <t>Total loss on disposal of subsidiaries, associates and joint ventures</t>
        </is>
      </c>
      <c r="B103" s="13">
        <f>1*B100+1*B101+1*B102</f>
        <v/>
      </c>
      <c r="C103" s="13">
        <f>1*C100+1*C101+1*C102</f>
        <v/>
      </c>
      <c r="D103" s="14" t="n"/>
    </row>
    <row r="104" ht="18" customHeight="1">
      <c r="A104" s="10" t="inlineStr">
        <is>
          <t>Loss on disposal from other investments</t>
        </is>
      </c>
      <c r="B104" s="11" t="n"/>
      <c r="C104" s="11" t="n"/>
      <c r="D104" s="9" t="n"/>
    </row>
    <row r="105" ht="18" customHeight="1">
      <c r="A105" s="10" t="inlineStr">
        <is>
          <t>Losses on disposals of property, plant and equipment</t>
        </is>
      </c>
      <c r="B105" s="11" t="n"/>
      <c r="C105" s="11" t="n"/>
      <c r="D105" s="9" t="n"/>
    </row>
    <row r="106" ht="18" customHeight="1">
      <c r="A106" s="10" t="inlineStr">
        <is>
          <t>Loss on disposal of other non-current assets</t>
        </is>
      </c>
      <c r="B106" s="11" t="n"/>
      <c r="C106" s="11" t="n"/>
      <c r="D106" s="9" t="n"/>
    </row>
    <row r="107" ht="18" customHeight="1">
      <c r="A107" s="10" t="inlineStr">
        <is>
          <t>Other losses recognised in profit or loss, fair value measurement, assets</t>
        </is>
      </c>
      <c r="B107" s="11" t="n"/>
      <c r="C107" s="11" t="n"/>
      <c r="D107" s="9" t="n"/>
    </row>
    <row r="108" ht="18" customHeight="1">
      <c r="A108" s="10" t="inlineStr">
        <is>
          <t>Rental expense</t>
        </is>
      </c>
      <c r="B108" s="11" t="n"/>
      <c r="C108" s="11" t="n"/>
      <c r="D108" s="9" t="n"/>
    </row>
    <row r="109" ht="18" customHeight="1">
      <c r="A109" s="10" t="inlineStr">
        <is>
          <t>Royalty expense</t>
        </is>
      </c>
      <c r="B109" s="11" t="n"/>
      <c r="C109" s="11" t="n"/>
      <c r="D109" s="9" t="n"/>
    </row>
    <row r="110" ht="18" customHeight="1">
      <c r="A110" s="4" t="inlineStr">
        <is>
          <t>Employee benefits expense</t>
        </is>
      </c>
      <c r="B110" s="5" t="n"/>
      <c r="C110" s="5" t="n"/>
      <c r="D110" s="6" t="n"/>
    </row>
    <row r="111" ht="18" customHeight="1">
      <c r="A111" s="10" t="inlineStr">
        <is>
          <t>Wages, salaries and others</t>
        </is>
      </c>
      <c r="B111" s="11" t="n"/>
      <c r="C111" s="11" t="n"/>
      <c r="D111" s="9" t="n"/>
    </row>
    <row r="112" ht="18" customHeight="1">
      <c r="A112" s="10" t="inlineStr">
        <is>
          <t>Bonus</t>
        </is>
      </c>
      <c r="B112" s="11" t="n"/>
      <c r="C112" s="11" t="n"/>
      <c r="D112" s="9" t="n"/>
    </row>
    <row r="113" ht="18" customHeight="1">
      <c r="A113" s="10" t="inlineStr">
        <is>
          <t>Share-based compensation expense</t>
        </is>
      </c>
      <c r="B113" s="11" t="n"/>
      <c r="C113" s="11" t="n"/>
      <c r="D113" s="9" t="n"/>
    </row>
    <row r="114" ht="18" customHeight="1">
      <c r="A114" s="10" t="inlineStr">
        <is>
          <t>Share option expenses</t>
        </is>
      </c>
      <c r="B114" s="11" t="n"/>
      <c r="C114" s="11" t="n"/>
      <c r="D114" s="9" t="n"/>
    </row>
    <row r="115" ht="18" customHeight="1">
      <c r="A115" s="10" t="inlineStr">
        <is>
          <t>Social security contributions</t>
        </is>
      </c>
      <c r="B115" s="11" t="n"/>
      <c r="C115" s="11" t="n"/>
      <c r="D115" s="9" t="n"/>
    </row>
    <row r="116" ht="18" customHeight="1">
      <c r="A116" s="10" t="inlineStr">
        <is>
          <t>Defined benefit plans</t>
        </is>
      </c>
      <c r="B116" s="11" t="n"/>
      <c r="C116" s="11" t="n"/>
      <c r="D116" s="9" t="n"/>
    </row>
    <row r="117" ht="18" customHeight="1">
      <c r="A117" s="10" t="inlineStr">
        <is>
          <t>Defined contribution plans</t>
        </is>
      </c>
      <c r="B117" s="11" t="n"/>
      <c r="C117" s="11" t="n"/>
      <c r="D117" s="9" t="n"/>
    </row>
    <row r="118" ht="18" customHeight="1">
      <c r="A118" s="10" t="inlineStr">
        <is>
          <t>Other long-term employee benefits</t>
        </is>
      </c>
      <c r="B118" s="11" t="n"/>
      <c r="C118" s="11" t="n"/>
      <c r="D118" s="9" t="n"/>
    </row>
    <row r="119" ht="18" customHeight="1">
      <c r="A119" s="10" t="inlineStr">
        <is>
          <t>Other short-term employee benefits</t>
        </is>
      </c>
      <c r="B119" s="11" t="n"/>
      <c r="C119" s="11" t="n"/>
      <c r="D119" s="9" t="n"/>
    </row>
    <row r="120" ht="18" customHeight="1">
      <c r="A120" s="10" t="inlineStr">
        <is>
          <t>Other employee expense</t>
        </is>
      </c>
      <c r="B120" s="11" t="n"/>
      <c r="C120" s="11" t="n"/>
      <c r="D120" s="9" t="n"/>
    </row>
    <row r="121" ht="18" customHeight="1">
      <c r="A121" s="12" t="inlineStr">
        <is>
          <t>*Total employee benefits expense</t>
        </is>
      </c>
      <c r="B121" s="13">
        <f>1*B111+1*B112+1*B113+1*B114+1*B115+1*B116+1*B117+1*B118+1*B119+1*B120</f>
        <v/>
      </c>
      <c r="C121" s="13">
        <f>1*C111+1*C112+1*C113+1*C114+1*C115+1*C116+1*C117+1*C118+1*C119+1*C120</f>
        <v/>
      </c>
      <c r="D121" s="14" t="n"/>
    </row>
    <row r="122" ht="18" customHeight="1">
      <c r="A122" s="4" t="inlineStr">
        <is>
          <t>Director's remuneration</t>
        </is>
      </c>
      <c r="B122" s="5" t="n"/>
      <c r="C122" s="5" t="n"/>
      <c r="D122" s="6" t="n"/>
    </row>
    <row r="123" ht="18" customHeight="1">
      <c r="A123" s="10" t="inlineStr">
        <is>
          <t>Salaries and other emoluments</t>
        </is>
      </c>
      <c r="B123" s="11" t="n">
        <v>4420656</v>
      </c>
      <c r="C123" s="11" t="n">
        <v>4126684</v>
      </c>
      <c r="D123" s="9" t="inlineStr">
        <is>
          <t>Page 86, Note 36</t>
        </is>
      </c>
    </row>
    <row r="124" ht="18" customHeight="1">
      <c r="A124" s="10" t="inlineStr">
        <is>
          <t>Bonus</t>
        </is>
      </c>
      <c r="B124" s="11" t="n"/>
      <c r="C124" s="11" t="n"/>
      <c r="D124" s="9" t="n"/>
    </row>
    <row r="125" ht="18" customHeight="1">
      <c r="A125" s="10" t="inlineStr">
        <is>
          <t>Benefits-in-kind</t>
        </is>
      </c>
      <c r="B125" s="11" t="n"/>
      <c r="C125" s="11" t="n"/>
      <c r="D125" s="9" t="n"/>
    </row>
    <row r="126" ht="18" customHeight="1">
      <c r="A126" s="10" t="inlineStr">
        <is>
          <t>Fees</t>
        </is>
      </c>
      <c r="B126" s="11" t="n">
        <v>204000</v>
      </c>
      <c r="C126" s="11" t="n">
        <v>208000</v>
      </c>
      <c r="D126" s="9" t="inlineStr">
        <is>
          <t>Page 86, Note 36</t>
        </is>
      </c>
    </row>
    <row r="127" ht="18" customHeight="1">
      <c r="A127" s="10" t="inlineStr">
        <is>
          <t>Performance incentives</t>
        </is>
      </c>
      <c r="B127" s="11" t="n"/>
      <c r="C127" s="11" t="n"/>
      <c r="D127" s="9" t="n"/>
    </row>
    <row r="128" ht="18" customHeight="1">
      <c r="A128" s="10" t="inlineStr">
        <is>
          <t>Defined benefit plans</t>
        </is>
      </c>
      <c r="B128" s="11" t="n"/>
      <c r="C128" s="11" t="n"/>
      <c r="D128" s="9" t="n"/>
    </row>
    <row r="129" ht="18" customHeight="1">
      <c r="A129" s="10" t="inlineStr">
        <is>
          <t>Defined contribution plans</t>
        </is>
      </c>
      <c r="B129" s="11" t="n">
        <v>497744</v>
      </c>
      <c r="C129" s="11" t="n">
        <v>469449</v>
      </c>
      <c r="D129" s="9" t="inlineStr">
        <is>
          <t>Page 86, Note 36</t>
        </is>
      </c>
    </row>
    <row r="130" ht="18" customHeight="1">
      <c r="A130" s="10" t="inlineStr">
        <is>
          <t>Share option expenses</t>
        </is>
      </c>
      <c r="B130" s="11" t="n"/>
      <c r="C130" s="11" t="n"/>
      <c r="D130" s="9" t="n"/>
    </row>
    <row r="131" ht="18" customHeight="1">
      <c r="A131" s="10" t="inlineStr">
        <is>
          <t>Other emoluments</t>
        </is>
      </c>
      <c r="B131" s="11" t="n"/>
      <c r="C131" s="11" t="n"/>
      <c r="D131" s="9" t="n"/>
    </row>
    <row r="132" ht="18" customHeight="1">
      <c r="A132" s="12" t="inlineStr">
        <is>
          <t>Total director's remuneration</t>
        </is>
      </c>
      <c r="B132" s="13">
        <f>1*B123+1*B124+1*B125+1*B126+1*B127+1*B128+1*B129+1*B130+1*B131</f>
        <v/>
      </c>
      <c r="C132" s="13">
        <f>1*C123+1*C124+1*C125+1*C126+1*C127+1*C128+1*C129+1*C130+1*C131</f>
        <v/>
      </c>
      <c r="D132" s="14" t="n"/>
    </row>
    <row r="133" ht="18" customHeight="1">
      <c r="A133" s="10" t="inlineStr">
        <is>
          <t>Other miscellaneous expenses</t>
        </is>
      </c>
      <c r="B133" s="11" t="n"/>
      <c r="C133" s="11" t="n"/>
      <c r="D133" s="9" t="n"/>
    </row>
    <row r="134" ht="18" customHeight="1">
      <c r="A134" s="12" t="inlineStr">
        <is>
          <t>*Total other expenses</t>
        </is>
      </c>
      <c r="B134" s="13">
        <f>1*B95+1*B96+1*B97+1*B98+1*B103+1*B104+1*B105+1*B106+1*B107+1*B108+1*B109+1*B121+1*B132+1*B133</f>
        <v/>
      </c>
      <c r="C134" s="13">
        <f>1*C95+1*C96+1*C97+1*C98+1*C103+1*C104+1*C105+1*C106+1*C107+1*C108+1*C109+1*C121+1*C132+1*C133</f>
        <v/>
      </c>
      <c r="D134" s="14" t="n"/>
    </row>
    <row r="135" ht="18" customHeight="1">
      <c r="A135" s="4" t="inlineStr">
        <is>
          <t>Finance income</t>
        </is>
      </c>
      <c r="B135" s="5" t="n"/>
      <c r="C135" s="5" t="n"/>
      <c r="D135" s="6" t="n"/>
    </row>
    <row r="136" ht="18" customHeight="1">
      <c r="A136" s="10" t="inlineStr">
        <is>
          <t>Finance income due from related parties</t>
        </is>
      </c>
      <c r="B136" s="11" t="n"/>
      <c r="C136" s="11" t="n"/>
      <c r="D136" s="9" t="n"/>
    </row>
    <row r="137" ht="18" customHeight="1">
      <c r="A137" s="10" t="inlineStr">
        <is>
          <t>Other finance income</t>
        </is>
      </c>
      <c r="B137" s="11" t="n"/>
      <c r="C137" s="11" t="n"/>
      <c r="D137" s="9" t="n"/>
    </row>
    <row r="138" ht="18" customHeight="1">
      <c r="A138" s="12" t="inlineStr">
        <is>
          <t>*Total finance income</t>
        </is>
      </c>
      <c r="B138" s="13">
        <f>1*B136+1*B137</f>
        <v/>
      </c>
      <c r="C138" s="13">
        <f>1*C136+1*C137</f>
        <v/>
      </c>
      <c r="D138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" t="inlineStr">
        <is>
          <t>01/01/YYYY - 31/12/YYYY</t>
        </is>
      </c>
      <c r="C1" s="1" t="inlineStr">
        <is>
          <t>01/01/YYYY - 31/12/YYYY</t>
        </is>
      </c>
      <c r="D1" s="2" t="inlineStr">
        <is>
          <t>Source</t>
        </is>
      </c>
    </row>
    <row r="2"/>
    <row r="3" ht="24" customHeight="1">
      <c r="A3" s="3" t="inlineStr">
        <is>
          <t>Statement of comprehensive income, net of tax</t>
        </is>
      </c>
      <c r="D3" s="3" t="n"/>
    </row>
    <row r="4" ht="18" customHeight="1">
      <c r="A4" s="4" t="inlineStr">
        <is>
          <t>Comprehensive income net of tax [abstract]</t>
        </is>
      </c>
      <c r="B4" s="5" t="n"/>
      <c r="C4" s="5" t="n"/>
      <c r="D4" s="6" t="n"/>
    </row>
    <row r="5" ht="18" customHeight="1">
      <c r="A5" s="4" t="inlineStr">
        <is>
          <t>Statement of comprehensive income net of tax [line items]</t>
        </is>
      </c>
      <c r="B5" s="5" t="n"/>
      <c r="C5" s="5" t="n"/>
      <c r="D5" s="6" t="n"/>
    </row>
    <row r="6" ht="18" customHeight="1">
      <c r="A6" s="4" t="inlineStr">
        <is>
          <t>Statement of comprehensive income [abstract]</t>
        </is>
      </c>
      <c r="B6" s="5" t="n"/>
      <c r="C6" s="5" t="n"/>
      <c r="D6" s="6" t="n"/>
    </row>
    <row r="7" ht="18" customHeight="1">
      <c r="A7" s="10" t="inlineStr">
        <is>
          <t>Profit (loss)</t>
        </is>
      </c>
      <c r="B7" s="11" t="n">
        <v>43669312</v>
      </c>
      <c r="C7" s="11" t="n">
        <v>9906143</v>
      </c>
      <c r="D7" s="9" t="inlineStr">
        <is>
          <t>Page 18, Profit for the year, Group 2020</t>
        </is>
      </c>
    </row>
    <row r="8" ht="18" customHeight="1">
      <c r="A8" s="4" t="inlineStr">
        <is>
          <t>Other comprehensive income [abstract]</t>
        </is>
      </c>
      <c r="B8" s="5" t="n"/>
      <c r="C8" s="5" t="n"/>
      <c r="D8" s="6" t="n"/>
    </row>
    <row r="9" ht="18" customHeight="1">
      <c r="A9" s="4" t="inlineStr">
        <is>
          <t>Components of other comprehensive income that will not be reclassified to profit or loss, net of tax [abstract]</t>
        </is>
      </c>
      <c r="B9" s="5" t="n"/>
      <c r="C9" s="5" t="n"/>
      <c r="D9" s="6" t="n"/>
    </row>
    <row r="10" ht="18" customHeight="1">
      <c r="A10" s="10" t="inlineStr">
        <is>
          <t>Other comprehensive income, net of tax, gains (losses) on revaluation of property, plant and equipment, right-of-use assets and intangible assets</t>
        </is>
      </c>
      <c r="B10" s="11" t="n"/>
      <c r="C10" s="11" t="n"/>
      <c r="D10" s="9" t="n"/>
    </row>
    <row r="11" ht="18" customHeight="1">
      <c r="A11" s="12" t="inlineStr">
        <is>
          <t>Total other comprehensive income, net of tax, gains (losses) on remeasurements of defined benefit plans</t>
        </is>
      </c>
      <c r="B11" s="13" t="n"/>
      <c r="C11" s="13" t="n"/>
      <c r="D11" s="14" t="n"/>
    </row>
    <row r="12" ht="18" customHeight="1">
      <c r="A12" s="10" t="inlineStr">
        <is>
          <t>Other comprehensive income, net of tax, gains (losses) from investments in equity instruments</t>
        </is>
      </c>
      <c r="B12" s="11" t="n"/>
      <c r="C12" s="11" t="n"/>
      <c r="D12" s="9" t="n"/>
    </row>
    <row r="13" ht="18" customHeight="1">
      <c r="A13" s="10" t="inlineStr">
        <is>
          <t>Other comprehensive income, net of tax, gains (losses) on other items</t>
        </is>
      </c>
      <c r="B13" s="11" t="n"/>
      <c r="C13" s="11" t="n"/>
      <c r="D13" s="9" t="n"/>
    </row>
    <row r="14" ht="18" customHeight="1">
      <c r="A14" s="10" t="inlineStr">
        <is>
          <t>Share of other comprehensive income of associates and joint ventures accounted for using equity method that will not be reclassified to profit or loss, net of tax</t>
        </is>
      </c>
      <c r="B14" s="11" t="n"/>
      <c r="C14" s="11" t="n"/>
      <c r="D14" s="9" t="n"/>
    </row>
    <row r="15" ht="18" customHeight="1">
      <c r="A15" s="12" t="inlineStr">
        <is>
          <t>Total other comprehensive income that will not be reclassified to profit or loss, net of tax</t>
        </is>
      </c>
      <c r="B15" s="13">
        <f>1*B12+1*B13+1*B14</f>
        <v/>
      </c>
      <c r="C15" s="13">
        <f>1*C12+1*C13+1*C14</f>
        <v/>
      </c>
      <c r="D15" s="14" t="n"/>
    </row>
    <row r="16" ht="18" customHeight="1">
      <c r="A16" s="4" t="inlineStr">
        <is>
          <t>Components of other comprehensive income that will be reclassified to profit or loss, net of tax [abstract]</t>
        </is>
      </c>
      <c r="B16" s="5" t="n"/>
      <c r="C16" s="5" t="n"/>
      <c r="D16" s="6" t="n"/>
    </row>
    <row r="17" ht="18" customHeight="1">
      <c r="A17" s="4" t="inlineStr">
        <is>
          <t>Cash flow hedges [abstract]</t>
        </is>
      </c>
      <c r="B17" s="5" t="n"/>
      <c r="C17" s="5" t="n"/>
      <c r="D17" s="6" t="n"/>
    </row>
    <row r="18" ht="18" customHeight="1">
      <c r="A18" s="10" t="inlineStr">
        <is>
          <t>Gains (losses) on cash flow hedges, net of tax</t>
        </is>
      </c>
      <c r="B18" s="11" t="n">
        <v>0</v>
      </c>
      <c r="C18" s="11" t="n">
        <v>10941</v>
      </c>
      <c r="D18" s="9" t="inlineStr">
        <is>
          <t>Page 18, Fair value adjustment on cash flow hedge, Group 2020</t>
        </is>
      </c>
    </row>
    <row r="19" ht="18" customHeight="1">
      <c r="A19" s="10" t="inlineStr">
        <is>
          <t>Reclassification adjustments on cash flow hedges, net of tax</t>
        </is>
      </c>
      <c r="B19" s="11" t="n"/>
      <c r="C19" s="11" t="n"/>
      <c r="D19" s="9" t="n"/>
    </row>
    <row r="20" ht="18" customHeight="1">
      <c r="A20" s="12" t="inlineStr">
        <is>
          <t>Other comprehensive income, net of tax, cash flow hedges</t>
        </is>
      </c>
      <c r="B20" s="13">
        <f>1*B18+1*B19</f>
        <v/>
      </c>
      <c r="C20" s="13">
        <f>1*C18+1*C19</f>
        <v/>
      </c>
      <c r="D20" s="14" t="n"/>
    </row>
    <row r="21" ht="18" customHeight="1">
      <c r="A21" s="4" t="inlineStr">
        <is>
          <t>Hedges of net investment in foreign operations [abstract]</t>
        </is>
      </c>
      <c r="B21" s="5" t="n"/>
      <c r="C21" s="5" t="n"/>
      <c r="D21" s="6" t="n"/>
    </row>
    <row r="22" ht="18" customHeight="1">
      <c r="A22" s="10" t="inlineStr">
        <is>
          <t>Gains (losses) on hedges of net investments in foreign operations, net of tax</t>
        </is>
      </c>
      <c r="B22" s="11" t="n"/>
      <c r="C22" s="11" t="n"/>
      <c r="D22" s="9" t="n"/>
    </row>
    <row r="23" ht="18" customHeight="1">
      <c r="A23" s="10" t="inlineStr">
        <is>
          <t>Reclassification adjustments on hedges of net investments in foreign operations, net of tax</t>
        </is>
      </c>
      <c r="B23" s="11" t="n"/>
      <c r="C23" s="11" t="n"/>
      <c r="D23" s="9" t="n"/>
    </row>
    <row r="24" ht="18" customHeight="1">
      <c r="A24" s="12" t="inlineStr">
        <is>
          <t>Other comprehensive income, net of tax, hedges of net investments in foreign operations</t>
        </is>
      </c>
      <c r="B24" s="13">
        <f>1*B22+1*B23</f>
        <v/>
      </c>
      <c r="C24" s="13">
        <f>1*C22+1*C23</f>
        <v/>
      </c>
      <c r="D24" s="14" t="n"/>
    </row>
    <row r="25" ht="18" customHeight="1">
      <c r="A25" s="4" t="inlineStr">
        <is>
          <t>Exchange differences on translation [abstract]</t>
        </is>
      </c>
      <c r="B25" s="5" t="n"/>
      <c r="C25" s="5" t="n"/>
      <c r="D25" s="6" t="n"/>
    </row>
    <row r="26" ht="18" customHeight="1">
      <c r="A26" s="10" t="inlineStr">
        <is>
          <t>Gains (losses) on exchange differences on translation of foreign operations, net of tax</t>
        </is>
      </c>
      <c r="B26" s="11" t="n">
        <v>643844</v>
      </c>
      <c r="C26" s="11" t="n">
        <v>-602165</v>
      </c>
      <c r="D26" s="9" t="inlineStr">
        <is>
          <t>Page 18, Exchange difference on translation of foreign operation, Group 2020</t>
        </is>
      </c>
    </row>
    <row r="27" ht="18" customHeight="1">
      <c r="A27" s="10" t="inlineStr">
        <is>
          <t>Reclassification adjustments on exchange differences on translation of foreign operations, net of tax</t>
        </is>
      </c>
      <c r="B27" s="11" t="n"/>
      <c r="C27" s="11" t="n"/>
      <c r="D27" s="9" t="n"/>
    </row>
    <row r="28" ht="18" customHeight="1">
      <c r="A28" s="10" t="inlineStr">
        <is>
          <t>Other comprehensive income, net of tax, exchange differences on translation of foreign operations</t>
        </is>
      </c>
      <c r="B28" s="11" t="n"/>
      <c r="C28" s="11" t="n"/>
      <c r="D28" s="9" t="n"/>
    </row>
    <row r="29" ht="18" customHeight="1">
      <c r="A29" s="4" t="inlineStr">
        <is>
          <t>Financial assets measured at fair value through other comprehensive income [abstract]</t>
        </is>
      </c>
      <c r="B29" s="5" t="n"/>
      <c r="C29" s="5" t="n"/>
      <c r="D29" s="6" t="n"/>
    </row>
    <row r="30" ht="18" customHeight="1">
      <c r="A30" s="10" t="inlineStr">
        <is>
          <t>Gains (losses) on financial assets measured at fair value through other comprehensive income, net of tax</t>
        </is>
      </c>
      <c r="B30" s="11" t="n"/>
      <c r="C30" s="11" t="n"/>
      <c r="D30" s="9" t="n"/>
    </row>
    <row r="31" ht="18" customHeight="1">
      <c r="A31" s="10" t="inlineStr">
        <is>
          <t>Reclassification adjustments on financial assets measured at fair value through other comprehensive income, net of tax</t>
        </is>
      </c>
      <c r="B31" s="11" t="n"/>
      <c r="C31" s="11" t="n"/>
      <c r="D31" s="9" t="n"/>
    </row>
    <row r="32" ht="18" customHeight="1">
      <c r="A32" s="10" t="inlineStr">
        <is>
          <t>Amounts removed from equity and adjusted against fair value of financial assets on reclassification out of fair value through other comprehensive income measurement category, net of tax</t>
        </is>
      </c>
      <c r="B32" s="11" t="n"/>
      <c r="C32" s="11" t="n"/>
      <c r="D32" s="9" t="n"/>
    </row>
    <row r="33" ht="18" customHeight="1">
      <c r="A33" s="12" t="inlineStr">
        <is>
          <t>Other comprehensive income, net of tax, financial assets measured at fair value through other comprehensive income</t>
        </is>
      </c>
      <c r="B33" s="13">
        <f>1*B26+1*B27+1*B28+1*B30+1*B31+1*B32</f>
        <v/>
      </c>
      <c r="C33" s="13">
        <f>1*C26+1*C27+1*C28+1*C30+1*C31+1*C32</f>
        <v/>
      </c>
      <c r="D33" s="14" t="n"/>
    </row>
    <row r="34" ht="18" customHeight="1">
      <c r="A34" s="10" t="inlineStr">
        <is>
          <t>Share of other comprehensive income of associates and joint ventures accounted for using equity method that will be reclassified to profit or loss, net of tax</t>
        </is>
      </c>
      <c r="B34" s="11" t="n"/>
      <c r="C34" s="11" t="n"/>
      <c r="D34" s="9" t="n"/>
    </row>
    <row r="35" ht="18" customHeight="1">
      <c r="A35" s="10" t="inlineStr">
        <is>
          <t>Others comprehensive income, net of tax, gains (losses) on other items</t>
        </is>
      </c>
      <c r="B35" s="11" t="n">
        <v>643844</v>
      </c>
      <c r="C35" s="11" t="n">
        <v>-591224</v>
      </c>
      <c r="D35" s="9" t="inlineStr">
        <is>
          <t>Page 18, Total other comprehensive income for the year, net of tax (reclassifiable), Group 2020. Comprises Exchange difference (602,165) and Cash flow hedge 10,941.</t>
        </is>
      </c>
    </row>
    <row r="36" ht="18" customHeight="1">
      <c r="A36" s="12" t="inlineStr">
        <is>
          <t>Total other comprehensive income that will be reclassified to profit or loss, net of tax</t>
        </is>
      </c>
      <c r="B36" s="13">
        <f>1*B34+1*B35</f>
        <v/>
      </c>
      <c r="C36" s="13">
        <f>1*C34+1*C35</f>
        <v/>
      </c>
      <c r="D36" s="14" t="n"/>
    </row>
    <row r="37" ht="18" customHeight="1">
      <c r="A37" s="12" t="inlineStr">
        <is>
          <t>Total other comprehensive income</t>
        </is>
      </c>
      <c r="B37" s="13">
        <f>1*B11+1*B15+1*B36</f>
        <v/>
      </c>
      <c r="C37" s="13">
        <f>1*C11+1*C15+1*C36</f>
        <v/>
      </c>
      <c r="D37" s="14" t="n"/>
    </row>
    <row r="38" ht="18" customHeight="1">
      <c r="A38" s="12" t="inlineStr">
        <is>
          <t>Total comprehensive income</t>
        </is>
      </c>
      <c r="B38" s="13">
        <f>1*B7+1*B37</f>
        <v/>
      </c>
      <c r="C38" s="13">
        <f>1*C7+1*C37</f>
        <v/>
      </c>
      <c r="D38" s="14" t="n"/>
    </row>
    <row r="39" ht="18" customHeight="1">
      <c r="A39" s="4" t="inlineStr">
        <is>
          <t>Comprehensive income attributable to [abstract]</t>
        </is>
      </c>
      <c r="B39" s="5" t="n"/>
      <c r="C39" s="5" t="n"/>
      <c r="D39" s="6" t="n"/>
    </row>
    <row r="40" ht="18" customHeight="1">
      <c r="A40" s="12" t="inlineStr">
        <is>
          <t>Total comprehensive income, attributable to owners of parent</t>
        </is>
      </c>
      <c r="B40" s="13" t="n"/>
      <c r="C40" s="13" t="n"/>
      <c r="D40" s="14" t="inlineStr">
        <is>
          <t>Page 19, Total comprehensive income attributable to Owners of the Company, Group 2020</t>
        </is>
      </c>
    </row>
    <row r="41" ht="18" customHeight="1">
      <c r="A41" s="12" t="inlineStr">
        <is>
          <t>Total comprehensive income, attributable to non-controlling interests</t>
        </is>
      </c>
      <c r="B41" s="13" t="n"/>
      <c r="C41" s="13" t="n"/>
      <c r="D41" s="14" t="inlineStr">
        <is>
          <t>Page 19, Total comprehensive income attributable to Non-controlling interests, Group 2020</t>
        </is>
      </c>
    </row>
    <row r="42" ht="18" customHeight="1">
      <c r="A42" s="12" t="inlineStr">
        <is>
          <t>Total comprehensive income</t>
        </is>
      </c>
      <c r="B42" s="13">
        <f>1*B40+1*B41</f>
        <v/>
      </c>
      <c r="C42" s="13">
        <f>1*C40+1*C41</f>
        <v/>
      </c>
      <c r="D42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7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1" t="inlineStr">
        <is>
          <t>01/01/YYYY - 31/12/YYYY</t>
        </is>
      </c>
      <c r="C1" s="1" t="inlineStr">
        <is>
          <t>01/01/YYYY - 31/12/YYYY</t>
        </is>
      </c>
      <c r="D1" s="2" t="inlineStr">
        <is>
          <t>Source</t>
        </is>
      </c>
    </row>
    <row r="2"/>
    <row r="3" ht="24" customHeight="1">
      <c r="A3" s="3" t="inlineStr">
        <is>
          <t>Statement of cash flows, indirect method</t>
        </is>
      </c>
      <c r="D3" s="3" t="n"/>
    </row>
    <row r="4" ht="18" customHeight="1">
      <c r="A4" s="4" t="inlineStr">
        <is>
          <t>Statement of cash flows</t>
        </is>
      </c>
      <c r="B4" s="5" t="n"/>
      <c r="C4" s="5" t="n"/>
      <c r="D4" s="6" t="n"/>
    </row>
    <row r="5" ht="18" customHeight="1">
      <c r="A5" s="4" t="inlineStr">
        <is>
          <t>Statement of cash flows</t>
        </is>
      </c>
      <c r="B5" s="5" t="n"/>
      <c r="C5" s="5" t="n"/>
      <c r="D5" s="6" t="n"/>
    </row>
    <row r="6" ht="18" customHeight="1">
      <c r="A6" s="4" t="inlineStr">
        <is>
          <t>Statement of cash flows</t>
        </is>
      </c>
      <c r="B6" s="5" t="n"/>
      <c r="C6" s="5" t="n"/>
      <c r="D6" s="6" t="n"/>
    </row>
    <row r="7" ht="18" customHeight="1">
      <c r="A7" s="4" t="inlineStr">
        <is>
          <t>Cash flows from (used in) operating activities</t>
        </is>
      </c>
      <c r="B7" s="5" t="n"/>
      <c r="C7" s="5" t="n"/>
      <c r="D7" s="6" t="n"/>
    </row>
    <row r="8" ht="18" customHeight="1">
      <c r="A8" s="7" t="inlineStr">
        <is>
          <t>*Profit (loss) before tax</t>
        </is>
      </c>
      <c r="B8" s="11" t="n">
        <v>60689404</v>
      </c>
      <c r="C8" s="11" t="n">
        <v>20597781</v>
      </c>
      <c r="D8" s="9" t="inlineStr">
        <is>
          <t>Page 22, Profit before tax</t>
        </is>
      </c>
    </row>
    <row r="9" ht="18" customHeight="1">
      <c r="A9" s="12" t="inlineStr">
        <is>
          <t>*Total profit(loss) before tax</t>
        </is>
      </c>
      <c r="B9" s="13">
        <f>1*B8</f>
        <v/>
      </c>
      <c r="C9" s="13">
        <f>1*C8</f>
        <v/>
      </c>
      <c r="D9" s="14" t="n"/>
    </row>
    <row r="10" ht="18" customHeight="1">
      <c r="A10" s="4" t="inlineStr">
        <is>
          <t>Adjustments to reconcile profit (loss)</t>
        </is>
      </c>
      <c r="B10" s="5" t="n"/>
      <c r="C10" s="5" t="n"/>
      <c r="D10" s="6" t="n"/>
    </row>
    <row r="11" ht="18" customHeight="1">
      <c r="A11" s="10" t="inlineStr">
        <is>
          <t>Adjustments for depreciation</t>
        </is>
      </c>
      <c r="B11" s="11" t="n">
        <v>39513711</v>
      </c>
      <c r="C11" s="11" t="n">
        <v>40680256</v>
      </c>
      <c r="D11" s="9" t="inlineStr">
        <is>
          <t>Page 22, Depreciation of PPE (31,002,867) + Depreciation of ROU assets (9,677,389)</t>
        </is>
      </c>
    </row>
    <row r="12" ht="18" customHeight="1">
      <c r="A12" s="10" t="inlineStr">
        <is>
          <t>Adjustments for amortisation expense</t>
        </is>
      </c>
      <c r="B12" s="11" t="n"/>
      <c r="C12" s="11" t="n"/>
      <c r="D12" s="9" t="n"/>
    </row>
    <row r="13" ht="18" customHeight="1">
      <c r="A13" s="10" t="inlineStr">
        <is>
          <t>Adjustments for dividend income</t>
        </is>
      </c>
      <c r="B13" s="11" t="n">
        <v>36600</v>
      </c>
      <c r="C13" s="11" t="n">
        <v>0</v>
      </c>
      <c r="D13" s="9" t="inlineStr">
        <is>
          <t>Page 22, Dividend income</t>
        </is>
      </c>
    </row>
    <row r="14" ht="18" customHeight="1">
      <c r="A14" s="10" t="inlineStr">
        <is>
          <t>Adjustments for equity settled share-based payment transactions</t>
        </is>
      </c>
      <c r="B14" s="11" t="n"/>
      <c r="C14" s="11" t="n"/>
      <c r="D14" s="9" t="n"/>
    </row>
    <row r="15" ht="18" customHeight="1">
      <c r="A15" s="10" t="inlineStr">
        <is>
          <t>Adjustments for changes in fair value of investment properties</t>
        </is>
      </c>
      <c r="B15" s="11" t="n"/>
      <c r="C15" s="11" t="n"/>
      <c r="D15" s="9" t="n"/>
    </row>
    <row r="16" ht="18" customHeight="1">
      <c r="A16" s="10" t="inlineStr">
        <is>
          <t>Adjustments for unrealised foreign exchange losses (gains)</t>
        </is>
      </c>
      <c r="B16" s="11" t="n">
        <v>2404500</v>
      </c>
      <c r="C16" s="11" t="n">
        <v>-1219222</v>
      </c>
      <c r="D16" s="9" t="inlineStr">
        <is>
          <t>Page 22, Unrealised loss/(gain) on foreign exchange</t>
        </is>
      </c>
    </row>
    <row r="17" ht="18" customHeight="1">
      <c r="A17" s="10" t="inlineStr">
        <is>
          <t>Adjustments for interest income</t>
        </is>
      </c>
      <c r="B17" s="11" t="n">
        <v>1201064</v>
      </c>
      <c r="C17" s="11" t="n">
        <v>3569988</v>
      </c>
      <c r="D17" s="9" t="inlineStr">
        <is>
          <t>Page 22, Interest income</t>
        </is>
      </c>
    </row>
    <row r="18" ht="18" customHeight="1">
      <c r="A18" s="10" t="inlineStr">
        <is>
          <t>Adjustments for performance-based employee share scheme and other expenses</t>
        </is>
      </c>
      <c r="B18" s="11" t="n"/>
      <c r="C18" s="11" t="n"/>
      <c r="D18" s="9" t="n"/>
    </row>
    <row r="19" ht="18" customHeight="1">
      <c r="A19" s="10" t="inlineStr">
        <is>
          <t>Adjustments for share of profits of joint ventures (net of tax)</t>
        </is>
      </c>
      <c r="B19" s="11" t="n">
        <v>-291946</v>
      </c>
      <c r="C19" s="11" t="n">
        <v>302060</v>
      </c>
      <c r="D19" s="9" t="inlineStr">
        <is>
          <t>Page 22, Share of results of associated company and joint venture (loss, so positive adjustment)</t>
        </is>
      </c>
    </row>
    <row r="20" ht="18" customHeight="1">
      <c r="A20" s="10" t="inlineStr">
        <is>
          <t>Adjustments for share option expenses</t>
        </is>
      </c>
      <c r="B20" s="11" t="n"/>
      <c r="C20" s="11" t="n"/>
      <c r="D20" s="9" t="n"/>
    </row>
    <row r="21" ht="18" customHeight="1">
      <c r="A21" s="10" t="inlineStr">
        <is>
          <t>Adjustments for undistributed profits of associates</t>
        </is>
      </c>
      <c r="B21" s="11" t="n"/>
      <c r="C21" s="11" t="n"/>
      <c r="D21" s="9" t="n"/>
    </row>
    <row r="22" ht="18" customHeight="1">
      <c r="A22" s="10" t="inlineStr">
        <is>
          <t>Adjustments for finance costs</t>
        </is>
      </c>
      <c r="B22" s="11" t="n">
        <v>14396928</v>
      </c>
      <c r="C22" s="11" t="n">
        <v>18347594</v>
      </c>
      <c r="D22" s="9" t="inlineStr">
        <is>
          <t>Page 22, Interest expense</t>
        </is>
      </c>
    </row>
    <row r="23" ht="18" customHeight="1">
      <c r="A23" s="10" t="inlineStr">
        <is>
          <t>Adjustments for finance income</t>
        </is>
      </c>
      <c r="B23" s="11" t="n"/>
      <c r="C23" s="11" t="n"/>
      <c r="D23" s="9" t="n"/>
    </row>
    <row r="24" ht="18" customHeight="1">
      <c r="A24" s="10" t="inlineStr">
        <is>
          <t>Short-term lease payments, payments for leases of low-value assets and variable lease payments not included in the measurement of the lease liability</t>
        </is>
      </c>
      <c r="B24" s="11" t="n"/>
      <c r="C24" s="11" t="n"/>
      <c r="D24" s="9" t="n"/>
    </row>
    <row r="25" ht="18" customHeight="1">
      <c r="A25" s="10" t="inlineStr">
        <is>
          <t>Adjustments for other non-current assets</t>
        </is>
      </c>
      <c r="B25" s="11" t="n"/>
      <c r="C25" s="11" t="n"/>
      <c r="D25" s="9" t="n"/>
    </row>
    <row r="26" ht="18" customHeight="1">
      <c r="A26" s="4" t="inlineStr">
        <is>
          <t>Adjustments for impairment loss (reversal of impairment loss) recognised in profit or loss</t>
        </is>
      </c>
      <c r="B26" s="5" t="n"/>
      <c r="C26" s="5" t="n"/>
      <c r="D26" s="6" t="n"/>
    </row>
    <row r="27" ht="18" customHeight="1">
      <c r="A27" s="10" t="inlineStr">
        <is>
          <t>Impairment (reversal of impairment) of property, plant and equipment</t>
        </is>
      </c>
      <c r="B27" s="11" t="n"/>
      <c r="C27" s="11" t="n"/>
      <c r="D27" s="9" t="n"/>
    </row>
    <row r="28" ht="18" customHeight="1">
      <c r="A28" s="10" t="inlineStr">
        <is>
          <t>Impairment (reversal of impairment) of investment properties</t>
        </is>
      </c>
      <c r="B28" s="11" t="n"/>
      <c r="C28" s="11" t="n"/>
      <c r="D28" s="9" t="n"/>
    </row>
    <row r="29" ht="18" customHeight="1">
      <c r="A29" s="10" t="inlineStr">
        <is>
          <t>Impairment (reversal of impairment) of prepaid lease rentals</t>
        </is>
      </c>
      <c r="B29" s="11" t="n"/>
      <c r="C29" s="11" t="n"/>
      <c r="D29" s="9" t="n"/>
    </row>
    <row r="30" ht="18" customHeight="1">
      <c r="A30" s="10" t="inlineStr">
        <is>
          <t>Impairment (reversal of impairment) of intangible assets</t>
        </is>
      </c>
      <c r="B30" s="11" t="n"/>
      <c r="C30" s="11" t="n"/>
      <c r="D30" s="9" t="n"/>
    </row>
    <row r="31" ht="18" customHeight="1">
      <c r="A31" s="10" t="inlineStr">
        <is>
          <t>Impairment (reversal of impairment) of investment in subsidiaries</t>
        </is>
      </c>
      <c r="B31" s="11" t="n"/>
      <c r="C31" s="11" t="n"/>
      <c r="D31" s="9" t="n"/>
    </row>
    <row r="32" ht="18" customHeight="1">
      <c r="A32" s="10" t="inlineStr">
        <is>
          <t>Impairment (reversal of impairment) of investment in associates</t>
        </is>
      </c>
      <c r="B32" s="11" t="n"/>
      <c r="C32" s="11" t="n"/>
      <c r="D32" s="9" t="n"/>
    </row>
    <row r="33" ht="18" customHeight="1">
      <c r="A33" s="10" t="inlineStr">
        <is>
          <t>Impairment (reversal of impairment) of investment in joint ventures</t>
        </is>
      </c>
      <c r="B33" s="11" t="n"/>
      <c r="C33" s="11" t="n"/>
      <c r="D33" s="9" t="n"/>
    </row>
    <row r="34" ht="18" customHeight="1">
      <c r="A34" s="10" t="inlineStr">
        <is>
          <t>Impairment (reversal of impairment) of other investments</t>
        </is>
      </c>
      <c r="B34" s="11" t="n"/>
      <c r="C34" s="11" t="n"/>
      <c r="D34" s="9" t="n"/>
    </row>
    <row r="35" ht="18" customHeight="1">
      <c r="A35" s="10" t="inlineStr">
        <is>
          <t>Impairment (reversal of impairment) of other financial assets or receivables</t>
        </is>
      </c>
      <c r="B35" s="11" t="n">
        <v>362401</v>
      </c>
      <c r="C35" s="11" t="n">
        <v>702780</v>
      </c>
      <c r="D35" s="9" t="inlineStr">
        <is>
          <t>Page 22, Allowance for doubtful debts</t>
        </is>
      </c>
    </row>
    <row r="36" ht="18" customHeight="1">
      <c r="A36" s="12" t="inlineStr">
        <is>
          <t>Total adjustment for impairment (reversal of impairment)</t>
        </is>
      </c>
      <c r="B36" s="13">
        <f>1*B28+1*B29+1*B30+1*B31+1*B32+1*B33+1*B34+1*B35</f>
        <v/>
      </c>
      <c r="C36" s="13">
        <f>1*C28+1*C29+1*C30+1*C31+1*C32+1*C33+1*C34+1*C35</f>
        <v/>
      </c>
      <c r="D36" s="14" t="n"/>
    </row>
    <row r="37" ht="18" customHeight="1">
      <c r="A37" s="4" t="inlineStr">
        <is>
          <t>Adjustments for losses (gains) on disposal of non-current assets</t>
        </is>
      </c>
      <c r="B37" s="5" t="n"/>
      <c r="C37" s="5" t="n"/>
      <c r="D37" s="6" t="n"/>
    </row>
    <row r="38" ht="18" customHeight="1">
      <c r="A38" s="10" t="inlineStr">
        <is>
          <t>(Gain) loss on disposal of property, plant and equipment</t>
        </is>
      </c>
      <c r="B38" s="11" t="n">
        <v>-809323</v>
      </c>
      <c r="C38" s="11" t="n">
        <v>-648816</v>
      </c>
      <c r="D38" s="9" t="inlineStr">
        <is>
          <t>Page 22, Gain on disposal of property, plant and equipment</t>
        </is>
      </c>
    </row>
    <row r="39" ht="18" customHeight="1">
      <c r="A39" s="10" t="inlineStr">
        <is>
          <t>(Gain) loss on disposal of investment properties</t>
        </is>
      </c>
      <c r="B39" s="11" t="n"/>
      <c r="C39" s="11" t="n"/>
      <c r="D39" s="9" t="n"/>
    </row>
    <row r="40" ht="18" customHeight="1">
      <c r="A40" s="12" t="inlineStr">
        <is>
          <t>Total gain (loss) on disposal of non-current assets</t>
        </is>
      </c>
      <c r="B40" s="13">
        <f>1*B38+1*B39</f>
        <v/>
      </c>
      <c r="C40" s="13">
        <f>1*C38+1*C39</f>
        <v/>
      </c>
      <c r="D40" s="14" t="n"/>
    </row>
    <row r="41" ht="18" customHeight="1">
      <c r="A41" s="10" t="inlineStr">
        <is>
          <t>(Gain) loss on disposal of subsidiaries</t>
        </is>
      </c>
      <c r="B41" s="11" t="n">
        <v>824860</v>
      </c>
      <c r="C41" s="11" t="n">
        <v>0</v>
      </c>
      <c r="D41" s="9" t="inlineStr">
        <is>
          <t>Page 22, Loss on derecognition of subsidiary</t>
        </is>
      </c>
    </row>
    <row r="42" ht="18" customHeight="1">
      <c r="A42" s="10" t="inlineStr">
        <is>
          <t>(Gain) loss on disposal of associates</t>
        </is>
      </c>
      <c r="B42" s="11" t="n"/>
      <c r="C42" s="11" t="n"/>
      <c r="D42" s="9" t="n"/>
    </row>
    <row r="43" ht="18" customHeight="1">
      <c r="A43" s="10" t="inlineStr">
        <is>
          <t>(Gain) loss on disposal of joint ventures</t>
        </is>
      </c>
      <c r="B43" s="11" t="n"/>
      <c r="C43" s="11" t="n"/>
      <c r="D43" s="9" t="n"/>
    </row>
    <row r="44" ht="18" customHeight="1">
      <c r="A44" s="10" t="inlineStr">
        <is>
          <t>Gain on disposal of other investments</t>
        </is>
      </c>
      <c r="B44" s="11" t="n"/>
      <c r="C44" s="11" t="n"/>
      <c r="D44" s="9" t="n"/>
    </row>
    <row r="45" ht="18" customHeight="1">
      <c r="A45" s="10" t="inlineStr">
        <is>
          <t>Realised foreign currencies exchange gain transferred from equity</t>
        </is>
      </c>
      <c r="B45" s="11" t="n"/>
      <c r="C45" s="11" t="n"/>
      <c r="D45" s="9" t="n"/>
    </row>
    <row r="46" ht="18" customHeight="1">
      <c r="A46" s="10" t="inlineStr">
        <is>
          <t>Other adjustments for non-cash items</t>
        </is>
      </c>
      <c r="B46" s="11" t="n"/>
      <c r="C46" s="11" t="n"/>
      <c r="D46" s="9" t="n"/>
    </row>
    <row r="47" ht="18" customHeight="1">
      <c r="A47" s="4" t="inlineStr">
        <is>
          <t>Write–off:</t>
        </is>
      </c>
      <c r="B47" s="5" t="n"/>
      <c r="C47" s="5" t="n"/>
      <c r="D47" s="6" t="n"/>
    </row>
    <row r="48" ht="18" customHeight="1">
      <c r="A48" s="10" t="inlineStr">
        <is>
          <t>Write offs of property, plant and equipment</t>
        </is>
      </c>
      <c r="B48" s="11" t="n">
        <v>194208</v>
      </c>
      <c r="C48" s="11" t="n">
        <v>58618</v>
      </c>
      <c r="D48" s="9" t="inlineStr">
        <is>
          <t>Page 22, Property, plant and equipment written off</t>
        </is>
      </c>
    </row>
    <row r="49" ht="18" customHeight="1">
      <c r="A49" s="10" t="inlineStr">
        <is>
          <t>Write offs of intangible assets</t>
        </is>
      </c>
      <c r="B49" s="11" t="n"/>
      <c r="C49" s="11" t="n"/>
      <c r="D49" s="9" t="n"/>
    </row>
    <row r="50" ht="18" customHeight="1">
      <c r="A50" s="10" t="inlineStr">
        <is>
          <t>Write offs of investments</t>
        </is>
      </c>
      <c r="B50" s="11" t="n"/>
      <c r="C50" s="11" t="n"/>
      <c r="D50" s="9" t="n"/>
    </row>
    <row r="51" ht="18" customHeight="1">
      <c r="A51" s="10" t="inlineStr">
        <is>
          <t>Write offs of inventories</t>
        </is>
      </c>
      <c r="B51" s="11" t="n"/>
      <c r="C51" s="11" t="n"/>
      <c r="D51" s="9" t="n"/>
    </row>
    <row r="52" ht="18" customHeight="1">
      <c r="A52" s="10" t="inlineStr">
        <is>
          <t>Write off of trade and other receivables</t>
        </is>
      </c>
      <c r="B52" s="11" t="n">
        <v>147213</v>
      </c>
      <c r="C52" s="11" t="n">
        <v>196771</v>
      </c>
      <c r="D52" s="9" t="inlineStr">
        <is>
          <t>Page 22, Bad debts written off</t>
        </is>
      </c>
    </row>
    <row r="53" ht="18" customHeight="1">
      <c r="A53" s="10" t="inlineStr">
        <is>
          <t>Write offs of other financial assets</t>
        </is>
      </c>
      <c r="B53" s="11" t="n"/>
      <c r="C53" s="11" t="n"/>
      <c r="D53" s="9" t="n"/>
    </row>
    <row r="54" ht="18" customHeight="1">
      <c r="A54" s="12" t="inlineStr">
        <is>
          <t>Total write-off</t>
        </is>
      </c>
      <c r="B54" s="13">
        <f>1*B48+1*B49+1*B50+1*B51+1*B52+1*B53</f>
        <v/>
      </c>
      <c r="C54" s="13">
        <f>1*C48+1*C49+1*C50+1*C51+1*C52+1*C53</f>
        <v/>
      </c>
      <c r="D54" s="14" t="n"/>
    </row>
    <row r="55" ht="18" customHeight="1">
      <c r="A55" s="10" t="inlineStr">
        <is>
          <t>Write back of expenses</t>
        </is>
      </c>
      <c r="B55" s="11" t="n"/>
      <c r="C55" s="11" t="n"/>
      <c r="D55" s="9" t="n"/>
    </row>
    <row r="56" ht="18" customHeight="1">
      <c r="A56" s="10" t="inlineStr">
        <is>
          <t>Other adjustments to reconcile profit (loss)</t>
        </is>
      </c>
      <c r="B56" s="11" t="n">
        <v>-52461</v>
      </c>
      <c r="C56" s="11" t="n">
        <v>-174436</v>
      </c>
      <c r="D56" s="9" t="inlineStr">
        <is>
          <t>Page 22, FV gain investments (-174,436)</t>
        </is>
      </c>
    </row>
    <row r="57" ht="18" customHeight="1">
      <c r="A57" s="12" t="inlineStr">
        <is>
          <t>*Total adjustments to reconcile profit (loss)</t>
        </is>
      </c>
      <c r="B57" s="13">
        <f>1*B11+1*B12+-1*B13+1*B14+-1*B15+1*B16+-1*B17+1*B18+1*B19+1*B20+-1*B21+1*B22+-1*B23+-1*B24+1*B25+1*B56+-1*B60+-1*B41+-1*B42+-1*B43+-1*B44+-1*B45+1*B46+1*B54+1*B55+1*B56</f>
        <v/>
      </c>
      <c r="C57" s="13">
        <f>1*C11+1*C12+-1*C13+1*C14+-1*C15+1*C16+-1*C17+1*C18+1*C19+1*C20+-1*C21+1*C22+-1*C23+-1*C24+1*C25+1*C56+-1*C60+-1*C41+-1*C42+-1*C43+-1*C44+-1*C45+1*C46+1*C54+1*C55+1*C56</f>
        <v/>
      </c>
      <c r="D57" s="14" t="n"/>
    </row>
    <row r="58" ht="18" customHeight="1">
      <c r="A58" s="7" t="inlineStr">
        <is>
          <t>*Operating surplus (deficit) before working capital changes</t>
        </is>
      </c>
      <c r="B58" s="8">
        <f>1*B9+1*B57</f>
        <v/>
      </c>
      <c r="C58" s="8">
        <f>1*C9+1*C57</f>
        <v/>
      </c>
      <c r="D58" s="9" t="n"/>
    </row>
    <row r="59" ht="18" customHeight="1">
      <c r="A59" s="4" t="inlineStr">
        <is>
          <t>Changes in working capital</t>
        </is>
      </c>
      <c r="B59" s="5" t="n"/>
      <c r="C59" s="5" t="n"/>
      <c r="D59" s="6" t="n"/>
    </row>
    <row r="60" ht="18" customHeight="1">
      <c r="A60" s="10" t="inlineStr">
        <is>
          <t>Adjustments for decrease (increase) in inventories</t>
        </is>
      </c>
      <c r="B60" s="11" t="n"/>
      <c r="C60" s="11" t="n"/>
      <c r="D60" s="9" t="n"/>
    </row>
    <row r="61" ht="18" customHeight="1">
      <c r="A61" s="10" t="inlineStr">
        <is>
          <t>Adjustments for decrease (increase) in trade and other receivables</t>
        </is>
      </c>
      <c r="B61" s="11" t="n">
        <v>75654699</v>
      </c>
      <c r="C61" s="11" t="n">
        <v>-3898981</v>
      </c>
      <c r="D61" s="9" t="inlineStr">
        <is>
          <t>Page 22, Changes in receivables (positive means decrease)</t>
        </is>
      </c>
    </row>
    <row r="62" ht="18" customHeight="1">
      <c r="A62" s="10" t="inlineStr">
        <is>
          <t>Adjustments for increase (decrease) in trade and other payables</t>
        </is>
      </c>
      <c r="B62" s="11" t="n">
        <v>-44479662</v>
      </c>
      <c r="C62" s="11" t="n">
        <v>6923397</v>
      </c>
      <c r="D62" s="9" t="inlineStr">
        <is>
          <t>Page 22, Changes in payables (negative means decrease)</t>
        </is>
      </c>
    </row>
    <row r="63" ht="18" customHeight="1">
      <c r="A63" s="10" t="inlineStr">
        <is>
          <t>Adjustments for decrease (increase) in property development costs</t>
        </is>
      </c>
      <c r="B63" s="11" t="n"/>
      <c r="C63" s="11" t="n"/>
      <c r="D63" s="9" t="n"/>
    </row>
    <row r="64" ht="18" customHeight="1">
      <c r="A64" s="10" t="inlineStr">
        <is>
          <t>Adjustments for decrease (increase) in contract assets</t>
        </is>
      </c>
      <c r="B64" s="11" t="n"/>
      <c r="C64" s="11" t="n"/>
      <c r="D64" s="9" t="n"/>
    </row>
    <row r="65" ht="18" customHeight="1">
      <c r="A65" s="10" t="inlineStr">
        <is>
          <t>Adjustments for decrease (increase) in contract liabilities</t>
        </is>
      </c>
      <c r="B65" s="11" t="n"/>
      <c r="C65" s="11" t="n"/>
      <c r="D65" s="9" t="n"/>
    </row>
    <row r="66" ht="18" customHeight="1">
      <c r="A66" s="12" t="inlineStr">
        <is>
          <t>*Total changes in working capital</t>
        </is>
      </c>
      <c r="B66" s="13">
        <f>-1*B60+-1*B61+-1*B62+-1*B63+-1*B64+-1*B65</f>
        <v/>
      </c>
      <c r="C66" s="13">
        <f>-1*C60+-1*C61+-1*C62+-1*C63+-1*C64+-1*C65</f>
        <v/>
      </c>
      <c r="D66" s="14" t="n"/>
    </row>
    <row r="67" ht="18" customHeight="1">
      <c r="A67" s="7" t="inlineStr">
        <is>
          <t>*Cash generated from (used in) operations</t>
        </is>
      </c>
      <c r="B67" s="8">
        <f>1*B58+1*B66</f>
        <v/>
      </c>
      <c r="C67" s="8">
        <f>1*C58+1*C66</f>
        <v/>
      </c>
      <c r="D67" s="9" t="n"/>
    </row>
    <row r="68" ht="18" customHeight="1">
      <c r="A68" s="10" t="inlineStr">
        <is>
          <t>Dividends received</t>
        </is>
      </c>
      <c r="B68" s="11" t="n"/>
      <c r="C68" s="11" t="n"/>
      <c r="D68" s="9" t="n"/>
    </row>
    <row r="69" ht="18" customHeight="1">
      <c r="A69" s="10" t="inlineStr">
        <is>
          <t>Dividends paid</t>
        </is>
      </c>
      <c r="B69" s="11" t="n"/>
      <c r="C69" s="11" t="n"/>
      <c r="D69" s="9" t="n"/>
    </row>
    <row r="70" ht="18" customHeight="1">
      <c r="A70" s="10" t="inlineStr">
        <is>
          <t>Interest received</t>
        </is>
      </c>
      <c r="B70" s="11" t="n">
        <v>952139</v>
      </c>
      <c r="C70" s="11" t="n">
        <v>1540298</v>
      </c>
      <c r="D70" s="9" t="inlineStr">
        <is>
          <t>Page 22, Interest received</t>
        </is>
      </c>
    </row>
    <row r="71" ht="18" customHeight="1">
      <c r="A71" s="10" t="inlineStr">
        <is>
          <t>Interest paid</t>
        </is>
      </c>
      <c r="B71" s="11" t="n"/>
      <c r="C71" s="11" t="n"/>
      <c r="D71" s="9" t="n"/>
    </row>
    <row r="72" ht="18" customHeight="1">
      <c r="A72" s="10" t="inlineStr">
        <is>
          <t>Payment to a retirement benefits scheme</t>
        </is>
      </c>
      <c r="B72" s="11" t="n"/>
      <c r="C72" s="11" t="n"/>
      <c r="D72" s="9" t="n"/>
    </row>
    <row r="73" ht="18" customHeight="1">
      <c r="A73" s="10" t="inlineStr">
        <is>
          <t>Income taxes refund (paid)</t>
        </is>
      </c>
      <c r="B73" s="11" t="n">
        <v>-13636579</v>
      </c>
      <c r="C73" s="11" t="n">
        <v>-3323074</v>
      </c>
      <c r="D73" s="9" t="inlineStr">
        <is>
          <t>Page 22, Net tax (paid)/refund</t>
        </is>
      </c>
    </row>
    <row r="74" ht="18" customHeight="1">
      <c r="A74" s="10" t="inlineStr">
        <is>
          <t>Other cash inflows (outflows) from operating activities</t>
        </is>
      </c>
      <c r="B74" s="11" t="n"/>
      <c r="C74" s="11" t="n"/>
      <c r="D74" s="9" t="n"/>
    </row>
    <row r="75" ht="18" customHeight="1">
      <c r="A75" s="7" t="inlineStr">
        <is>
          <t>*Net cash flows from (used in) operating activities</t>
        </is>
      </c>
      <c r="B75" s="8">
        <f>1*B24+1*B68+1*B69+1*B70+1*B71+1*B72+1*B73+1*B74+1*B67</f>
        <v/>
      </c>
      <c r="C75" s="8">
        <f>1*C24+1*C68+1*C69+1*C70+1*C71+1*C72+1*C73+1*C74+1*C67</f>
        <v/>
      </c>
      <c r="D75" s="9" t="n"/>
    </row>
    <row r="76" ht="18" customHeight="1">
      <c r="A76" s="4" t="inlineStr">
        <is>
          <t>Cash flows from (used in) investing activities</t>
        </is>
      </c>
      <c r="B76" s="5" t="n"/>
      <c r="C76" s="5" t="n"/>
      <c r="D76" s="6" t="n"/>
    </row>
    <row r="77" ht="18" customHeight="1">
      <c r="A77" s="10" t="inlineStr">
        <is>
          <t>Proceeds from disposal of subsidiaries</t>
        </is>
      </c>
      <c r="B77" s="11" t="n"/>
      <c r="C77" s="11" t="n"/>
      <c r="D77" s="9" t="n"/>
    </row>
    <row r="78" ht="18" customHeight="1">
      <c r="A78" s="10" t="inlineStr">
        <is>
          <t>Acquisition and subscription of shares in subsidiaries</t>
        </is>
      </c>
      <c r="B78" s="11" t="n"/>
      <c r="C78" s="11" t="n"/>
      <c r="D78" s="9" t="n"/>
    </row>
    <row r="79" ht="18" customHeight="1">
      <c r="A79" s="10" t="inlineStr">
        <is>
          <t>Proceeds from disposal of associates</t>
        </is>
      </c>
      <c r="B79" s="11" t="n"/>
      <c r="C79" s="11" t="n"/>
      <c r="D79" s="9" t="n"/>
    </row>
    <row r="80" ht="18" customHeight="1">
      <c r="A80" s="10" t="inlineStr">
        <is>
          <t>Acquisition and subscription of shares in associates</t>
        </is>
      </c>
      <c r="B80" s="11" t="n"/>
      <c r="C80" s="11" t="n"/>
      <c r="D80" s="9" t="n"/>
    </row>
    <row r="81" ht="18" customHeight="1">
      <c r="A81" s="10" t="inlineStr">
        <is>
          <t>Proceeds from disposal of joint ventures</t>
        </is>
      </c>
      <c r="B81" s="11" t="n"/>
      <c r="C81" s="11" t="n"/>
      <c r="D81" s="9" t="n"/>
    </row>
    <row r="82" ht="18" customHeight="1">
      <c r="A82" s="10" t="inlineStr">
        <is>
          <t>Acquisition and subscription of shares in joint ventures</t>
        </is>
      </c>
      <c r="B82" s="11" t="n"/>
      <c r="C82" s="11" t="n"/>
      <c r="D82" s="9" t="n"/>
    </row>
    <row r="83" ht="18" customHeight="1">
      <c r="A83" s="10" t="inlineStr">
        <is>
          <t>Cash receipts from repayment of advances and loans made to other parties, classified as investing activities</t>
        </is>
      </c>
      <c r="B83" s="11" t="n"/>
      <c r="C83" s="11" t="n"/>
      <c r="D83" s="9" t="n"/>
    </row>
    <row r="84" ht="18" customHeight="1">
      <c r="A84" s="10" t="inlineStr">
        <is>
          <t>Cash advances and loans made to other parties</t>
        </is>
      </c>
      <c r="B84" s="11" t="n"/>
      <c r="C84" s="11" t="n"/>
      <c r="D84" s="9" t="n"/>
    </row>
    <row r="85" ht="18" customHeight="1">
      <c r="A85" s="10" t="inlineStr">
        <is>
          <t>Deposit placed with investment brokers</t>
        </is>
      </c>
      <c r="B85" s="11" t="n"/>
      <c r="C85" s="11" t="n"/>
      <c r="D85" s="9" t="n"/>
    </row>
    <row r="86" ht="18" customHeight="1">
      <c r="A86" s="10" t="inlineStr">
        <is>
          <t>Other cash payments to acquire equity or debt instruments of other entities</t>
        </is>
      </c>
      <c r="B86" s="11" t="n"/>
      <c r="C86" s="11" t="n"/>
      <c r="D86" s="9" t="n"/>
    </row>
    <row r="87" ht="18" customHeight="1">
      <c r="A87" s="10" t="inlineStr">
        <is>
          <t>Other cash receipts from sales of equity or debt instruments of other entities</t>
        </is>
      </c>
      <c r="B87" s="11" t="n"/>
      <c r="C87" s="11" t="n"/>
      <c r="D87" s="9" t="n"/>
    </row>
    <row r="88" ht="18" customHeight="1">
      <c r="A88" s="10" t="inlineStr">
        <is>
          <t>Disposal of discontinued operation, proceeds from disposal, net of cash and cash equivalents disposed of</t>
        </is>
      </c>
      <c r="B88" s="11" t="n"/>
      <c r="C88" s="11" t="n"/>
      <c r="D88" s="9" t="n"/>
    </row>
    <row r="89" ht="18" customHeight="1">
      <c r="A89" s="10" t="inlineStr">
        <is>
          <t>Disposal of discontinued operation, tax paid on gain on disposal</t>
        </is>
      </c>
      <c r="B89" s="11" t="n"/>
      <c r="C89" s="11" t="n"/>
      <c r="D89" s="9" t="n"/>
    </row>
    <row r="90" ht="18" customHeight="1">
      <c r="A90" s="10" t="inlineStr">
        <is>
          <t>Proceeds from government grants</t>
        </is>
      </c>
      <c r="B90" s="11" t="n"/>
      <c r="C90" s="11" t="n"/>
      <c r="D90" s="9" t="n"/>
    </row>
    <row r="91" ht="18" customHeight="1">
      <c r="A91" s="10" t="inlineStr">
        <is>
          <t>Proceeds from sales of intangible assets</t>
        </is>
      </c>
      <c r="B91" s="11" t="n"/>
      <c r="C91" s="11" t="n"/>
      <c r="D91" s="9" t="n"/>
    </row>
    <row r="92" ht="18" customHeight="1">
      <c r="A92" s="10" t="inlineStr">
        <is>
          <t>Proceeds from sales of other non-current assets</t>
        </is>
      </c>
      <c r="B92" s="11" t="n"/>
      <c r="C92" s="11" t="n"/>
      <c r="D92" s="9" t="n"/>
    </row>
    <row r="93" ht="18" customHeight="1">
      <c r="A93" s="10" t="inlineStr">
        <is>
          <t>Proceeds from sales of property, plant and equipment</t>
        </is>
      </c>
      <c r="B93" s="11" t="n">
        <v>989152</v>
      </c>
      <c r="C93" s="11" t="n">
        <v>1569714</v>
      </c>
      <c r="D93" s="9" t="inlineStr">
        <is>
          <t>Page 23, Proceeds from disposal of property, plant and equipment</t>
        </is>
      </c>
    </row>
    <row r="94" ht="18" customHeight="1">
      <c r="A94" s="10" t="inlineStr">
        <is>
          <t>Proceeds from sale of prepaid lease payments</t>
        </is>
      </c>
      <c r="B94" s="11" t="n"/>
      <c r="C94" s="11" t="n"/>
      <c r="D94" s="9" t="n"/>
    </row>
    <row r="95" ht="18" customHeight="1">
      <c r="A95" s="10" t="inlineStr">
        <is>
          <t>Purchase of intangible assets</t>
        </is>
      </c>
      <c r="B95" s="11" t="n"/>
      <c r="C95" s="11" t="n"/>
      <c r="D95" s="9" t="n"/>
    </row>
    <row r="96" ht="18" customHeight="1">
      <c r="A96" s="10" t="inlineStr">
        <is>
          <t>Purchase of other non-current assets</t>
        </is>
      </c>
      <c r="B96" s="11" t="n"/>
      <c r="C96" s="11" t="n"/>
      <c r="D96" s="9" t="n"/>
    </row>
    <row r="97" ht="18" customHeight="1">
      <c r="A97" s="10" t="inlineStr">
        <is>
          <t>Purchase of property, plant and equipment</t>
        </is>
      </c>
      <c r="B97" s="11" t="n">
        <v>41100888</v>
      </c>
      <c r="C97" s="11" t="n">
        <v>8906592</v>
      </c>
      <c r="D97" s="9" t="inlineStr">
        <is>
          <t>Page 23, Purchase of property, plant and equipment</t>
        </is>
      </c>
    </row>
    <row r="98" ht="18" customHeight="1">
      <c r="A98" s="10" t="inlineStr">
        <is>
          <t>Dividends received</t>
        </is>
      </c>
      <c r="B98" s="11" t="n">
        <v>36600</v>
      </c>
      <c r="C98" s="11" t="n">
        <v>0</v>
      </c>
      <c r="D98" s="9" t="inlineStr">
        <is>
          <t>Page 23, Dividends received</t>
        </is>
      </c>
    </row>
    <row r="99" ht="18" customHeight="1">
      <c r="A99" s="10" t="inlineStr">
        <is>
          <t>Interest received</t>
        </is>
      </c>
      <c r="B99" s="11" t="n">
        <v>248925</v>
      </c>
      <c r="C99" s="11" t="n">
        <v>2029690</v>
      </c>
      <c r="D99" s="9" t="inlineStr">
        <is>
          <t>Page 23, Interest received</t>
        </is>
      </c>
    </row>
    <row r="100" ht="18" customHeight="1">
      <c r="A100" s="10" t="inlineStr">
        <is>
          <t>Proceeds from sale of other investment</t>
        </is>
      </c>
      <c r="B100" s="11" t="n">
        <v>24000</v>
      </c>
      <c r="C100" s="11" t="n">
        <v>0</v>
      </c>
      <c r="D100" s="9" t="inlineStr">
        <is>
          <t>Page 23, Proceeds from disposal of other investment</t>
        </is>
      </c>
    </row>
    <row r="101" ht="18" customHeight="1">
      <c r="A101" s="10" t="inlineStr">
        <is>
          <t>Purchase of other investment</t>
        </is>
      </c>
      <c r="B101" s="11" t="n"/>
      <c r="C101" s="11" t="n"/>
      <c r="D101" s="9" t="n"/>
    </row>
    <row r="102" ht="18" customHeight="1">
      <c r="A102" s="10" t="inlineStr">
        <is>
          <t>Development expenditure incurred</t>
        </is>
      </c>
      <c r="B102" s="11" t="n"/>
      <c r="C102" s="11" t="n"/>
      <c r="D102" s="9" t="n"/>
    </row>
    <row r="103" ht="18" customHeight="1">
      <c r="A103" s="10" t="inlineStr">
        <is>
          <t>Net repayment from joint ventures</t>
        </is>
      </c>
      <c r="B103" s="11" t="n"/>
      <c r="C103" s="11" t="n"/>
      <c r="D103" s="9" t="n"/>
    </row>
    <row r="104" ht="18" customHeight="1">
      <c r="A104" s="10" t="inlineStr">
        <is>
          <t>Net repayment from associates</t>
        </is>
      </c>
      <c r="B104" s="11" t="n"/>
      <c r="C104" s="11" t="n"/>
      <c r="D104" s="9" t="n"/>
    </row>
    <row r="105" ht="18" customHeight="1">
      <c r="A105" s="10" t="inlineStr">
        <is>
          <t>Capital distributions from associates</t>
        </is>
      </c>
      <c r="B105" s="11" t="n"/>
      <c r="C105" s="11" t="n"/>
      <c r="D105" s="9" t="n"/>
    </row>
    <row r="106" ht="18" customHeight="1">
      <c r="A106" s="10" t="inlineStr">
        <is>
          <t>Other cash inflows (outflows) from investing activities</t>
        </is>
      </c>
      <c r="B106" s="11" t="n">
        <v>-44992</v>
      </c>
      <c r="C106" s="11" t="n">
        <v>-540910</v>
      </c>
      <c r="D106" s="9" t="inlineStr">
        <is>
          <t>Page 23, Deposit leasehold (-2,900,910) + Repay JV (2,400,000) + Advance assoc (-40,000)</t>
        </is>
      </c>
    </row>
    <row r="107" ht="18" customHeight="1">
      <c r="A107" s="7" t="inlineStr">
        <is>
          <t>*Net cash flows from (used in) investing activities</t>
        </is>
      </c>
      <c r="B107" s="8">
        <f>1*B77+-1*B78+1*B79+1*B81+-1*B82+1*B83+-1*B84+1*B85+-1*B86+1*B87+-1*B88+1*B89+1*B90+1*B91+1*B92+1*B93+-1*B95+-1*B96+-1*B97+1*B98+1*B99+1*B100+-1*B101+1*B106+1*B80+-1*B102+1*B94+-1*B103+-1*B104+1*B105</f>
        <v/>
      </c>
      <c r="C107" s="8">
        <f>1*C77+-1*C78+1*C79+1*C81+-1*C82+1*C83+-1*C84+1*C85+-1*C86+1*C87+-1*C88+1*C89+1*C90+1*C91+1*C92+1*C93+-1*C95+-1*C96+-1*C97+1*C98+1*C99+1*C100+-1*C101+1*C106+1*C80+-1*C102+1*C94+-1*C103+-1*C104+1*C105</f>
        <v/>
      </c>
      <c r="D107" s="9" t="n"/>
    </row>
    <row r="108" ht="18" customHeight="1">
      <c r="A108" s="4" t="inlineStr">
        <is>
          <t>Cash flows from (used in) financing activities</t>
        </is>
      </c>
      <c r="B108" s="5" t="n"/>
      <c r="C108" s="5" t="n"/>
      <c r="D108" s="6" t="n"/>
    </row>
    <row r="109" ht="18" customHeight="1">
      <c r="A109" s="10" t="inlineStr">
        <is>
          <t>Cash payments for the principal portion of the lease liability</t>
        </is>
      </c>
      <c r="B109" s="11" t="n">
        <v>-11114647</v>
      </c>
      <c r="C109" s="11" t="n">
        <v>-9433205</v>
      </c>
      <c r="D109" s="9" t="inlineStr">
        <is>
          <t>Page 23, Repayment of lease liabilities</t>
        </is>
      </c>
    </row>
    <row r="110" ht="18" customHeight="1">
      <c r="A110" s="10" t="inlineStr">
        <is>
          <t>Cash payments for the interest portion of the lease liability</t>
        </is>
      </c>
      <c r="B110" s="11" t="n"/>
      <c r="C110" s="11" t="n"/>
      <c r="D110" s="9" t="n"/>
    </row>
    <row r="111" ht="18" customHeight="1">
      <c r="A111" s="10" t="inlineStr">
        <is>
          <t>Proceeds from issuing shares</t>
        </is>
      </c>
      <c r="B111" s="11" t="n"/>
      <c r="C111" s="11" t="n"/>
      <c r="D111" s="9" t="n"/>
    </row>
    <row r="112" ht="18" customHeight="1">
      <c r="A112" s="10" t="inlineStr">
        <is>
          <t>Proceeds from issue of shares in subsidiary to non-controlling interests</t>
        </is>
      </c>
      <c r="B112" s="11" t="n">
        <v>0</v>
      </c>
      <c r="C112" s="11" t="n">
        <v>125000000</v>
      </c>
      <c r="D112" s="9" t="inlineStr">
        <is>
          <t>Page 23, Proceeds from issuance of shares to non-controlling interest</t>
        </is>
      </c>
    </row>
    <row r="113" ht="18" customHeight="1">
      <c r="A113" s="10" t="inlineStr">
        <is>
          <t>Proceeds from issuing other equity instruments</t>
        </is>
      </c>
      <c r="B113" s="11" t="n"/>
      <c r="C113" s="11" t="n"/>
      <c r="D113" s="9" t="n"/>
    </row>
    <row r="114" ht="18" customHeight="1">
      <c r="A114" s="10" t="inlineStr">
        <is>
          <t>Proceeds from share-based compensation transactions</t>
        </is>
      </c>
      <c r="B114" s="11" t="n"/>
      <c r="C114" s="11" t="n"/>
      <c r="D114" s="9" t="n"/>
    </row>
    <row r="115" ht="18" customHeight="1">
      <c r="A115" s="10" t="inlineStr">
        <is>
          <t>Payments to acquire or redeem entity's shares</t>
        </is>
      </c>
      <c r="B115" s="11" t="n"/>
      <c r="C115" s="11" t="n"/>
      <c r="D115" s="9" t="n"/>
    </row>
    <row r="116" ht="18" customHeight="1">
      <c r="A116" s="10" t="inlineStr">
        <is>
          <t>Acquisition of non-controlling interests</t>
        </is>
      </c>
      <c r="B116" s="11" t="n"/>
      <c r="C116" s="11" t="n"/>
      <c r="D116" s="9" t="n"/>
    </row>
    <row r="117" ht="18" customHeight="1">
      <c r="A117" s="10" t="inlineStr">
        <is>
          <t>Payments of other equity instruments</t>
        </is>
      </c>
      <c r="B117" s="11" t="n"/>
      <c r="C117" s="11" t="n"/>
      <c r="D117" s="9" t="n"/>
    </row>
    <row r="118" ht="18" customHeight="1">
      <c r="A118" s="10" t="inlineStr">
        <is>
          <t>Perpetual sukuk issuance expenses</t>
        </is>
      </c>
      <c r="B118" s="11" t="n"/>
      <c r="C118" s="11" t="n"/>
      <c r="D118" s="9" t="n"/>
    </row>
    <row r="119" ht="18" customHeight="1">
      <c r="A119" s="10" t="inlineStr">
        <is>
          <t>Proceeds from issuing debentures, loans, notes, bonds, mortgages and other short-term and long-term borrowings</t>
        </is>
      </c>
      <c r="B119" s="11" t="n"/>
      <c r="C119" s="11" t="n"/>
      <c r="D119" s="9" t="n"/>
    </row>
    <row r="120" ht="18" customHeight="1">
      <c r="A120" s="10" t="inlineStr">
        <is>
          <t>Repayments of borrowings</t>
        </is>
      </c>
      <c r="B120" s="11" t="n">
        <v>77103559</v>
      </c>
      <c r="C120" s="11" t="n">
        <v>46689505</v>
      </c>
      <c r="D120" s="9" t="inlineStr">
        <is>
          <t>Page 23, Repayment of term loans (25,585,782) + Revolving credit (20,000,000) + Hire purchase (1,103,723)</t>
        </is>
      </c>
    </row>
    <row r="121" ht="18" customHeight="1">
      <c r="A121" s="10" t="inlineStr">
        <is>
          <t>Repurchase of treasury shares</t>
        </is>
      </c>
      <c r="B121" s="11" t="n"/>
      <c r="C121" s="11" t="n"/>
      <c r="D121" s="9" t="n"/>
    </row>
    <row r="122" ht="18" customHeight="1">
      <c r="A122" s="10" t="inlineStr">
        <is>
          <t>Withdrawal(Placement) of bank deposits</t>
        </is>
      </c>
      <c r="B122" s="11" t="n"/>
      <c r="C122" s="11" t="n"/>
      <c r="D122" s="9" t="n"/>
    </row>
    <row r="123" ht="18" customHeight="1">
      <c r="A123" s="10" t="inlineStr">
        <is>
          <t>Withdrawal(Placement) of securities pledged for borrowings</t>
        </is>
      </c>
      <c r="B123" s="11" t="n"/>
      <c r="C123" s="11" t="n"/>
      <c r="D123" s="9" t="n"/>
    </row>
    <row r="124" ht="18" customHeight="1">
      <c r="A124" s="10" t="inlineStr">
        <is>
          <t>Dividends paid</t>
        </is>
      </c>
      <c r="B124" s="11" t="n">
        <v>8000000</v>
      </c>
      <c r="C124" s="11" t="n">
        <v>6950000</v>
      </c>
      <c r="D124" s="9" t="inlineStr">
        <is>
          <t>Page 23, Dividends paid (5,000,000) + Div paid to NCI (1,950,000)</t>
        </is>
      </c>
    </row>
    <row r="125" ht="18" customHeight="1">
      <c r="A125" s="10" t="inlineStr">
        <is>
          <t>Interest paid</t>
        </is>
      </c>
      <c r="B125" s="11" t="n">
        <v>14405737</v>
      </c>
      <c r="C125" s="11" t="n">
        <v>18232262</v>
      </c>
      <c r="D125" s="9" t="inlineStr">
        <is>
          <t>Page 23, Interest paid</t>
        </is>
      </c>
    </row>
    <row r="126" ht="18" customHeight="1">
      <c r="A126" s="10" t="inlineStr">
        <is>
          <t>Other cash inflows (outflows) from financing activities</t>
        </is>
      </c>
      <c r="B126" s="11" t="n">
        <v>-372000</v>
      </c>
      <c r="C126" s="11" t="n">
        <v>5317172</v>
      </c>
      <c r="D126" s="9" t="inlineStr">
        <is>
          <t>Page 23, Advances from corporate shareholder</t>
        </is>
      </c>
    </row>
    <row r="127" ht="18" customHeight="1">
      <c r="A127" s="7" t="inlineStr">
        <is>
          <t>*Net cash flows from (used in) financing activities</t>
        </is>
      </c>
      <c r="B127" s="8">
        <f>1*B109+1*B110+1*B111+1*B112+1*B113+-1*B115+-1*B116+-1*B117+1*B119+-1*B120+1*B121+1*B122+1*B123+-1*B124+-1*B125+1*B126+1*B114+1*B118</f>
        <v/>
      </c>
      <c r="C127" s="8">
        <f>1*C109+1*C110+1*C111+1*C112+1*C113+-1*C115+-1*C116+-1*C117+1*C119+-1*C120+1*C121+1*C122+1*C123+-1*C124+-1*C125+1*C126+1*C114+1*C118</f>
        <v/>
      </c>
      <c r="D127" s="9" t="n"/>
    </row>
    <row r="128" ht="18" customHeight="1">
      <c r="A128" s="7" t="inlineStr">
        <is>
          <t>*Net increase (decrease) in cash and cash equivalents before effect of exchange rate changes</t>
        </is>
      </c>
      <c r="B128" s="8">
        <f>1*B75+1*B107+1*B127</f>
        <v/>
      </c>
      <c r="C128" s="8">
        <f>1*C75+1*C107+1*C127</f>
        <v/>
      </c>
      <c r="D128" s="9" t="n"/>
    </row>
    <row r="129" ht="18" customHeight="1">
      <c r="A129" s="10" t="inlineStr">
        <is>
          <t>Effect of exchange rate changes on cash and cash equivalents</t>
        </is>
      </c>
      <c r="B129" s="11" t="n">
        <v>-2282727</v>
      </c>
      <c r="C129" s="11" t="n">
        <v>972508</v>
      </c>
      <c r="D129" s="9" t="inlineStr">
        <is>
          <t>Page 24, Effect of exchange rate changes</t>
        </is>
      </c>
    </row>
    <row r="130" ht="18" customHeight="1">
      <c r="A130" s="7" t="inlineStr">
        <is>
          <t>*Net increase (decrease) in cash and cash equivalents after effect of exchange rate changes</t>
        </is>
      </c>
      <c r="B130" s="8">
        <f>1*B128+1*B129</f>
        <v/>
      </c>
      <c r="C130" s="8">
        <f>1*C128+1*C129</f>
        <v/>
      </c>
      <c r="D130" s="9" t="n"/>
    </row>
    <row r="131" ht="18" customHeight="1">
      <c r="A131" s="7" t="inlineStr">
        <is>
          <t>*Cash and cash equivalents at beginning of period</t>
        </is>
      </c>
      <c r="B131" s="11" t="n">
        <v>191781451</v>
      </c>
      <c r="C131" s="11" t="n">
        <v>77178635</v>
      </c>
      <c r="D131" s="9" t="inlineStr">
        <is>
          <t>Page 24, Cash and cash equivalents brought forward</t>
        </is>
      </c>
    </row>
    <row r="132" ht="18" customHeight="1">
      <c r="A132" s="7" t="inlineStr">
        <is>
          <t>*Cash and cash equivalents at end of period</t>
        </is>
      </c>
      <c r="B132" s="11" t="n"/>
      <c r="C132" s="11" t="n"/>
      <c r="D132" s="9" t="n"/>
    </row>
    <row r="133" ht="18" customHeight="1">
      <c r="A133" s="4" t="inlineStr">
        <is>
          <t>Details of cash flows</t>
        </is>
      </c>
      <c r="B133" s="5" t="n"/>
      <c r="C133" s="5" t="n"/>
      <c r="D133" s="6" t="n"/>
    </row>
    <row r="134" ht="18" customHeight="1">
      <c r="A134" s="7" t="inlineStr">
        <is>
          <t>*Cash and bank balances</t>
        </is>
      </c>
      <c r="B134" s="11" t="n">
        <v>110937932</v>
      </c>
      <c r="C134" s="11" t="n">
        <v>191781451</v>
      </c>
      <c r="D134" s="9" t="inlineStr">
        <is>
          <t>Page 24, Fixed deposits (78,628,142) + Cash and bank (113,153,309)</t>
        </is>
      </c>
    </row>
    <row r="135" ht="18" customHeight="1">
      <c r="A135" s="10" t="inlineStr">
        <is>
          <t>Bank overdraft</t>
        </is>
      </c>
      <c r="B135" s="11" t="n"/>
      <c r="C135" s="11" t="n"/>
      <c r="D135" s="9" t="n"/>
    </row>
    <row r="136" ht="18" customHeight="1">
      <c r="A136" s="10" t="inlineStr">
        <is>
          <t>Other adjustments to reconcile cash and cash equivalents</t>
        </is>
      </c>
      <c r="B136" s="11" t="n"/>
      <c r="C136" s="11" t="n"/>
      <c r="D136" s="9" t="n"/>
    </row>
    <row r="137" ht="18" customHeight="1">
      <c r="A137" s="7" t="inlineStr">
        <is>
          <t>*Cash and cash equivalents at end of period</t>
        </is>
      </c>
      <c r="B137" s="8">
        <f>1*B134+-1*B135+1*B136</f>
        <v/>
      </c>
      <c r="C137" s="8">
        <f>1*C134+-1*C135+1*C136</f>
        <v/>
      </c>
      <c r="D137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0" customHeight="1">
      <c r="A1" s="16" t="n"/>
      <c r="B1" s="1" t="inlineStr">
        <is>
          <t>01/01/YYYY - 31/12/YYYY</t>
        </is>
      </c>
      <c r="C1" s="17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</row>
    <row r="2" ht="45" customHeight="1">
      <c r="A2" s="18" t="n"/>
      <c r="B2" s="18" t="inlineStr">
        <is>
          <t>Issued capital</t>
        </is>
      </c>
      <c r="C2" s="18" t="inlineStr">
        <is>
          <t>Retained earnings</t>
        </is>
      </c>
      <c r="D2" s="18" t="inlineStr">
        <is>
          <t>Treasury shares</t>
        </is>
      </c>
      <c r="E2" s="18" t="inlineStr">
        <is>
          <t>Capital reserve</t>
        </is>
      </c>
      <c r="F2" s="18" t="inlineStr">
        <is>
          <t>Hedging reserve</t>
        </is>
      </c>
      <c r="G2" s="18" t="inlineStr">
        <is>
          <t>Foreign currency translation reserve</t>
        </is>
      </c>
      <c r="H2" s="18" t="inlineStr">
        <is>
          <t>Reserve of share-based payments</t>
        </is>
      </c>
      <c r="I2" s="18" t="inlineStr">
        <is>
          <t>Revaluation surplus</t>
        </is>
      </c>
      <c r="J2" s="18" t="inlineStr">
        <is>
          <t>Statutory reserve</t>
        </is>
      </c>
      <c r="K2" s="18" t="inlineStr">
        <is>
          <t>Warrant reserve</t>
        </is>
      </c>
      <c r="L2" s="18" t="inlineStr">
        <is>
          <t>Other non-distributable reserves</t>
        </is>
      </c>
      <c r="M2" s="18" t="inlineStr">
        <is>
          <t>Sub-total of non-distributable reserves</t>
        </is>
      </c>
      <c r="N2" s="18" t="inlineStr">
        <is>
          <t>Fair value reserve</t>
        </is>
      </c>
      <c r="O2" s="18" t="inlineStr">
        <is>
          <t>Reserve of non-current assets classified as held for sale</t>
        </is>
      </c>
      <c r="P2" s="18" t="inlineStr">
        <is>
          <t>Consolidation reserve</t>
        </is>
      </c>
      <c r="Q2" s="18" t="inlineStr">
        <is>
          <t>Warranty reserve</t>
        </is>
      </c>
      <c r="R2" s="18" t="inlineStr">
        <is>
          <t>Other distributable reserves</t>
        </is>
      </c>
      <c r="S2" s="18" t="inlineStr">
        <is>
          <t>Sub-Total of distributable reserves</t>
        </is>
      </c>
      <c r="T2" s="18" t="inlineStr">
        <is>
          <t>Reserves</t>
        </is>
      </c>
      <c r="U2" s="18" t="inlineStr">
        <is>
          <t>Equity attributable to owners</t>
        </is>
      </c>
      <c r="V2" s="18" t="inlineStr">
        <is>
          <t>Equity, others components</t>
        </is>
      </c>
      <c r="W2" s="18" t="inlineStr">
        <is>
          <t>Non-controlling interests</t>
        </is>
      </c>
      <c r="X2" s="18" t="inlineStr">
        <is>
          <t>Total</t>
        </is>
      </c>
    </row>
    <row r="3" ht="24" customHeight="1">
      <c r="A3" s="3" t="inlineStr">
        <is>
          <t>Statement of changes in equity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</row>
    <row r="4" ht="18" customHeight="1">
      <c r="A4" s="4" t="inlineStr">
        <is>
          <t>Statement of changes in equity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  <row r="5" ht="18" customHeight="1">
      <c r="A5" s="4" t="inlineStr">
        <is>
          <t>Statement of changes in equity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18" customHeight="1">
      <c r="A6" s="7" t="inlineStr">
        <is>
          <t>*Equity at beginning of period</t>
        </is>
      </c>
      <c r="B6" s="11" t="n">
        <v>100801317</v>
      </c>
      <c r="C6" s="11" t="n">
        <v>334189137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>
        <f>SUM(E6:L6)</f>
        <v/>
      </c>
      <c r="N6" s="8" t="n"/>
      <c r="O6" s="8" t="n"/>
      <c r="P6" s="8" t="n"/>
      <c r="Q6" s="8" t="n"/>
      <c r="R6" s="8" t="n"/>
      <c r="S6" s="8">
        <f>SUM(N6:R6)</f>
        <v/>
      </c>
      <c r="T6" s="8">
        <f>M6+S6</f>
        <v/>
      </c>
      <c r="U6" s="8">
        <f>B6+C6+D6+T6</f>
        <v/>
      </c>
      <c r="V6" s="8" t="n"/>
      <c r="W6" s="8" t="n"/>
      <c r="X6" s="8">
        <f>U6+V6+W6</f>
        <v/>
      </c>
    </row>
    <row r="7" ht="18" customHeight="1">
      <c r="A7" s="7" t="inlineStr">
        <is>
          <t>*Impact of changes in accounting policies</t>
        </is>
      </c>
      <c r="B7" s="11" t="n"/>
      <c r="C7" s="11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>
        <f>SUM(E7:L7)</f>
        <v/>
      </c>
      <c r="N7" s="8" t="n"/>
      <c r="O7" s="8" t="n"/>
      <c r="P7" s="8" t="n"/>
      <c r="Q7" s="8" t="n"/>
      <c r="R7" s="8" t="n"/>
      <c r="S7" s="8">
        <f>SUM(N7:R7)</f>
        <v/>
      </c>
      <c r="T7" s="8">
        <f>M7+S7</f>
        <v/>
      </c>
      <c r="U7" s="8">
        <f>B7+C7+D7+T7</f>
        <v/>
      </c>
      <c r="V7" s="8" t="n"/>
      <c r="W7" s="8" t="n"/>
      <c r="X7" s="8">
        <f>U7+V7+W7</f>
        <v/>
      </c>
    </row>
    <row r="8" ht="18" customHeight="1">
      <c r="A8" s="7" t="inlineStr">
        <is>
          <t>*Equity at beginning of period, restated</t>
        </is>
      </c>
      <c r="B8" s="8">
        <f>B6+B7</f>
        <v/>
      </c>
      <c r="C8" s="8">
        <f>C6+C7</f>
        <v/>
      </c>
      <c r="D8" s="8">
        <f>D6+D7</f>
        <v/>
      </c>
      <c r="E8" s="8">
        <f>E6+E7</f>
        <v/>
      </c>
      <c r="F8" s="8">
        <f>F6+F7</f>
        <v/>
      </c>
      <c r="G8" s="8">
        <f>G6+G7</f>
        <v/>
      </c>
      <c r="H8" s="8">
        <f>H6+H7</f>
        <v/>
      </c>
      <c r="I8" s="8">
        <f>I6+I7</f>
        <v/>
      </c>
      <c r="J8" s="8">
        <f>J6+J7</f>
        <v/>
      </c>
      <c r="K8" s="8">
        <f>K6+K7</f>
        <v/>
      </c>
      <c r="L8" s="8">
        <f>L6+L7</f>
        <v/>
      </c>
      <c r="M8" s="8">
        <f>SUM(E8:L8)</f>
        <v/>
      </c>
      <c r="N8" s="8">
        <f>N6+N7</f>
        <v/>
      </c>
      <c r="O8" s="8">
        <f>O6+O7</f>
        <v/>
      </c>
      <c r="P8" s="8">
        <f>P6+P7</f>
        <v/>
      </c>
      <c r="Q8" s="8">
        <f>Q6+Q7</f>
        <v/>
      </c>
      <c r="R8" s="8">
        <f>R6+R7</f>
        <v/>
      </c>
      <c r="S8" s="8">
        <f>SUM(N8:R8)</f>
        <v/>
      </c>
      <c r="T8" s="8">
        <f>M8+S8</f>
        <v/>
      </c>
      <c r="U8" s="8">
        <f>B8+C8+D8+T8</f>
        <v/>
      </c>
      <c r="V8" s="8">
        <f>V6+V7</f>
        <v/>
      </c>
      <c r="W8" s="8">
        <f>W6+W7</f>
        <v/>
      </c>
      <c r="X8" s="8">
        <f>U8+V8+W8</f>
        <v/>
      </c>
    </row>
    <row r="9" ht="18" customHeight="1">
      <c r="A9" s="4" t="inlineStr">
        <is>
          <t>Changes in equity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18" customHeight="1">
      <c r="A10" s="4" t="inlineStr">
        <is>
          <t>Comprehensive income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18" customHeight="1">
      <c r="A11" s="7" t="inlineStr">
        <is>
          <t>*Profit (loss)</t>
        </is>
      </c>
      <c r="B11" s="11" t="n"/>
      <c r="C11" s="11" t="n">
        <v>41273994</v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>
        <f>SUM(E11:L11)</f>
        <v/>
      </c>
      <c r="N11" s="8" t="n"/>
      <c r="O11" s="8" t="n"/>
      <c r="P11" s="8" t="n"/>
      <c r="Q11" s="8" t="n"/>
      <c r="R11" s="8" t="n"/>
      <c r="S11" s="8">
        <f>SUM(N11:R11)</f>
        <v/>
      </c>
      <c r="T11" s="8">
        <f>M11+S11</f>
        <v/>
      </c>
      <c r="U11" s="8">
        <f>B11+C11+D11+T11</f>
        <v/>
      </c>
      <c r="V11" s="8" t="n"/>
      <c r="W11" s="8" t="n"/>
      <c r="X11" s="8">
        <f>U11+V11+W11</f>
        <v/>
      </c>
    </row>
    <row r="12" ht="18" customHeight="1">
      <c r="A12" s="12" t="inlineStr">
        <is>
          <t>*Total other comprehensive income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>
        <f>SUM(E12:L12)</f>
        <v/>
      </c>
      <c r="N12" s="13" t="n"/>
      <c r="O12" s="13" t="n"/>
      <c r="P12" s="13" t="n"/>
      <c r="Q12" s="13" t="n"/>
      <c r="R12" s="13" t="n"/>
      <c r="S12" s="13">
        <f>SUM(N12:R12)</f>
        <v/>
      </c>
      <c r="T12" s="13">
        <f>M12+S12</f>
        <v/>
      </c>
      <c r="U12" s="13">
        <f>B12+C12+D12+T12</f>
        <v/>
      </c>
      <c r="V12" s="13" t="n"/>
      <c r="W12" s="13" t="n"/>
      <c r="X12" s="13">
        <f>U12+V12+W12</f>
        <v/>
      </c>
    </row>
    <row r="13" ht="18" customHeight="1">
      <c r="A13" s="12" t="inlineStr">
        <is>
          <t>*Total comprehensive income</t>
        </is>
      </c>
      <c r="B13" s="13">
        <f>B11+B12</f>
        <v/>
      </c>
      <c r="C13" s="13">
        <f>C11+C12</f>
        <v/>
      </c>
      <c r="D13" s="13">
        <f>D11+D12</f>
        <v/>
      </c>
      <c r="E13" s="13">
        <f>E11+E12</f>
        <v/>
      </c>
      <c r="F13" s="13">
        <f>F11+F12</f>
        <v/>
      </c>
      <c r="G13" s="13">
        <f>G11+G12</f>
        <v/>
      </c>
      <c r="H13" s="13">
        <f>H11+H12</f>
        <v/>
      </c>
      <c r="I13" s="13">
        <f>I11+I12</f>
        <v/>
      </c>
      <c r="J13" s="13">
        <f>J11+J12</f>
        <v/>
      </c>
      <c r="K13" s="13">
        <f>K11+K12</f>
        <v/>
      </c>
      <c r="L13" s="13">
        <f>L11+L12</f>
        <v/>
      </c>
      <c r="M13" s="13">
        <f>SUM(E13:L13)</f>
        <v/>
      </c>
      <c r="N13" s="13">
        <f>N11+N12</f>
        <v/>
      </c>
      <c r="O13" s="13">
        <f>O11+O12</f>
        <v/>
      </c>
      <c r="P13" s="13">
        <f>P11+P12</f>
        <v/>
      </c>
      <c r="Q13" s="13">
        <f>Q11+Q12</f>
        <v/>
      </c>
      <c r="R13" s="13">
        <f>R11+R12</f>
        <v/>
      </c>
      <c r="S13" s="13">
        <f>SUM(N13:R13)</f>
        <v/>
      </c>
      <c r="T13" s="13">
        <f>M13+S13</f>
        <v/>
      </c>
      <c r="U13" s="13">
        <f>B13+C13+D13+T13</f>
        <v/>
      </c>
      <c r="V13" s="13">
        <f>V11+V12</f>
        <v/>
      </c>
      <c r="W13" s="13">
        <f>W11+W12</f>
        <v/>
      </c>
      <c r="X13" s="13">
        <f>U13+V13+W13</f>
        <v/>
      </c>
    </row>
    <row r="14" ht="18" customHeight="1">
      <c r="A14" s="4" t="inlineStr">
        <is>
          <t>Contributions by and distributions to owners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18" customHeight="1">
      <c r="A15" s="10" t="inlineStr">
        <is>
          <t>Acquisition (dilution) of equity interest in subsidiaries</t>
        </is>
      </c>
      <c r="B15" s="11" t="n"/>
      <c r="C15" s="11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>
        <f>SUM(E15:L15)</f>
        <v/>
      </c>
      <c r="N15" s="15" t="n"/>
      <c r="O15" s="15" t="n"/>
      <c r="P15" s="15" t="n"/>
      <c r="Q15" s="15" t="n"/>
      <c r="R15" s="15" t="n"/>
      <c r="S15" s="15">
        <f>SUM(N15:R15)</f>
        <v/>
      </c>
      <c r="T15" s="15">
        <f>M15+S15</f>
        <v/>
      </c>
      <c r="U15" s="15">
        <f>B15+C15+D15+T15</f>
        <v/>
      </c>
      <c r="V15" s="15" t="n"/>
      <c r="W15" s="15" t="n"/>
      <c r="X15" s="15">
        <f>U15+V15+W15</f>
        <v/>
      </c>
    </row>
    <row r="16" ht="18" customHeight="1">
      <c r="A16" s="10" t="inlineStr">
        <is>
          <t>Arising from conversion of Irredeemable Convertible Unsecured Loan Stock (ICULS)</t>
        </is>
      </c>
      <c r="B16" s="11" t="n"/>
      <c r="C16" s="11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>
        <f>SUM(E16:L16)</f>
        <v/>
      </c>
      <c r="N16" s="15" t="n"/>
      <c r="O16" s="15" t="n"/>
      <c r="P16" s="15" t="n"/>
      <c r="Q16" s="15" t="n"/>
      <c r="R16" s="15" t="n"/>
      <c r="S16" s="15">
        <f>SUM(N16:R16)</f>
        <v/>
      </c>
      <c r="T16" s="15">
        <f>M16+S16</f>
        <v/>
      </c>
      <c r="U16" s="15">
        <f>B16+C16+D16+T16</f>
        <v/>
      </c>
      <c r="V16" s="15" t="n"/>
      <c r="W16" s="15" t="n"/>
      <c r="X16" s="15">
        <f>U16+V16+W16</f>
        <v/>
      </c>
    </row>
    <row r="17" ht="18" customHeight="1">
      <c r="A17" s="10" t="inlineStr">
        <is>
          <t>Dividends paid</t>
        </is>
      </c>
      <c r="B17" s="11" t="n"/>
      <c r="C17" s="11" t="n">
        <v>8000000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>
        <f>SUM(E17:L17)</f>
        <v/>
      </c>
      <c r="N17" s="15" t="n"/>
      <c r="O17" s="15" t="n"/>
      <c r="P17" s="15" t="n"/>
      <c r="Q17" s="15" t="n"/>
      <c r="R17" s="15" t="n"/>
      <c r="S17" s="15">
        <f>SUM(N17:R17)</f>
        <v/>
      </c>
      <c r="T17" s="15">
        <f>M17+S17</f>
        <v/>
      </c>
      <c r="U17" s="15">
        <f>B17+C17+D17+T17</f>
        <v/>
      </c>
      <c r="V17" s="15" t="n"/>
      <c r="W17" s="15" t="n"/>
      <c r="X17" s="15">
        <f>U17+V17+W17</f>
        <v/>
      </c>
    </row>
    <row r="18" ht="18" customHeight="1">
      <c r="A18" s="10" t="inlineStr">
        <is>
          <t>Issuance of shares</t>
        </is>
      </c>
      <c r="B18" s="11" t="n"/>
      <c r="C18" s="11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>
        <f>SUM(E18:L18)</f>
        <v/>
      </c>
      <c r="N18" s="15" t="n"/>
      <c r="O18" s="15" t="n"/>
      <c r="P18" s="15" t="n"/>
      <c r="Q18" s="15" t="n"/>
      <c r="R18" s="15" t="n"/>
      <c r="S18" s="15">
        <f>SUM(N18:R18)</f>
        <v/>
      </c>
      <c r="T18" s="15">
        <f>M18+S18</f>
        <v/>
      </c>
      <c r="U18" s="15">
        <f>B18+C18+D18+T18</f>
        <v/>
      </c>
      <c r="V18" s="15" t="n"/>
      <c r="W18" s="15" t="n"/>
      <c r="X18" s="15">
        <f>U18+V18+W18</f>
        <v/>
      </c>
    </row>
    <row r="19" ht="18" customHeight="1">
      <c r="A19" s="10" t="inlineStr">
        <is>
          <t>Issue of convertible notes, net of tax</t>
        </is>
      </c>
      <c r="B19" s="11" t="n"/>
      <c r="C19" s="11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>
        <f>SUM(E19:L19)</f>
        <v/>
      </c>
      <c r="N19" s="15" t="n"/>
      <c r="O19" s="15" t="n"/>
      <c r="P19" s="15" t="n"/>
      <c r="Q19" s="15" t="n"/>
      <c r="R19" s="15" t="n"/>
      <c r="S19" s="15">
        <f>SUM(N19:R19)</f>
        <v/>
      </c>
      <c r="T19" s="15">
        <f>M19+S19</f>
        <v/>
      </c>
      <c r="U19" s="15">
        <f>B19+C19+D19+T19</f>
        <v/>
      </c>
      <c r="V19" s="15" t="n"/>
      <c r="W19" s="15" t="n"/>
      <c r="X19" s="15">
        <f>U19+V19+W19</f>
        <v/>
      </c>
    </row>
    <row r="20" ht="18" customHeight="1">
      <c r="A20" s="10" t="inlineStr">
        <is>
          <t>Increase (decrease) through share-based payment transactions, equity</t>
        </is>
      </c>
      <c r="B20" s="11" t="n"/>
      <c r="C20" s="11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>
        <f>SUM(E20:L20)</f>
        <v/>
      </c>
      <c r="N20" s="15" t="n"/>
      <c r="O20" s="15" t="n"/>
      <c r="P20" s="15" t="n"/>
      <c r="Q20" s="15" t="n"/>
      <c r="R20" s="15" t="n"/>
      <c r="S20" s="15">
        <f>SUM(N20:R20)</f>
        <v/>
      </c>
      <c r="T20" s="15">
        <f>M20+S20</f>
        <v/>
      </c>
      <c r="U20" s="15">
        <f>B20+C20+D20+T20</f>
        <v/>
      </c>
      <c r="V20" s="15" t="n"/>
      <c r="W20" s="15" t="n"/>
      <c r="X20" s="15">
        <f>U20+V20+W20</f>
        <v/>
      </c>
    </row>
    <row r="21" ht="18" customHeight="1">
      <c r="A21" s="10" t="inlineStr">
        <is>
          <t>Treasury shares transactions</t>
        </is>
      </c>
      <c r="B21" s="11" t="n"/>
      <c r="C21" s="11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>
        <f>SUM(E21:L21)</f>
        <v/>
      </c>
      <c r="N21" s="15" t="n"/>
      <c r="O21" s="15" t="n"/>
      <c r="P21" s="15" t="n"/>
      <c r="Q21" s="15" t="n"/>
      <c r="R21" s="15" t="n"/>
      <c r="S21" s="15">
        <f>SUM(N21:R21)</f>
        <v/>
      </c>
      <c r="T21" s="15">
        <f>M21+S21</f>
        <v/>
      </c>
      <c r="U21" s="15">
        <f>B21+C21+D21+T21</f>
        <v/>
      </c>
      <c r="V21" s="15" t="n"/>
      <c r="W21" s="15" t="n"/>
      <c r="X21" s="15">
        <f>U21+V21+W21</f>
        <v/>
      </c>
    </row>
    <row r="22" ht="18" customHeight="1">
      <c r="A22" s="10" t="inlineStr">
        <is>
          <t>Other transactions with owners</t>
        </is>
      </c>
      <c r="B22" s="11" t="n"/>
      <c r="C22" s="11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>
        <f>SUM(E22:L22)</f>
        <v/>
      </c>
      <c r="N22" s="15" t="n"/>
      <c r="O22" s="15" t="n"/>
      <c r="P22" s="15" t="n"/>
      <c r="Q22" s="15" t="n"/>
      <c r="R22" s="15" t="n"/>
      <c r="S22" s="15">
        <f>SUM(N22:R22)</f>
        <v/>
      </c>
      <c r="T22" s="15">
        <f>M22+S22</f>
        <v/>
      </c>
      <c r="U22" s="15">
        <f>B22+C22+D22+T22</f>
        <v/>
      </c>
      <c r="V22" s="15" t="n"/>
      <c r="W22" s="15" t="n"/>
      <c r="X22" s="15">
        <f>U22+V22+W22</f>
        <v/>
      </c>
    </row>
    <row r="23" ht="18" customHeight="1">
      <c r="A23" s="10" t="inlineStr">
        <is>
          <t>Increase (decrease) through other changes, equity</t>
        </is>
      </c>
      <c r="B23" s="11" t="n"/>
      <c r="C23" s="11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>
        <f>SUM(E23:L23)</f>
        <v/>
      </c>
      <c r="N23" s="15" t="n"/>
      <c r="O23" s="15" t="n"/>
      <c r="P23" s="15" t="n"/>
      <c r="Q23" s="15" t="n"/>
      <c r="R23" s="15" t="n"/>
      <c r="S23" s="15">
        <f>SUM(N23:R23)</f>
        <v/>
      </c>
      <c r="T23" s="15">
        <f>M23+S23</f>
        <v/>
      </c>
      <c r="U23" s="15">
        <f>B23+C23+D23+T23</f>
        <v/>
      </c>
      <c r="V23" s="15" t="n"/>
      <c r="W23" s="15" t="n"/>
      <c r="X23" s="15">
        <f>U23+V23+W23</f>
        <v/>
      </c>
    </row>
    <row r="24" ht="18" customHeight="1">
      <c r="A24" s="12" t="inlineStr">
        <is>
          <t>*Total increase (decrease) in equity</t>
        </is>
      </c>
      <c r="B24" s="13">
        <f>1*B13+1*B15+1*B16+-1*B17+1*B18+1*B19+1*B20+1*B21+1*B22+1*B23</f>
        <v/>
      </c>
      <c r="C24" s="13">
        <f>1*C13+1*C15+1*C16+-1*C17+1*C18+1*C19+1*C20+1*C21+1*C22+1*C23</f>
        <v/>
      </c>
      <c r="D24" s="13">
        <f>1*D13+1*D15+1*D16+-1*D17+1*D18+1*D19+1*D20+1*D21+1*D22+1*D23</f>
        <v/>
      </c>
      <c r="E24" s="13">
        <f>1*E13+1*E15+1*E16+-1*E17+1*E18+1*E19+1*E20+1*E21+1*E22+1*E23</f>
        <v/>
      </c>
      <c r="F24" s="13">
        <f>1*F13+1*F15+1*F16+-1*F17+1*F18+1*F19+1*F20+1*F21+1*F22+1*F23</f>
        <v/>
      </c>
      <c r="G24" s="13">
        <f>1*G13+1*G15+1*G16+-1*G17+1*G18+1*G19+1*G20+1*G21+1*G22+1*G23</f>
        <v/>
      </c>
      <c r="H24" s="13">
        <f>1*H13+1*H15+1*H16+-1*H17+1*H18+1*H19+1*H20+1*H21+1*H22+1*H23</f>
        <v/>
      </c>
      <c r="I24" s="13">
        <f>1*I13+1*I15+1*I16+-1*I17+1*I18+1*I19+1*I20+1*I21+1*I22+1*I23</f>
        <v/>
      </c>
      <c r="J24" s="13">
        <f>1*J13+1*J15+1*J16+-1*J17+1*J18+1*J19+1*J20+1*J21+1*J22+1*J23</f>
        <v/>
      </c>
      <c r="K24" s="13">
        <f>1*K13+1*K15+1*K16+-1*K17+1*K18+1*K19+1*K20+1*K21+1*K22+1*K23</f>
        <v/>
      </c>
      <c r="L24" s="13">
        <f>1*L13+1*L15+1*L16+-1*L17+1*L18+1*L19+1*L20+1*L21+1*L22+1*L23</f>
        <v/>
      </c>
      <c r="M24" s="13">
        <f>SUM(E24:L24)</f>
        <v/>
      </c>
      <c r="N24" s="13">
        <f>1*N13+1*N15+1*N16+-1*N17+1*N18+1*N19+1*N20+1*N21+1*N22+1*N23</f>
        <v/>
      </c>
      <c r="O24" s="13">
        <f>1*O13+1*O15+1*O16+-1*O17+1*O18+1*O19+1*O20+1*O21+1*O22+1*O23</f>
        <v/>
      </c>
      <c r="P24" s="13">
        <f>1*P13+1*P15+1*P16+-1*P17+1*P18+1*P19+1*P20+1*P21+1*P22+1*P23</f>
        <v/>
      </c>
      <c r="Q24" s="13">
        <f>1*Q13+1*Q15+1*Q16+-1*Q17+1*Q18+1*Q19+1*Q20+1*Q21+1*Q22+1*Q23</f>
        <v/>
      </c>
      <c r="R24" s="13">
        <f>1*R13+1*R15+1*R16+-1*R17+1*R18+1*R19+1*R20+1*R21+1*R22+1*R23</f>
        <v/>
      </c>
      <c r="S24" s="13">
        <f>SUM(N24:R24)</f>
        <v/>
      </c>
      <c r="T24" s="13">
        <f>M24+S24</f>
        <v/>
      </c>
      <c r="U24" s="13">
        <f>B24+C24+D24+T24</f>
        <v/>
      </c>
      <c r="V24" s="13">
        <f>1*V13+1*V15+1*V16+-1*V17+1*V18+1*V19+1*V20+1*V21+1*V22+1*V23</f>
        <v/>
      </c>
      <c r="W24" s="13">
        <f>1*W13+1*W15+1*W16+-1*W17+1*W18+1*W19+1*W20+1*W21+1*W22+1*W23</f>
        <v/>
      </c>
      <c r="X24" s="13">
        <f>U24+V24+W24</f>
        <v/>
      </c>
    </row>
    <row r="25" ht="18" customHeight="1">
      <c r="A25" s="7" t="inlineStr">
        <is>
          <t>*Equity at end of period</t>
        </is>
      </c>
      <c r="B25" s="8">
        <f>B8+B24</f>
        <v/>
      </c>
      <c r="C25" s="8">
        <f>C8+C24</f>
        <v/>
      </c>
      <c r="D25" s="8">
        <f>D8+D24</f>
        <v/>
      </c>
      <c r="E25" s="8">
        <f>E8+E24</f>
        <v/>
      </c>
      <c r="F25" s="8">
        <f>F8+F24</f>
        <v/>
      </c>
      <c r="G25" s="8">
        <f>G8+G24</f>
        <v/>
      </c>
      <c r="H25" s="8">
        <f>H8+H24</f>
        <v/>
      </c>
      <c r="I25" s="8">
        <f>I8+I24</f>
        <v/>
      </c>
      <c r="J25" s="8">
        <f>J8+J24</f>
        <v/>
      </c>
      <c r="K25" s="8">
        <f>K8+K24</f>
        <v/>
      </c>
      <c r="L25" s="8">
        <f>L8+L24</f>
        <v/>
      </c>
      <c r="M25" s="8">
        <f>SUM(E25:L25)</f>
        <v/>
      </c>
      <c r="N25" s="8">
        <f>N8+N24</f>
        <v/>
      </c>
      <c r="O25" s="8">
        <f>O8+O24</f>
        <v/>
      </c>
      <c r="P25" s="8">
        <f>P8+P24</f>
        <v/>
      </c>
      <c r="Q25" s="8">
        <f>Q8+Q24</f>
        <v/>
      </c>
      <c r="R25" s="8">
        <f>R8+R24</f>
        <v/>
      </c>
      <c r="S25" s="8">
        <f>SUM(N25:R25)</f>
        <v/>
      </c>
      <c r="T25" s="8">
        <f>M25+S25</f>
        <v/>
      </c>
      <c r="U25" s="8">
        <f>B25+C25+D25+T25</f>
        <v/>
      </c>
      <c r="V25" s="8">
        <f>V8+V24</f>
        <v/>
      </c>
      <c r="W25" s="8">
        <f>W8+W24</f>
        <v/>
      </c>
      <c r="X25" s="8">
        <f>U25+V25+W25</f>
        <v/>
      </c>
    </row>
    <row r="26" ht="18" customHeight="1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18" customHeight="1">
      <c r="A27" s="4" t="inlineStr">
        <is>
          <t>Statement of changes in equity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18" customHeight="1">
      <c r="A28" s="4" t="inlineStr">
        <is>
          <t>Statement of changes in equity</t>
        </is>
      </c>
      <c r="B28" s="19" t="n"/>
      <c r="C28" s="19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18" customHeight="1">
      <c r="A29" s="10" t="inlineStr">
        <is>
          <t>Statement of changes in equity</t>
        </is>
      </c>
      <c r="B29" s="11" t="n"/>
      <c r="C29" s="11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</row>
    <row r="30" ht="18" customHeight="1">
      <c r="A30" s="7" t="inlineStr">
        <is>
          <t>*Equity at beginning of period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>
        <f>SUM(E30:L30)</f>
        <v/>
      </c>
      <c r="N30" s="8" t="n"/>
      <c r="O30" s="8" t="n"/>
      <c r="P30" s="8" t="n"/>
      <c r="Q30" s="8" t="n"/>
      <c r="R30" s="8" t="n"/>
      <c r="S30" s="8">
        <f>SUM(N30:R30)</f>
        <v/>
      </c>
      <c r="T30" s="8">
        <f>M30+S30</f>
        <v/>
      </c>
      <c r="U30" s="8">
        <f>B30+C30+D30+T30</f>
        <v/>
      </c>
      <c r="V30" s="8" t="n"/>
      <c r="W30" s="8" t="n"/>
      <c r="X30" s="8">
        <f>U30+V30+W30</f>
        <v/>
      </c>
    </row>
    <row r="31" ht="18" customHeight="1">
      <c r="A31" s="7" t="inlineStr">
        <is>
          <t>*Impact of changes in accounting policies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>
        <f>SUM(E31:L31)</f>
        <v/>
      </c>
      <c r="N31" s="8" t="n"/>
      <c r="O31" s="8" t="n"/>
      <c r="P31" s="8" t="n"/>
      <c r="Q31" s="8" t="n"/>
      <c r="R31" s="8" t="n"/>
      <c r="S31" s="8">
        <f>SUM(N31:R31)</f>
        <v/>
      </c>
      <c r="T31" s="8">
        <f>M31+S31</f>
        <v/>
      </c>
      <c r="U31" s="8">
        <f>B31+C31+D31+T31</f>
        <v/>
      </c>
      <c r="V31" s="8" t="n"/>
      <c r="W31" s="8" t="n"/>
      <c r="X31" s="8">
        <f>U31+V31+W31</f>
        <v/>
      </c>
    </row>
    <row r="32" ht="18" customHeight="1">
      <c r="A32" s="7" t="inlineStr">
        <is>
          <t>*Equity at beginning of period, restated</t>
        </is>
      </c>
      <c r="B32" s="8">
        <f>B30+B31</f>
        <v/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  <c r="L32" s="8">
        <f>L30+L31</f>
        <v/>
      </c>
      <c r="M32" s="8">
        <f>SUM(E32:L32)</f>
        <v/>
      </c>
      <c r="N32" s="8">
        <f>N30+N31</f>
        <v/>
      </c>
      <c r="O32" s="8">
        <f>O30+O31</f>
        <v/>
      </c>
      <c r="P32" s="8">
        <f>P30+P31</f>
        <v/>
      </c>
      <c r="Q32" s="8">
        <f>Q30+Q31</f>
        <v/>
      </c>
      <c r="R32" s="8">
        <f>R30+R31</f>
        <v/>
      </c>
      <c r="S32" s="8">
        <f>SUM(N32:R32)</f>
        <v/>
      </c>
      <c r="T32" s="8">
        <f>M32+S32</f>
        <v/>
      </c>
      <c r="U32" s="8">
        <f>B32+C32+D32+T32</f>
        <v/>
      </c>
      <c r="V32" s="8">
        <f>V30+V31</f>
        <v/>
      </c>
      <c r="W32" s="8">
        <f>W30+W31</f>
        <v/>
      </c>
      <c r="X32" s="8">
        <f>U32+V32+W32</f>
        <v/>
      </c>
    </row>
    <row r="33" ht="18" customHeight="1">
      <c r="A33" s="4" t="inlineStr">
        <is>
          <t>Changes in equity</t>
        </is>
      </c>
      <c r="B33" s="19" t="n"/>
      <c r="C33" s="19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18" customHeight="1">
      <c r="A34" s="4" t="inlineStr">
        <is>
          <t>Comprehensive income</t>
        </is>
      </c>
      <c r="B34" s="19" t="n"/>
      <c r="C34" s="19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 ht="18" customHeight="1">
      <c r="A35" s="7" t="inlineStr">
        <is>
          <t>*Profit (loss)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>
        <f>SUM(E35:L35)</f>
        <v/>
      </c>
      <c r="N35" s="8" t="n"/>
      <c r="O35" s="8" t="n"/>
      <c r="P35" s="8" t="n"/>
      <c r="Q35" s="8" t="n"/>
      <c r="R35" s="8" t="n"/>
      <c r="S35" s="8">
        <f>SUM(N35:R35)</f>
        <v/>
      </c>
      <c r="T35" s="8">
        <f>M35+S35</f>
        <v/>
      </c>
      <c r="U35" s="8">
        <f>B35+C35+D35+T35</f>
        <v/>
      </c>
      <c r="V35" s="8" t="n"/>
      <c r="W35" s="8" t="n"/>
      <c r="X35" s="8">
        <f>U35+V35+W35</f>
        <v/>
      </c>
    </row>
    <row r="36" ht="18" customHeight="1">
      <c r="A36" s="12" t="inlineStr">
        <is>
          <t>*Total other comprehensive income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>
        <f>SUM(E36:L36)</f>
        <v/>
      </c>
      <c r="N36" s="13" t="n"/>
      <c r="O36" s="13" t="n"/>
      <c r="P36" s="13" t="n"/>
      <c r="Q36" s="13" t="n"/>
      <c r="R36" s="13" t="n"/>
      <c r="S36" s="13">
        <f>SUM(N36:R36)</f>
        <v/>
      </c>
      <c r="T36" s="13">
        <f>M36+S36</f>
        <v/>
      </c>
      <c r="U36" s="13">
        <f>B36+C36+D36+T36</f>
        <v/>
      </c>
      <c r="V36" s="13" t="n"/>
      <c r="W36" s="13" t="n"/>
      <c r="X36" s="13">
        <f>U36+V36+W36</f>
        <v/>
      </c>
    </row>
    <row r="37" ht="18" customHeight="1">
      <c r="A37" s="12" t="inlineStr">
        <is>
          <t>*Total comprehensive income</t>
        </is>
      </c>
      <c r="B37" s="13">
        <f>B35+B36</f>
        <v/>
      </c>
      <c r="C37" s="13">
        <f>C35+C36</f>
        <v/>
      </c>
      <c r="D37" s="13">
        <f>D35+D36</f>
        <v/>
      </c>
      <c r="E37" s="13">
        <f>E35+E36</f>
        <v/>
      </c>
      <c r="F37" s="13">
        <f>F35+F36</f>
        <v/>
      </c>
      <c r="G37" s="13">
        <f>G35+G36</f>
        <v/>
      </c>
      <c r="H37" s="13">
        <f>H35+H36</f>
        <v/>
      </c>
      <c r="I37" s="13">
        <f>I35+I36</f>
        <v/>
      </c>
      <c r="J37" s="13">
        <f>J35+J36</f>
        <v/>
      </c>
      <c r="K37" s="13">
        <f>K35+K36</f>
        <v/>
      </c>
      <c r="L37" s="13">
        <f>L35+L36</f>
        <v/>
      </c>
      <c r="M37" s="13">
        <f>SUM(E37:L37)</f>
        <v/>
      </c>
      <c r="N37" s="13">
        <f>N35+N36</f>
        <v/>
      </c>
      <c r="O37" s="13">
        <f>O35+O36</f>
        <v/>
      </c>
      <c r="P37" s="13">
        <f>P35+P36</f>
        <v/>
      </c>
      <c r="Q37" s="13">
        <f>Q35+Q36</f>
        <v/>
      </c>
      <c r="R37" s="13">
        <f>R35+R36</f>
        <v/>
      </c>
      <c r="S37" s="13">
        <f>SUM(N37:R37)</f>
        <v/>
      </c>
      <c r="T37" s="13">
        <f>M37+S37</f>
        <v/>
      </c>
      <c r="U37" s="13">
        <f>B37+C37+D37+T37</f>
        <v/>
      </c>
      <c r="V37" s="13">
        <f>V35+V36</f>
        <v/>
      </c>
      <c r="W37" s="13">
        <f>W35+W36</f>
        <v/>
      </c>
      <c r="X37" s="13">
        <f>U37+V37+W37</f>
        <v/>
      </c>
    </row>
    <row r="38" ht="18" customHeight="1">
      <c r="A38" s="4" t="inlineStr">
        <is>
          <t>Contributions by and distributions to owners</t>
        </is>
      </c>
      <c r="B38" s="19" t="n"/>
      <c r="C38" s="19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8" customHeight="1">
      <c r="A39" s="10" t="inlineStr">
        <is>
          <t>Acquisition (dilution) of equity interest in subsidiaries</t>
        </is>
      </c>
      <c r="B39" s="11" t="n"/>
      <c r="C39" s="11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>
        <f>SUM(E39:L39)</f>
        <v/>
      </c>
      <c r="N39" s="15" t="n"/>
      <c r="O39" s="15" t="n"/>
      <c r="P39" s="15" t="n"/>
      <c r="Q39" s="15" t="n"/>
      <c r="R39" s="15" t="n"/>
      <c r="S39" s="15">
        <f>SUM(N39:R39)</f>
        <v/>
      </c>
      <c r="T39" s="15">
        <f>M39+S39</f>
        <v/>
      </c>
      <c r="U39" s="15">
        <f>B39+C39+D39+T39</f>
        <v/>
      </c>
      <c r="V39" s="15" t="n"/>
      <c r="W39" s="15" t="n"/>
      <c r="X39" s="15">
        <f>U39+V39+W39</f>
        <v/>
      </c>
    </row>
    <row r="40" ht="18" customHeight="1">
      <c r="A40" s="10" t="inlineStr">
        <is>
          <t>Arising from conversion of Irredeemable Convertible Unsecured Loan Stock (ICULS)</t>
        </is>
      </c>
      <c r="B40" s="11" t="n"/>
      <c r="C40" s="11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>
        <f>SUM(E40:L40)</f>
        <v/>
      </c>
      <c r="N40" s="15" t="n"/>
      <c r="O40" s="15" t="n"/>
      <c r="P40" s="15" t="n"/>
      <c r="Q40" s="15" t="n"/>
      <c r="R40" s="15" t="n"/>
      <c r="S40" s="15">
        <f>SUM(N40:R40)</f>
        <v/>
      </c>
      <c r="T40" s="15">
        <f>M40+S40</f>
        <v/>
      </c>
      <c r="U40" s="15">
        <f>B40+C40+D40+T40</f>
        <v/>
      </c>
      <c r="V40" s="15" t="n"/>
      <c r="W40" s="15" t="n"/>
      <c r="X40" s="15">
        <f>U40+V40+W40</f>
        <v/>
      </c>
    </row>
    <row r="41" ht="18" customHeight="1">
      <c r="A41" s="10" t="inlineStr">
        <is>
          <t>Dividends paid</t>
        </is>
      </c>
      <c r="B41" s="11" t="n"/>
      <c r="C41" s="11" t="n">
        <v>5000000</v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>
        <f>SUM(E41:L41)</f>
        <v/>
      </c>
      <c r="N41" s="15" t="n"/>
      <c r="O41" s="15" t="n"/>
      <c r="P41" s="15" t="n"/>
      <c r="Q41" s="15" t="n"/>
      <c r="R41" s="15" t="n"/>
      <c r="S41" s="15">
        <f>SUM(N41:R41)</f>
        <v/>
      </c>
      <c r="T41" s="15">
        <f>M41+S41</f>
        <v/>
      </c>
      <c r="U41" s="15">
        <f>B41+C41+D41+T41</f>
        <v/>
      </c>
      <c r="V41" s="15" t="n"/>
      <c r="W41" s="15" t="n"/>
      <c r="X41" s="15">
        <f>U41+V41+W41</f>
        <v/>
      </c>
    </row>
    <row r="42" ht="18" customHeight="1">
      <c r="A42" s="10" t="inlineStr">
        <is>
          <t>Issuance of shares</t>
        </is>
      </c>
      <c r="B42" s="11" t="n"/>
      <c r="C42" s="11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>
        <f>SUM(E42:L42)</f>
        <v/>
      </c>
      <c r="N42" s="15" t="n"/>
      <c r="O42" s="15" t="n"/>
      <c r="P42" s="15" t="n"/>
      <c r="Q42" s="15" t="n"/>
      <c r="R42" s="15" t="n"/>
      <c r="S42" s="15">
        <f>SUM(N42:R42)</f>
        <v/>
      </c>
      <c r="T42" s="15">
        <f>M42+S42</f>
        <v/>
      </c>
      <c r="U42" s="15">
        <f>B42+C42+D42+T42</f>
        <v/>
      </c>
      <c r="V42" s="15" t="n"/>
      <c r="W42" s="15" t="n"/>
      <c r="X42" s="15">
        <f>U42+V42+W42</f>
        <v/>
      </c>
    </row>
    <row r="43" ht="18" customHeight="1">
      <c r="A43" s="10" t="inlineStr">
        <is>
          <t>Issue of convertible notes, net of tax</t>
        </is>
      </c>
      <c r="B43" s="11" t="n"/>
      <c r="C43" s="11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>
        <f>SUM(E43:L43)</f>
        <v/>
      </c>
      <c r="N43" s="15" t="n"/>
      <c r="O43" s="15" t="n"/>
      <c r="P43" s="15" t="n"/>
      <c r="Q43" s="15" t="n"/>
      <c r="R43" s="15" t="n"/>
      <c r="S43" s="15">
        <f>SUM(N43:R43)</f>
        <v/>
      </c>
      <c r="T43" s="15">
        <f>M43+S43</f>
        <v/>
      </c>
      <c r="U43" s="15">
        <f>B43+C43+D43+T43</f>
        <v/>
      </c>
      <c r="V43" s="15" t="n"/>
      <c r="W43" s="15" t="n"/>
      <c r="X43" s="15">
        <f>U43+V43+W43</f>
        <v/>
      </c>
    </row>
    <row r="44" ht="18" customHeight="1">
      <c r="A44" s="10" t="inlineStr">
        <is>
          <t>Increase (decrease) through share-based payment transactions, equity</t>
        </is>
      </c>
      <c r="B44" s="11" t="n"/>
      <c r="C44" s="11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>
        <f>SUM(E44:L44)</f>
        <v/>
      </c>
      <c r="N44" s="15" t="n"/>
      <c r="O44" s="15" t="n"/>
      <c r="P44" s="15" t="n"/>
      <c r="Q44" s="15" t="n"/>
      <c r="R44" s="15" t="n"/>
      <c r="S44" s="15">
        <f>SUM(N44:R44)</f>
        <v/>
      </c>
      <c r="T44" s="15">
        <f>M44+S44</f>
        <v/>
      </c>
      <c r="U44" s="15">
        <f>B44+C44+D44+T44</f>
        <v/>
      </c>
      <c r="V44" s="15" t="n"/>
      <c r="W44" s="15" t="n"/>
      <c r="X44" s="15">
        <f>U44+V44+W44</f>
        <v/>
      </c>
    </row>
    <row r="45" ht="18" customHeight="1">
      <c r="A45" s="10" t="inlineStr">
        <is>
          <t>Treasury shares transactions</t>
        </is>
      </c>
      <c r="B45" s="11" t="n"/>
      <c r="C45" s="11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>
        <f>SUM(E45:L45)</f>
        <v/>
      </c>
      <c r="N45" s="15" t="n"/>
      <c r="O45" s="15" t="n"/>
      <c r="P45" s="15" t="n"/>
      <c r="Q45" s="15" t="n"/>
      <c r="R45" s="15" t="n"/>
      <c r="S45" s="15">
        <f>SUM(N45:R45)</f>
        <v/>
      </c>
      <c r="T45" s="15">
        <f>M45+S45</f>
        <v/>
      </c>
      <c r="U45" s="15">
        <f>B45+C45+D45+T45</f>
        <v/>
      </c>
      <c r="V45" s="15" t="n"/>
      <c r="W45" s="15" t="n"/>
      <c r="X45" s="15">
        <f>U45+V45+W45</f>
        <v/>
      </c>
    </row>
    <row r="46" ht="18" customHeight="1">
      <c r="A46" s="10" t="inlineStr">
        <is>
          <t>Other transactions with owners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>
        <f>SUM(E46:L46)</f>
        <v/>
      </c>
      <c r="N46" s="15" t="n"/>
      <c r="O46" s="15" t="n"/>
      <c r="P46" s="15" t="n"/>
      <c r="Q46" s="15" t="n"/>
      <c r="R46" s="15" t="n"/>
      <c r="S46" s="15">
        <f>SUM(N46:R46)</f>
        <v/>
      </c>
      <c r="T46" s="15">
        <f>M46+S46</f>
        <v/>
      </c>
      <c r="U46" s="15">
        <f>B46+C46+D46+T46</f>
        <v/>
      </c>
      <c r="V46" s="15" t="n"/>
      <c r="W46" s="15" t="n"/>
      <c r="X46" s="15">
        <f>U46+V46+W46</f>
        <v/>
      </c>
    </row>
    <row r="47" ht="18" customHeight="1">
      <c r="A47" s="10" t="inlineStr">
        <is>
          <t>Increase (decrease) through other changes, equity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>
        <f>SUM(E47:L47)</f>
        <v/>
      </c>
      <c r="N47" s="15" t="n"/>
      <c r="O47" s="15" t="n"/>
      <c r="P47" s="15" t="n"/>
      <c r="Q47" s="15" t="n"/>
      <c r="R47" s="15" t="n"/>
      <c r="S47" s="15">
        <f>SUM(N47:R47)</f>
        <v/>
      </c>
      <c r="T47" s="15">
        <f>M47+S47</f>
        <v/>
      </c>
      <c r="U47" s="15">
        <f>B47+C47+D47+T47</f>
        <v/>
      </c>
      <c r="V47" s="15" t="n"/>
      <c r="W47" s="15" t="n"/>
      <c r="X47" s="15">
        <f>U47+V47+W47</f>
        <v/>
      </c>
    </row>
    <row r="48" ht="18" customHeight="1">
      <c r="A48" s="12" t="inlineStr">
        <is>
          <t>*Total increase (decrease) in equity</t>
        </is>
      </c>
      <c r="B48" s="13">
        <f>1*B37+1*B39+1*B40+-1*B41+1*B42+1*B43+1*B44+1*B45+1*B46+1*B47</f>
        <v/>
      </c>
      <c r="C48" s="13">
        <f>1*C37+1*C39+1*C40+-1*C41+1*C42+1*C43+1*C44+1*C45+1*C46+1*C47</f>
        <v/>
      </c>
      <c r="D48" s="13">
        <f>1*D37+1*D39+1*D40+-1*D41+1*D42+1*D43+1*D44+1*D45+1*D46+1*D47</f>
        <v/>
      </c>
      <c r="E48" s="13">
        <f>1*E37+1*E39+1*E40+-1*E41+1*E42+1*E43+1*E44+1*E45+1*E46+1*E47</f>
        <v/>
      </c>
      <c r="F48" s="13">
        <f>1*F37+1*F39+1*F40+-1*F41+1*F42+1*F43+1*F44+1*F45+1*F46+1*F47</f>
        <v/>
      </c>
      <c r="G48" s="13">
        <f>1*G37+1*G39+1*G40+-1*G41+1*G42+1*G43+1*G44+1*G45+1*G46+1*G47</f>
        <v/>
      </c>
      <c r="H48" s="13">
        <f>1*H37+1*H39+1*H40+-1*H41+1*H42+1*H43+1*H44+1*H45+1*H46+1*H47</f>
        <v/>
      </c>
      <c r="I48" s="13">
        <f>1*I37+1*I39+1*I40+-1*I41+1*I42+1*I43+1*I44+1*I45+1*I46+1*I47</f>
        <v/>
      </c>
      <c r="J48" s="13">
        <f>1*J37+1*J39+1*J40+-1*J41+1*J42+1*J43+1*J44+1*J45+1*J46+1*J47</f>
        <v/>
      </c>
      <c r="K48" s="13">
        <f>1*K37+1*K39+1*K40+-1*K41+1*K42+1*K43+1*K44+1*K45+1*K46+1*K47</f>
        <v/>
      </c>
      <c r="L48" s="13">
        <f>1*L37+1*L39+1*L40+-1*L41+1*L42+1*L43+1*L44+1*L45+1*L46+1*L47</f>
        <v/>
      </c>
      <c r="M48" s="13">
        <f>SUM(E48:L48)</f>
        <v/>
      </c>
      <c r="N48" s="13">
        <f>1*N37+1*N39+1*N40+-1*N41+1*N42+1*N43+1*N44+1*N45+1*N46+1*N47</f>
        <v/>
      </c>
      <c r="O48" s="13">
        <f>1*O37+1*O39+1*O40+-1*O41+1*O42+1*O43+1*O44+1*O45+1*O46+1*O47</f>
        <v/>
      </c>
      <c r="P48" s="13">
        <f>1*P37+1*P39+1*P40+-1*P41+1*P42+1*P43+1*P44+1*P45+1*P46+1*P47</f>
        <v/>
      </c>
      <c r="Q48" s="13">
        <f>1*Q37+1*Q39+1*Q40+-1*Q41+1*Q42+1*Q43+1*Q44+1*Q45+1*Q46+1*Q47</f>
        <v/>
      </c>
      <c r="R48" s="13">
        <f>1*R37+1*R39+1*R40+-1*R41+1*R42+1*R43+1*R44+1*R45+1*R46+1*R47</f>
        <v/>
      </c>
      <c r="S48" s="13">
        <f>SUM(N48:R48)</f>
        <v/>
      </c>
      <c r="T48" s="13">
        <f>M48+S48</f>
        <v/>
      </c>
      <c r="U48" s="13">
        <f>B48+C48+D48+T48</f>
        <v/>
      </c>
      <c r="V48" s="13">
        <f>1*V37+1*V39+1*V40+-1*V41+1*V42+1*V43+1*V44+1*V45+1*V46+1*V47</f>
        <v/>
      </c>
      <c r="W48" s="13">
        <f>1*W37+1*W39+1*W40+-1*W41+1*W42+1*W43+1*W44+1*W45+1*W46+1*W47</f>
        <v/>
      </c>
      <c r="X48" s="13">
        <f>U48+V48+W48</f>
        <v/>
      </c>
    </row>
    <row r="49" ht="18" customHeight="1">
      <c r="A49" s="7" t="inlineStr">
        <is>
          <t>*Equity at end of period</t>
        </is>
      </c>
      <c r="B49" s="8">
        <f>B32+B48</f>
        <v/>
      </c>
      <c r="C49" s="8">
        <f>C32+C48</f>
        <v/>
      </c>
      <c r="D49" s="8">
        <f>D32+D48</f>
        <v/>
      </c>
      <c r="E49" s="8">
        <f>E32+E48</f>
        <v/>
      </c>
      <c r="F49" s="8">
        <f>F32+F48</f>
        <v/>
      </c>
      <c r="G49" s="8">
        <f>G32+G48</f>
        <v/>
      </c>
      <c r="H49" s="8">
        <f>H32+H48</f>
        <v/>
      </c>
      <c r="I49" s="8">
        <f>I32+I48</f>
        <v/>
      </c>
      <c r="J49" s="8">
        <f>J32+J48</f>
        <v/>
      </c>
      <c r="K49" s="8">
        <f>K32+K48</f>
        <v/>
      </c>
      <c r="L49" s="8">
        <f>L32+L48</f>
        <v/>
      </c>
      <c r="M49" s="8">
        <f>SUM(E49:L49)</f>
        <v/>
      </c>
      <c r="N49" s="8">
        <f>N32+N48</f>
        <v/>
      </c>
      <c r="O49" s="8">
        <f>O32+O48</f>
        <v/>
      </c>
      <c r="P49" s="8">
        <f>P32+P48</f>
        <v/>
      </c>
      <c r="Q49" s="8">
        <f>Q32+Q48</f>
        <v/>
      </c>
      <c r="R49" s="8">
        <f>R32+R48</f>
        <v/>
      </c>
      <c r="S49" s="8">
        <f>SUM(N49:R49)</f>
        <v/>
      </c>
      <c r="T49" s="8">
        <f>M49+S49</f>
        <v/>
      </c>
      <c r="U49" s="8">
        <f>B49+C49+D49+T49</f>
        <v/>
      </c>
      <c r="V49" s="8">
        <f>V32+V48</f>
        <v/>
      </c>
      <c r="W49" s="8">
        <f>W32+W48</f>
        <v/>
      </c>
      <c r="X49" s="8">
        <f>U49+V49+W49</f>
        <v/>
      </c>
    </row>
    <row r="50" ht="18" customHeight="1">
      <c r="A50" s="10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</row>
    <row r="51" ht="18" customHeight="1">
      <c r="A51" s="10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</row>
    <row r="52" ht="18" customHeight="1">
      <c r="A52" s="10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2026-04-12T00:59:15Z</dcterms:created>
  <dcterms:modified xmlns:dcterms="http://purl.org/dc/terms/" xmlns:xsi="http://www.w3.org/2001/XMLSchema-instance" xsi:type="dcterms:W3CDTF">2026-04-12T00:59:17Z</dcterms:modified>
</cp:coreProperties>
</file>