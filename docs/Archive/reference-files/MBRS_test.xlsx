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omments1.xml" ContentType="application/vnd.openxmlformats-officedocument.spreadsheetml.comments+xml"/>
  <Override PartName="/xl/drawings/drawing5.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comments2.xml" ContentType="application/vnd.openxmlformats-officedocument.spreadsheetml.comments+xml"/>
  <Override PartName="/xl/drawings/drawing6.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comments3.xml" ContentType="application/vnd.openxmlformats-officedocument.spreadsheetml.comments+xml"/>
  <Override PartName="/xl/drawings/drawing7.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omments4.xml" ContentType="application/vnd.openxmlformats-officedocument.spreadsheetml.comments+xml"/>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comments5.xml" ContentType="application/vnd.openxmlformats-officedocument.spreadsheetml.comments+xml"/>
  <Override PartName="/xl/drawings/drawing9.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comments6.xml" ContentType="application/vnd.openxmlformats-officedocument.spreadsheetml.comments+xml"/>
  <Override PartName="/xl/drawings/drawing10.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omments7.xml" ContentType="application/vnd.openxmlformats-officedocument.spreadsheetml.comments+xml"/>
  <Override PartName="/xl/drawings/drawing11.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comments8.xml" ContentType="application/vnd.openxmlformats-officedocument.spreadsheetml.comments+xml"/>
  <Override PartName="/xl/drawings/drawing12.xml" ContentType="application/vnd.openxmlformats-officedocument.drawing+xml"/>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comments9.xml" ContentType="application/vnd.openxmlformats-officedocument.spreadsheetml.comments+xml"/>
  <Override PartName="/xl/drawings/drawing13.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omments10.xml" ContentType="application/vnd.openxmlformats-officedocument.spreadsheetml.comments+xml"/>
  <Override PartName="/xl/drawings/drawing14.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comments11.xml" ContentType="application/vnd.openxmlformats-officedocument.spreadsheetml.comments+xml"/>
  <Override PartName="/xl/drawings/drawing15.xml" ContentType="application/vnd.openxmlformats-officedocument.drawing+xml"/>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comments12.xml" ContentType="application/vnd.openxmlformats-officedocument.spreadsheetml.comments+xml"/>
  <Override PartName="/xl/drawings/drawing16.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comments13.xml" ContentType="application/vnd.openxmlformats-officedocument.spreadsheetml.comments+xml"/>
  <Override PartName="/xl/drawings/drawing17.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drawings/drawing18.xml" ContentType="application/vnd.openxmlformats-officedocument.drawing+xml"/>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drawings/drawing19.xml" ContentType="application/vnd.openxmlformats-officedocument.drawing+xml"/>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drawings/drawing20.xml" ContentType="application/vnd.openxmlformats-officedocument.drawing+xml"/>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comments14.xml" ContentType="application/vnd.openxmlformats-officedocument.spreadsheetml.comments+xml"/>
  <Override PartName="/xl/drawings/drawing21.xml" ContentType="application/vnd.openxmlformats-officedocument.drawing+xml"/>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wchen258\Desktop\MBRS Prototype\"/>
    </mc:Choice>
  </mc:AlternateContent>
  <xr:revisionPtr revIDLastSave="0" documentId="13_ncr:1_{A767A305-9C5F-4CEE-855B-F2A3F5F68637}" xr6:coauthVersionLast="47" xr6:coauthVersionMax="47" xr10:uidLastSave="{00000000-0000-0000-0000-000000000000}"/>
  <workbookProtection workbookAlgorithmName="SHA-1" workbookHashValue="6Wo6ON8MnhWpDJanB08spEumwOo=" workbookSaltValue="VWxKifN3kNx1i9vW7AeOQA==" workbookSpinCount="100000" lockStructure="1"/>
  <bookViews>
    <workbookView xWindow="-3157" yWindow="-16297" windowWidth="28995" windowHeight="15675" firstSheet="8" activeTab="11" xr2:uid="{00000000-000D-0000-FFFF-FFFF00000000}"/>
  </bookViews>
  <sheets>
    <sheet name="Introduction" sheetId="5" state="veryHidden" r:id="rId1"/>
    <sheet name="Content Page" sheetId="46" r:id="rId2"/>
    <sheet name="FilingInfo" sheetId="27" r:id="rId3"/>
    <sheet name="SOF" sheetId="28" r:id="rId4"/>
    <sheet name="DirectorsRep" sheetId="29" r:id="rId5"/>
    <sheet name="DirectorsBussRev" sheetId="30" r:id="rId6"/>
    <sheet name="StatOfDirectors" sheetId="31" r:id="rId7"/>
    <sheet name="InvolInSE" sheetId="32" r:id="rId8"/>
    <sheet name="AuditReport" sheetId="33" r:id="rId9"/>
    <sheet name="SOFP-CuNonCu" sheetId="34" r:id="rId10"/>
    <sheet name="SOFP-Sub-CuNonCu" sheetId="35" r:id="rId11"/>
    <sheet name="SOPL-Function" sheetId="36" r:id="rId12"/>
    <sheet name="SOPL-Analysis-Function" sheetId="37" r:id="rId13"/>
    <sheet name="SOCI-BeforeOfTax" sheetId="38" r:id="rId14"/>
    <sheet name="SOCF-Indirect" sheetId="39" r:id="rId15"/>
    <sheet name="SOCIE" sheetId="40" r:id="rId16"/>
    <sheet name="Notes-CI" sheetId="41" r:id="rId17"/>
    <sheet name="Notes-SummaryofAccPol" sheetId="42" r:id="rId18"/>
    <sheet name="Notes-Listofnotes" sheetId="43" r:id="rId19"/>
    <sheet name="Notes-Issuedcapital" sheetId="44" r:id="rId20"/>
    <sheet name="Notes-RelatedPartytran" sheetId="45" r:id="rId21"/>
    <sheet name="+Lineitems" sheetId="21" state="veryHidden" r:id="rId22"/>
    <sheet name="StartUp" sheetId="6" state="veryHidden" r:id="rId23"/>
    <sheet name="Data" sheetId="7" state="veryHidden" r:id="rId24"/>
    <sheet name="+FootnoteTexts0" sheetId="22" state="veryHidden" r:id="rId25"/>
    <sheet name="+FootnoteTexts1" sheetId="23" state="veryHidden" r:id="rId26"/>
    <sheet name="+FootnoteTexts2" sheetId="24" state="veryHidden" r:id="rId27"/>
    <sheet name="+FootnoteTexts3" sheetId="25" state="veryHidden" r:id="rId28"/>
    <sheet name="+FootnoteTexts4" sheetId="26" state="veryHidden" r:id="rId29"/>
    <sheet name="+FootnoteTexts" sheetId="8" state="veryHidden" r:id="rId30"/>
    <sheet name="+Elements" sheetId="9" state="veryHidden" r:id="rId31"/>
    <sheet name="MainSheet" sheetId="11" state="veryHidden" r:id="rId32"/>
  </sheets>
  <externalReferences>
    <externalReference r:id="rId33"/>
    <externalReference r:id="rId34"/>
  </externalReferences>
  <definedNames>
    <definedName name="CountryList">Data!$O$1:$O$246</definedName>
    <definedName name="CurrencyList">Data!$Q$1:$Q$172</definedName>
    <definedName name="NewCurrencyList">Data!$Q$1:$Q$172</definedName>
    <definedName name="ScaleList" localSheetId="21">[1]StartUp!$L$1:$L$5</definedName>
    <definedName name="ScaleList">[2]StartUp!$L$1:$L$5</definedName>
    <definedName name="UnitList" localSheetId="21">[1]StartUp!$K$1:$K$172</definedName>
    <definedName name="UnitList">[2]StartUp!$K$1:$K$172</definedName>
  </definedNames>
  <calcPr calcId="144525" fullPrecision="0"/>
</workbook>
</file>

<file path=xl/calcChain.xml><?xml version="1.0" encoding="utf-8"?>
<calcChain xmlns="http://schemas.openxmlformats.org/spreadsheetml/2006/main">
  <c r="AA65" i="40" l="1"/>
  <c r="Z65" i="40"/>
  <c r="Y65" i="40"/>
  <c r="X65" i="40"/>
  <c r="W65" i="40"/>
  <c r="V65" i="40"/>
  <c r="U65" i="40"/>
  <c r="T65" i="40"/>
  <c r="S65" i="40"/>
  <c r="R65" i="40"/>
  <c r="Q65" i="40"/>
  <c r="P65" i="40"/>
  <c r="O65" i="40"/>
  <c r="N65" i="40"/>
  <c r="M65" i="40"/>
  <c r="L65" i="40"/>
  <c r="K65" i="40"/>
  <c r="J65" i="40"/>
  <c r="I65" i="40"/>
  <c r="H65" i="40"/>
  <c r="G65" i="40"/>
  <c r="F65" i="40"/>
  <c r="E65" i="40"/>
  <c r="AA29" i="40"/>
  <c r="Z29" i="40"/>
  <c r="Y29" i="40"/>
  <c r="X29" i="40"/>
  <c r="W29" i="40"/>
  <c r="V29" i="40"/>
  <c r="U29" i="40"/>
  <c r="T29" i="40"/>
  <c r="S29" i="40"/>
  <c r="R29" i="40"/>
  <c r="Q29" i="40"/>
  <c r="P29" i="40"/>
  <c r="O29" i="40"/>
  <c r="N29" i="40"/>
  <c r="M29" i="40"/>
  <c r="L29" i="40"/>
  <c r="K29" i="40"/>
  <c r="J29" i="40"/>
  <c r="I29" i="40"/>
  <c r="H29" i="40"/>
  <c r="G29" i="40"/>
  <c r="F29" i="40"/>
  <c r="E29" i="40"/>
  <c r="L22" i="45"/>
  <c r="K22" i="45"/>
  <c r="J22" i="45"/>
  <c r="I22" i="45"/>
  <c r="H22" i="45"/>
  <c r="G22" i="45"/>
  <c r="F22" i="45"/>
  <c r="E22" i="45"/>
  <c r="L24" i="45"/>
  <c r="K24" i="45"/>
  <c r="J24" i="45"/>
  <c r="I24" i="45"/>
  <c r="H24" i="45"/>
  <c r="G24" i="45"/>
  <c r="F24" i="45"/>
  <c r="E24" i="45"/>
  <c r="L23" i="45"/>
  <c r="K23" i="45"/>
  <c r="J23" i="45"/>
  <c r="I23" i="45"/>
  <c r="H23" i="45"/>
  <c r="G23" i="45"/>
  <c r="F23" i="45"/>
  <c r="E23" i="45"/>
  <c r="H22" i="44"/>
  <c r="G22" i="44"/>
  <c r="F22" i="44"/>
  <c r="E22" i="44"/>
  <c r="H24" i="44"/>
  <c r="G24" i="44"/>
  <c r="F24" i="44"/>
  <c r="E24" i="44"/>
  <c r="H23" i="44"/>
  <c r="G23" i="44"/>
  <c r="F23" i="44"/>
  <c r="E23" i="44"/>
  <c r="AA59" i="40"/>
  <c r="AA58" i="40"/>
  <c r="Z59" i="40"/>
  <c r="Z58" i="40"/>
  <c r="Y59" i="40"/>
  <c r="Y58" i="40"/>
  <c r="X59" i="40"/>
  <c r="X58" i="40"/>
  <c r="W59" i="40"/>
  <c r="W58" i="40"/>
  <c r="V59" i="40"/>
  <c r="V58" i="40"/>
  <c r="U59" i="40"/>
  <c r="U58" i="40"/>
  <c r="T59" i="40"/>
  <c r="T58" i="40"/>
  <c r="S59" i="40"/>
  <c r="S58" i="40"/>
  <c r="R59" i="40"/>
  <c r="R58" i="40"/>
  <c r="Q59" i="40"/>
  <c r="Q58" i="40"/>
  <c r="P59" i="40"/>
  <c r="P58" i="40"/>
  <c r="O59" i="40"/>
  <c r="O58" i="40"/>
  <c r="N59" i="40"/>
  <c r="N58" i="40"/>
  <c r="M59" i="40"/>
  <c r="M58" i="40"/>
  <c r="L59" i="40"/>
  <c r="L58" i="40"/>
  <c r="K59" i="40"/>
  <c r="K58" i="40"/>
  <c r="J59" i="40"/>
  <c r="J58" i="40"/>
  <c r="I59" i="40"/>
  <c r="I58" i="40"/>
  <c r="H59" i="40"/>
  <c r="H58" i="40"/>
  <c r="G59" i="40"/>
  <c r="G58" i="40"/>
  <c r="F59" i="40"/>
  <c r="F58" i="40"/>
  <c r="E59" i="40"/>
  <c r="E58" i="40"/>
  <c r="AA70" i="40"/>
  <c r="AA81" i="40" s="1"/>
  <c r="Z70" i="40"/>
  <c r="Z81" i="40" s="1"/>
  <c r="Y70" i="40"/>
  <c r="Y81" i="40" s="1"/>
  <c r="X70" i="40"/>
  <c r="X81" i="40" s="1"/>
  <c r="W70" i="40"/>
  <c r="W81" i="40" s="1"/>
  <c r="V70" i="40"/>
  <c r="V81" i="40" s="1"/>
  <c r="U70" i="40"/>
  <c r="U81" i="40" s="1"/>
  <c r="T70" i="40"/>
  <c r="T81" i="40" s="1"/>
  <c r="S70" i="40"/>
  <c r="S81" i="40" s="1"/>
  <c r="R70" i="40"/>
  <c r="R81" i="40" s="1"/>
  <c r="Q70" i="40"/>
  <c r="Q81" i="40" s="1"/>
  <c r="P70" i="40"/>
  <c r="P81" i="40" s="1"/>
  <c r="O70" i="40"/>
  <c r="O81" i="40" s="1"/>
  <c r="N70" i="40"/>
  <c r="N81" i="40" s="1"/>
  <c r="M70" i="40"/>
  <c r="M81" i="40" s="1"/>
  <c r="L70" i="40"/>
  <c r="L81" i="40" s="1"/>
  <c r="K70" i="40"/>
  <c r="K81" i="40" s="1"/>
  <c r="J70" i="40"/>
  <c r="J81" i="40" s="1"/>
  <c r="I70" i="40"/>
  <c r="I81" i="40" s="1"/>
  <c r="H70" i="40"/>
  <c r="H81" i="40" s="1"/>
  <c r="G70" i="40"/>
  <c r="G81" i="40" s="1"/>
  <c r="F70" i="40"/>
  <c r="F81" i="40" s="1"/>
  <c r="E70" i="40"/>
  <c r="E81" i="40" s="1"/>
  <c r="AA57" i="40"/>
  <c r="Z57" i="40"/>
  <c r="Y57" i="40"/>
  <c r="X57" i="40"/>
  <c r="W57" i="40"/>
  <c r="V57" i="40"/>
  <c r="U57" i="40"/>
  <c r="T57" i="40"/>
  <c r="S57" i="40"/>
  <c r="R57" i="40"/>
  <c r="Q57" i="40"/>
  <c r="P57" i="40"/>
  <c r="O57" i="40"/>
  <c r="N57" i="40"/>
  <c r="M57" i="40"/>
  <c r="L57" i="40"/>
  <c r="K57" i="40"/>
  <c r="J57" i="40"/>
  <c r="I57" i="40"/>
  <c r="H57" i="40"/>
  <c r="G57" i="40"/>
  <c r="F57" i="40"/>
  <c r="E57" i="40"/>
  <c r="AA34" i="40"/>
  <c r="AA45" i="40" s="1"/>
  <c r="Z34" i="40"/>
  <c r="Z45" i="40" s="1"/>
  <c r="Y34" i="40"/>
  <c r="Y45" i="40" s="1"/>
  <c r="X34" i="40"/>
  <c r="X45" i="40" s="1"/>
  <c r="W34" i="40"/>
  <c r="W45" i="40" s="1"/>
  <c r="V34" i="40"/>
  <c r="V45" i="40" s="1"/>
  <c r="U34" i="40"/>
  <c r="U45" i="40" s="1"/>
  <c r="T34" i="40"/>
  <c r="T45" i="40" s="1"/>
  <c r="S34" i="40"/>
  <c r="S45" i="40" s="1"/>
  <c r="R34" i="40"/>
  <c r="R45" i="40" s="1"/>
  <c r="Q34" i="40"/>
  <c r="Q45" i="40" s="1"/>
  <c r="Q46" i="40" s="1"/>
  <c r="P34" i="40"/>
  <c r="P45" i="40" s="1"/>
  <c r="O34" i="40"/>
  <c r="O45" i="40" s="1"/>
  <c r="N34" i="40"/>
  <c r="N45" i="40" s="1"/>
  <c r="M34" i="40"/>
  <c r="M45" i="40" s="1"/>
  <c r="L34" i="40"/>
  <c r="L45" i="40" s="1"/>
  <c r="K34" i="40"/>
  <c r="K45" i="40" s="1"/>
  <c r="J34" i="40"/>
  <c r="J45" i="40" s="1"/>
  <c r="I34" i="40"/>
  <c r="I45" i="40" s="1"/>
  <c r="H34" i="40"/>
  <c r="H45" i="40" s="1"/>
  <c r="G34" i="40"/>
  <c r="G45" i="40" s="1"/>
  <c r="F34" i="40"/>
  <c r="F45" i="40" s="1"/>
  <c r="E34" i="40"/>
  <c r="E45" i="40" s="1"/>
  <c r="AA21" i="40"/>
  <c r="Z21" i="40"/>
  <c r="Y21" i="40"/>
  <c r="X21" i="40"/>
  <c r="W21" i="40"/>
  <c r="V21" i="40"/>
  <c r="U21" i="40"/>
  <c r="T21" i="40"/>
  <c r="S21" i="40"/>
  <c r="R21" i="40"/>
  <c r="Q21" i="40"/>
  <c r="P21" i="40"/>
  <c r="O21" i="40"/>
  <c r="N21" i="40"/>
  <c r="M21" i="40"/>
  <c r="L21" i="40"/>
  <c r="K21" i="40"/>
  <c r="J21" i="40"/>
  <c r="I21" i="40"/>
  <c r="H21" i="40"/>
  <c r="G21" i="40"/>
  <c r="F21" i="40"/>
  <c r="E21" i="40"/>
  <c r="AA23" i="40"/>
  <c r="Z23" i="40"/>
  <c r="Y23" i="40"/>
  <c r="X23" i="40"/>
  <c r="W23" i="40"/>
  <c r="V23" i="40"/>
  <c r="U23" i="40"/>
  <c r="T23" i="40"/>
  <c r="S23" i="40"/>
  <c r="R23" i="40"/>
  <c r="Q23" i="40"/>
  <c r="P23" i="40"/>
  <c r="O23" i="40"/>
  <c r="N23" i="40"/>
  <c r="M23" i="40"/>
  <c r="L23" i="40"/>
  <c r="K23" i="40"/>
  <c r="J23" i="40"/>
  <c r="I23" i="40"/>
  <c r="H23" i="40"/>
  <c r="G23" i="40"/>
  <c r="F23" i="40"/>
  <c r="E23" i="40"/>
  <c r="AA22" i="40"/>
  <c r="Z22" i="40"/>
  <c r="Y22" i="40"/>
  <c r="X22" i="40"/>
  <c r="W22" i="40"/>
  <c r="V22" i="40"/>
  <c r="U22" i="40"/>
  <c r="T22" i="40"/>
  <c r="S22" i="40"/>
  <c r="R22" i="40"/>
  <c r="Q22" i="40"/>
  <c r="P22" i="40"/>
  <c r="O22" i="40"/>
  <c r="N22" i="40"/>
  <c r="M22" i="40"/>
  <c r="L22" i="40"/>
  <c r="K22" i="40"/>
  <c r="J22" i="40"/>
  <c r="I22" i="40"/>
  <c r="H22" i="40"/>
  <c r="G22" i="40"/>
  <c r="F22" i="40"/>
  <c r="E22" i="40"/>
  <c r="F22" i="39"/>
  <c r="F21" i="39"/>
  <c r="F157" i="39"/>
  <c r="F147" i="39"/>
  <c r="F127" i="39"/>
  <c r="F86" i="39"/>
  <c r="F74" i="39"/>
  <c r="F60" i="39"/>
  <c r="F56" i="39"/>
  <c r="F29" i="39"/>
  <c r="F20" i="39"/>
  <c r="E157" i="39"/>
  <c r="E147" i="39"/>
  <c r="E127" i="39"/>
  <c r="E86" i="39"/>
  <c r="E74" i="39"/>
  <c r="E60" i="39"/>
  <c r="E56" i="39"/>
  <c r="E29" i="39"/>
  <c r="E20" i="39"/>
  <c r="E22" i="39"/>
  <c r="E21" i="39"/>
  <c r="F22" i="38"/>
  <c r="F21" i="38"/>
  <c r="F67" i="38"/>
  <c r="F59" i="38"/>
  <c r="F52" i="38"/>
  <c r="F47" i="38"/>
  <c r="F43" i="38"/>
  <c r="F39" i="38"/>
  <c r="F32" i="38"/>
  <c r="F34" i="38" s="1"/>
  <c r="F20" i="38"/>
  <c r="E67" i="38"/>
  <c r="E59" i="38"/>
  <c r="E52" i="38"/>
  <c r="E47" i="38"/>
  <c r="E43" i="38"/>
  <c r="E39" i="38"/>
  <c r="E32" i="38"/>
  <c r="E34" i="38" s="1"/>
  <c r="E20" i="38"/>
  <c r="E22" i="38"/>
  <c r="E21" i="38"/>
  <c r="F22" i="37"/>
  <c r="F21" i="37"/>
  <c r="F158" i="37"/>
  <c r="F36" i="36" s="1"/>
  <c r="F152" i="37"/>
  <c r="F141" i="37"/>
  <c r="F123" i="37"/>
  <c r="F115" i="37"/>
  <c r="F99" i="37"/>
  <c r="F88" i="37"/>
  <c r="F83" i="37"/>
  <c r="F67" i="37"/>
  <c r="F28" i="36" s="1"/>
  <c r="F55" i="37"/>
  <c r="F50" i="37"/>
  <c r="F46" i="37"/>
  <c r="F36" i="37"/>
  <c r="F20" i="37"/>
  <c r="E158" i="37"/>
  <c r="E36" i="36" s="1"/>
  <c r="E152" i="37"/>
  <c r="E141" i="37"/>
  <c r="E123" i="37"/>
  <c r="E115" i="37"/>
  <c r="E99" i="37"/>
  <c r="E88" i="37"/>
  <c r="E83" i="37"/>
  <c r="E67" i="37"/>
  <c r="E28" i="36" s="1"/>
  <c r="E55" i="37"/>
  <c r="E50" i="37"/>
  <c r="E46" i="37"/>
  <c r="E36" i="37"/>
  <c r="E20" i="37"/>
  <c r="E22" i="37"/>
  <c r="E21" i="37"/>
  <c r="F22" i="36"/>
  <c r="F21" i="36"/>
  <c r="F60" i="36"/>
  <c r="F56" i="36"/>
  <c r="F51" i="36"/>
  <c r="F20" i="36"/>
  <c r="E60" i="36"/>
  <c r="E56" i="36"/>
  <c r="E51" i="36"/>
  <c r="E20" i="36"/>
  <c r="E22" i="36"/>
  <c r="E21" i="36"/>
  <c r="F22" i="35"/>
  <c r="F21" i="35"/>
  <c r="F470" i="35"/>
  <c r="F464" i="35"/>
  <c r="F455" i="35"/>
  <c r="F445" i="35"/>
  <c r="F440" i="35"/>
  <c r="F432" i="35"/>
  <c r="F421" i="35"/>
  <c r="F85" i="34" s="1"/>
  <c r="F412" i="35"/>
  <c r="F84" i="34" s="1"/>
  <c r="F402" i="35"/>
  <c r="F394" i="35"/>
  <c r="F387" i="35"/>
  <c r="F380" i="35"/>
  <c r="F369" i="35"/>
  <c r="F354" i="35"/>
  <c r="F348" i="35"/>
  <c r="F339" i="35"/>
  <c r="F332" i="35"/>
  <c r="F327" i="35"/>
  <c r="F319" i="35"/>
  <c r="F309" i="35"/>
  <c r="F74" i="34" s="1"/>
  <c r="F300" i="35"/>
  <c r="F73" i="34" s="1"/>
  <c r="F290" i="35"/>
  <c r="F283" i="35"/>
  <c r="F276" i="35"/>
  <c r="F269" i="35"/>
  <c r="F259" i="35"/>
  <c r="F249" i="35"/>
  <c r="F65" i="34" s="1"/>
  <c r="F241" i="35"/>
  <c r="F234" i="35"/>
  <c r="F223" i="35"/>
  <c r="F60" i="34" s="1"/>
  <c r="F218" i="35"/>
  <c r="F42" i="34" s="1"/>
  <c r="F211" i="35"/>
  <c r="F203" i="35"/>
  <c r="F196" i="35"/>
  <c r="F198" i="35" s="1"/>
  <c r="F51" i="34" s="1"/>
  <c r="F187" i="35"/>
  <c r="F180" i="35"/>
  <c r="F176" i="35"/>
  <c r="F168" i="35"/>
  <c r="F156" i="35"/>
  <c r="F45" i="34" s="1"/>
  <c r="F147" i="35"/>
  <c r="F149" i="35" s="1"/>
  <c r="F41" i="34" s="1"/>
  <c r="F138" i="35"/>
  <c r="F133" i="35"/>
  <c r="F125" i="35"/>
  <c r="F115" i="35"/>
  <c r="F36" i="34" s="1"/>
  <c r="F106" i="35"/>
  <c r="F35" i="34" s="1"/>
  <c r="F97" i="35"/>
  <c r="F34" i="34" s="1"/>
  <c r="F87" i="35"/>
  <c r="F89" i="35" s="1"/>
  <c r="F33" i="34" s="1"/>
  <c r="F73" i="35"/>
  <c r="F67" i="35"/>
  <c r="F64" i="35"/>
  <c r="F46" i="35"/>
  <c r="F39" i="35"/>
  <c r="F33" i="35"/>
  <c r="F20" i="35"/>
  <c r="E470" i="35"/>
  <c r="E464" i="35"/>
  <c r="E455" i="35"/>
  <c r="E445" i="35"/>
  <c r="E440" i="35"/>
  <c r="E432" i="35"/>
  <c r="E421" i="35"/>
  <c r="E85" i="34" s="1"/>
  <c r="E412" i="35"/>
  <c r="E84" i="34" s="1"/>
  <c r="E402" i="35"/>
  <c r="E394" i="35"/>
  <c r="E387" i="35"/>
  <c r="E380" i="35"/>
  <c r="E369" i="35"/>
  <c r="E354" i="35"/>
  <c r="E348" i="35"/>
  <c r="E339" i="35"/>
  <c r="E332" i="35"/>
  <c r="E327" i="35"/>
  <c r="E319" i="35"/>
  <c r="E309" i="35"/>
  <c r="E74" i="34" s="1"/>
  <c r="E300" i="35"/>
  <c r="E73" i="34" s="1"/>
  <c r="E290" i="35"/>
  <c r="E283" i="35"/>
  <c r="E276" i="35"/>
  <c r="E269" i="35"/>
  <c r="E259" i="35"/>
  <c r="E249" i="35"/>
  <c r="E65" i="34" s="1"/>
  <c r="E241" i="35"/>
  <c r="E234" i="35"/>
  <c r="E223" i="35"/>
  <c r="E60" i="34" s="1"/>
  <c r="E218" i="35"/>
  <c r="E42" i="34" s="1"/>
  <c r="E211" i="35"/>
  <c r="E203" i="35"/>
  <c r="E196" i="35"/>
  <c r="E198" i="35" s="1"/>
  <c r="E51" i="34" s="1"/>
  <c r="E187" i="35"/>
  <c r="E180" i="35"/>
  <c r="E176" i="35"/>
  <c r="E168" i="35"/>
  <c r="E156" i="35"/>
  <c r="E45" i="34" s="1"/>
  <c r="E147" i="35"/>
  <c r="E149" i="35" s="1"/>
  <c r="E41" i="34" s="1"/>
  <c r="E138" i="35"/>
  <c r="E133" i="35"/>
  <c r="E125" i="35"/>
  <c r="E115" i="35"/>
  <c r="E36" i="34" s="1"/>
  <c r="E106" i="35"/>
  <c r="E35" i="34" s="1"/>
  <c r="E97" i="35"/>
  <c r="E34" i="34" s="1"/>
  <c r="E87" i="35"/>
  <c r="E89" i="35" s="1"/>
  <c r="E33" i="34" s="1"/>
  <c r="E73" i="35"/>
  <c r="E67" i="35"/>
  <c r="E64" i="35"/>
  <c r="E46" i="35"/>
  <c r="E39" i="35"/>
  <c r="E33" i="35"/>
  <c r="E20" i="35"/>
  <c r="E22" i="35"/>
  <c r="E21" i="35"/>
  <c r="F22" i="34"/>
  <c r="F21" i="34"/>
  <c r="F20" i="34"/>
  <c r="E20" i="34"/>
  <c r="E22" i="34"/>
  <c r="E21" i="34"/>
  <c r="N30" i="33"/>
  <c r="M30" i="33"/>
  <c r="L30" i="33"/>
  <c r="K30" i="33"/>
  <c r="J30" i="33"/>
  <c r="I30" i="33"/>
  <c r="H30" i="33"/>
  <c r="G30" i="33"/>
  <c r="F30" i="33"/>
  <c r="E30" i="33"/>
  <c r="N29" i="33"/>
  <c r="M29" i="33"/>
  <c r="L29" i="33"/>
  <c r="K29" i="33"/>
  <c r="J29" i="33"/>
  <c r="I29" i="33"/>
  <c r="H29" i="33"/>
  <c r="G29" i="33"/>
  <c r="F29" i="33"/>
  <c r="E29" i="33"/>
  <c r="E11" i="33"/>
  <c r="E10" i="33"/>
  <c r="E11" i="32"/>
  <c r="E10" i="32"/>
  <c r="E11" i="31"/>
  <c r="E10" i="31"/>
  <c r="E11" i="30"/>
  <c r="E10" i="30"/>
  <c r="E11" i="29"/>
  <c r="E10" i="29"/>
  <c r="E51" i="28"/>
  <c r="E50" i="28"/>
  <c r="F35" i="28"/>
  <c r="E35" i="28"/>
  <c r="F34" i="28"/>
  <c r="E34" i="28"/>
  <c r="E11" i="28"/>
  <c r="E10" i="28"/>
  <c r="E9" i="32" l="1"/>
  <c r="E19" i="34"/>
  <c r="J56" i="40"/>
  <c r="V56" i="40"/>
  <c r="E9" i="29"/>
  <c r="E33" i="28"/>
  <c r="P56" i="40"/>
  <c r="F56" i="40"/>
  <c r="L56" i="40"/>
  <c r="R56" i="40"/>
  <c r="J28" i="33"/>
  <c r="K46" i="40"/>
  <c r="W46" i="40"/>
  <c r="E19" i="38"/>
  <c r="X56" i="40"/>
  <c r="K82" i="40"/>
  <c r="J46" i="40"/>
  <c r="V46" i="40"/>
  <c r="L82" i="40"/>
  <c r="I56" i="40"/>
  <c r="O56" i="40"/>
  <c r="U56" i="40"/>
  <c r="AA56" i="40"/>
  <c r="P82" i="40"/>
  <c r="E242" i="35"/>
  <c r="E63" i="34" s="1"/>
  <c r="E67" i="34" s="1"/>
  <c r="F19" i="36"/>
  <c r="E9" i="31"/>
  <c r="K28" i="33"/>
  <c r="G56" i="40"/>
  <c r="M56" i="40"/>
  <c r="S56" i="40"/>
  <c r="Y56" i="40"/>
  <c r="E49" i="28"/>
  <c r="F19" i="34"/>
  <c r="I20" i="40"/>
  <c r="U20" i="40"/>
  <c r="L46" i="40"/>
  <c r="X46" i="40"/>
  <c r="M82" i="40"/>
  <c r="Y82" i="40"/>
  <c r="E77" i="39"/>
  <c r="K20" i="40"/>
  <c r="W20" i="40"/>
  <c r="G21" i="44"/>
  <c r="G21" i="45"/>
  <c r="E19" i="36"/>
  <c r="F19" i="39"/>
  <c r="F19" i="38"/>
  <c r="E20" i="40"/>
  <c r="Q20" i="40"/>
  <c r="R20" i="40"/>
  <c r="F110" i="37"/>
  <c r="F30" i="36" s="1"/>
  <c r="E56" i="40"/>
  <c r="K56" i="40"/>
  <c r="Q56" i="40"/>
  <c r="W56" i="40"/>
  <c r="E46" i="40"/>
  <c r="R82" i="40"/>
  <c r="G82" i="40"/>
  <c r="S82" i="40"/>
  <c r="H21" i="44"/>
  <c r="H21" i="45"/>
  <c r="O20" i="40"/>
  <c r="AA20" i="40"/>
  <c r="P20" i="40"/>
  <c r="E69" i="35"/>
  <c r="E29" i="34" s="1"/>
  <c r="E403" i="35"/>
  <c r="E82" i="34" s="1"/>
  <c r="E60" i="37"/>
  <c r="E27" i="36" s="1"/>
  <c r="E29" i="36" s="1"/>
  <c r="F20" i="40"/>
  <c r="W82" i="40"/>
  <c r="F139" i="35"/>
  <c r="F140" i="35" s="1"/>
  <c r="F38" i="34" s="1"/>
  <c r="H56" i="40"/>
  <c r="T56" i="40"/>
  <c r="X82" i="40"/>
  <c r="F242" i="35"/>
  <c r="F63" i="34" s="1"/>
  <c r="F64" i="34" s="1"/>
  <c r="Y46" i="40"/>
  <c r="E213" i="35"/>
  <c r="E52" i="34" s="1"/>
  <c r="F19" i="37"/>
  <c r="E40" i="35"/>
  <c r="E59" i="35" s="1"/>
  <c r="E28" i="34" s="1"/>
  <c r="F46" i="40"/>
  <c r="R46" i="40"/>
  <c r="M46" i="40"/>
  <c r="N82" i="40"/>
  <c r="Z82" i="40"/>
  <c r="N46" i="40"/>
  <c r="Z46" i="40"/>
  <c r="O82" i="40"/>
  <c r="AA82" i="40"/>
  <c r="M20" i="40"/>
  <c r="Y20" i="40"/>
  <c r="AA46" i="40"/>
  <c r="E356" i="35"/>
  <c r="E78" i="34" s="1"/>
  <c r="E19" i="37"/>
  <c r="N20" i="40"/>
  <c r="Z20" i="40"/>
  <c r="E82" i="40"/>
  <c r="Q82" i="40"/>
  <c r="X20" i="40"/>
  <c r="N56" i="40"/>
  <c r="Z56" i="40"/>
  <c r="K21" i="45"/>
  <c r="G46" i="40"/>
  <c r="S46" i="40"/>
  <c r="H82" i="40"/>
  <c r="T82" i="40"/>
  <c r="H46" i="40"/>
  <c r="T46" i="40"/>
  <c r="I82" i="40"/>
  <c r="U82" i="40"/>
  <c r="G20" i="40"/>
  <c r="F33" i="28"/>
  <c r="S20" i="40"/>
  <c r="I46" i="40"/>
  <c r="U46" i="40"/>
  <c r="J82" i="40"/>
  <c r="V82" i="40"/>
  <c r="E19" i="35"/>
  <c r="F69" i="35"/>
  <c r="F29" i="34" s="1"/>
  <c r="E19" i="39"/>
  <c r="H20" i="40"/>
  <c r="T20" i="40"/>
  <c r="L20" i="40"/>
  <c r="E21" i="45"/>
  <c r="I21" i="45"/>
  <c r="E28" i="33"/>
  <c r="E139" i="35"/>
  <c r="E140" i="35" s="1"/>
  <c r="E38" i="34" s="1"/>
  <c r="E340" i="35"/>
  <c r="E341" i="35" s="1"/>
  <c r="E75" i="34" s="1"/>
  <c r="F19" i="35"/>
  <c r="E78" i="39"/>
  <c r="E87" i="39" s="1"/>
  <c r="E95" i="39" s="1"/>
  <c r="E148" i="39" s="1"/>
  <c r="E150" i="39" s="1"/>
  <c r="J20" i="40"/>
  <c r="V20" i="40"/>
  <c r="F82" i="40"/>
  <c r="F21" i="44"/>
  <c r="F21" i="45"/>
  <c r="O46" i="40"/>
  <c r="P46" i="40"/>
  <c r="E154" i="37"/>
  <c r="E34" i="36" s="1"/>
  <c r="E291" i="35"/>
  <c r="E71" i="34" s="1"/>
  <c r="E9" i="28"/>
  <c r="E9" i="30"/>
  <c r="F356" i="35"/>
  <c r="F78" i="34" s="1"/>
  <c r="L21" i="45"/>
  <c r="M28" i="33"/>
  <c r="E55" i="38"/>
  <c r="E56" i="38" s="1"/>
  <c r="E62" i="38" s="1"/>
  <c r="L28" i="33"/>
  <c r="N28" i="33"/>
  <c r="E456" i="35"/>
  <c r="E457" i="35" s="1"/>
  <c r="E87" i="34" s="1"/>
  <c r="J21" i="45"/>
  <c r="E9" i="33"/>
  <c r="F213" i="35"/>
  <c r="F52" i="34" s="1"/>
  <c r="E110" i="37"/>
  <c r="E30" i="36" s="1"/>
  <c r="E188" i="35"/>
  <c r="E189" i="35" s="1"/>
  <c r="E49" i="34" s="1"/>
  <c r="E54" i="34" s="1"/>
  <c r="E472" i="35"/>
  <c r="E89" i="34" s="1"/>
  <c r="E21" i="44"/>
  <c r="F77" i="39"/>
  <c r="F78" i="39" s="1"/>
  <c r="F87" i="39" s="1"/>
  <c r="F95" i="39" s="1"/>
  <c r="F148" i="39" s="1"/>
  <c r="F150" i="39" s="1"/>
  <c r="F55" i="38"/>
  <c r="F56" i="38" s="1"/>
  <c r="F62" i="38" s="1"/>
  <c r="F154" i="37"/>
  <c r="F34" i="36" s="1"/>
  <c r="F60" i="37"/>
  <c r="F27" i="36" s="1"/>
  <c r="F29" i="36" s="1"/>
  <c r="F472" i="35"/>
  <c r="F89" i="34" s="1"/>
  <c r="F456" i="35"/>
  <c r="F457" i="35" s="1"/>
  <c r="F87" i="34" s="1"/>
  <c r="F403" i="35"/>
  <c r="F82" i="34" s="1"/>
  <c r="F340" i="35"/>
  <c r="F341" i="35" s="1"/>
  <c r="F75" i="34" s="1"/>
  <c r="F291" i="35"/>
  <c r="F71" i="34" s="1"/>
  <c r="F188" i="35"/>
  <c r="F189" i="35" s="1"/>
  <c r="F49" i="34" s="1"/>
  <c r="F40" i="35"/>
  <c r="F59" i="35" s="1"/>
  <c r="F28" i="34" s="1"/>
  <c r="F28" i="33"/>
  <c r="G28" i="33"/>
  <c r="H28" i="33"/>
  <c r="I28" i="33"/>
  <c r="E64" i="34" l="1"/>
  <c r="E91" i="34"/>
  <c r="F67" i="34"/>
  <c r="E93" i="34"/>
  <c r="F80" i="34"/>
  <c r="F91" i="34"/>
  <c r="E35" i="36"/>
  <c r="F57" i="34"/>
  <c r="E57" i="34"/>
  <c r="E43" i="34"/>
  <c r="E94" i="34"/>
  <c r="E95" i="34" s="1"/>
  <c r="E40" i="36"/>
  <c r="E43" i="36" s="1"/>
  <c r="E46" i="36" s="1"/>
  <c r="E27" i="38" s="1"/>
  <c r="E63" i="38" s="1"/>
  <c r="F54" i="34"/>
  <c r="F94" i="34"/>
  <c r="F93" i="34"/>
  <c r="F56" i="34"/>
  <c r="F43" i="34"/>
  <c r="E56" i="34"/>
  <c r="E80" i="34"/>
  <c r="F35" i="36"/>
  <c r="F40" i="36"/>
  <c r="F43" i="36" s="1"/>
  <c r="F46" i="36" s="1"/>
  <c r="F27" i="38" s="1"/>
  <c r="F63" i="38" s="1"/>
  <c r="F95"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E1911ADC-E81F-43C5-AFE6-CB9E910FB98C}">
      <text>
        <r>
          <rPr>
            <b/>
            <sz val="9"/>
            <color indexed="81"/>
            <rFont val="Tahoma"/>
            <family val="2"/>
          </rPr>
          <t xml:space="preserve">[Date Format: dd'/'MM'/'yyyy]
</t>
        </r>
      </text>
    </comment>
    <comment ref="E11" authorId="0" shapeId="0" xr:uid="{F10DE736-15DF-4216-979F-CBB5216D13D3}">
      <text>
        <r>
          <rPr>
            <b/>
            <sz val="9"/>
            <color indexed="81"/>
            <rFont val="Tahoma"/>
            <family val="2"/>
          </rPr>
          <t xml:space="preserve">[Date Format: dd'/'MM'/'yyyy]
</t>
        </r>
      </text>
    </comment>
    <comment ref="E34" authorId="0" shapeId="0" xr:uid="{BE6F3802-C41A-41D1-8945-2C4076995AE8}">
      <text>
        <r>
          <rPr>
            <b/>
            <sz val="9"/>
            <color indexed="81"/>
            <rFont val="Tahoma"/>
            <family val="2"/>
          </rPr>
          <t xml:space="preserve">[Date Format: dd'/'MM'/'yyyy]
</t>
        </r>
      </text>
    </comment>
    <comment ref="F34" authorId="0" shapeId="0" xr:uid="{F371D132-197B-40B0-B01C-4B05D9FDB431}">
      <text>
        <r>
          <rPr>
            <b/>
            <sz val="9"/>
            <color indexed="81"/>
            <rFont val="Tahoma"/>
            <family val="2"/>
          </rPr>
          <t xml:space="preserve">[Date Format: dd'/'MM'/'yyyy]
</t>
        </r>
      </text>
    </comment>
    <comment ref="E35" authorId="0" shapeId="0" xr:uid="{BD9AEF0A-16B9-495C-A7F8-BD68BE0088F9}">
      <text>
        <r>
          <rPr>
            <b/>
            <sz val="9"/>
            <color indexed="81"/>
            <rFont val="Tahoma"/>
            <family val="2"/>
          </rPr>
          <t xml:space="preserve">[Date Format: dd'/'MM'/'yyyy]
</t>
        </r>
      </text>
    </comment>
    <comment ref="F35" authorId="0" shapeId="0" xr:uid="{644D64DA-A554-433D-930C-A0A9B3EA8D8B}">
      <text>
        <r>
          <rPr>
            <b/>
            <sz val="9"/>
            <color indexed="81"/>
            <rFont val="Tahoma"/>
            <family val="2"/>
          </rPr>
          <t xml:space="preserve">[Date Format: dd'/'MM'/'yyyy]
</t>
        </r>
      </text>
    </comment>
    <comment ref="E50" authorId="0" shapeId="0" xr:uid="{EFC6AD94-A098-4D2E-8299-285179B9DE97}">
      <text>
        <r>
          <rPr>
            <b/>
            <sz val="9"/>
            <color indexed="81"/>
            <rFont val="Tahoma"/>
            <family val="2"/>
          </rPr>
          <t xml:space="preserve">[Date Format: dd'/'MM'/'yyyy]
</t>
        </r>
      </text>
    </comment>
    <comment ref="E51" authorId="0" shapeId="0" xr:uid="{09C36CB9-BE30-44F0-9F61-AC4AFEBB93C0}">
      <text>
        <r>
          <rPr>
            <b/>
            <sz val="9"/>
            <color indexed="81"/>
            <rFont val="Tahoma"/>
            <family val="2"/>
          </rPr>
          <t xml:space="preserve">[Date Format: dd'/'MM'/'yyyy]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19FE5565-90F6-4FD5-A533-7144781AF8FA}">
      <text>
        <r>
          <rPr>
            <b/>
            <sz val="9"/>
            <color indexed="81"/>
            <rFont val="Tahoma"/>
            <family val="2"/>
          </rPr>
          <t xml:space="preserve">[Date Format: dd'/'MM'/'yyyy]
</t>
        </r>
      </text>
    </comment>
    <comment ref="E11" authorId="0" shapeId="0" xr:uid="{BF0C5DEF-3D91-4858-8EAA-67187EF5D911}">
      <text>
        <r>
          <rPr>
            <b/>
            <sz val="9"/>
            <color indexed="81"/>
            <rFont val="Tahoma"/>
            <family val="2"/>
          </rPr>
          <t xml:space="preserve">[Date Format: dd'/'MM'/'yyyy]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21B5A8F4-6A8E-4F70-90B3-E901760A88E8}">
      <text>
        <r>
          <rPr>
            <b/>
            <sz val="9"/>
            <color indexed="81"/>
            <rFont val="Tahoma"/>
            <family val="2"/>
          </rPr>
          <t xml:space="preserve">[Date Format: dd'/'MM'/'yyyy]
</t>
        </r>
      </text>
    </comment>
    <comment ref="E11" authorId="0" shapeId="0" xr:uid="{5DF54698-E011-419D-8C6A-9CE42D88F441}">
      <text>
        <r>
          <rPr>
            <b/>
            <sz val="9"/>
            <color indexed="81"/>
            <rFont val="Tahoma"/>
            <family val="2"/>
          </rPr>
          <t xml:space="preserve">[Date Format: dd'/'MM'/'yyyy]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9DFA87B8-F199-41C2-B1C2-99756181B2B7}">
      <text>
        <r>
          <rPr>
            <b/>
            <sz val="9"/>
            <color indexed="81"/>
            <rFont val="Tahoma"/>
            <family val="2"/>
          </rPr>
          <t xml:space="preserve">[Date Format: dd'/'MM'/'yyyy]
</t>
        </r>
      </text>
    </comment>
    <comment ref="E11" authorId="0" shapeId="0" xr:uid="{EF13F7A1-DD76-411F-9EAF-FDE98FF5E68B}">
      <text>
        <r>
          <rPr>
            <b/>
            <sz val="9"/>
            <color indexed="81"/>
            <rFont val="Tahoma"/>
            <family val="2"/>
          </rPr>
          <t xml:space="preserve">[Date Format: dd'/'MM'/'yyyy]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7AD234FB-0877-4CFF-9248-3CECE34E588C}">
      <text>
        <r>
          <rPr>
            <b/>
            <sz val="9"/>
            <color indexed="81"/>
            <rFont val="Tahoma"/>
            <family val="2"/>
          </rPr>
          <t xml:space="preserve">[Date Format: dd'/'MM'/'yyyy]
</t>
        </r>
      </text>
    </comment>
    <comment ref="E11" authorId="0" shapeId="0" xr:uid="{24DEFA46-F906-40D2-A4A6-9F288497C408}">
      <text>
        <r>
          <rPr>
            <b/>
            <sz val="9"/>
            <color indexed="81"/>
            <rFont val="Tahoma"/>
            <family val="2"/>
          </rPr>
          <t xml:space="preserve">[Date Format: dd'/'MM'/'yyyy]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10" authorId="0" shapeId="0" xr:uid="{0600CB93-3F97-4DF1-83A6-F03B4B21C10E}">
      <text>
        <r>
          <rPr>
            <b/>
            <sz val="9"/>
            <color indexed="81"/>
            <rFont val="Tahoma"/>
            <family val="2"/>
          </rPr>
          <t xml:space="preserve">[Date Format: dd'/'MM'/'yyyy]
</t>
        </r>
      </text>
    </comment>
    <comment ref="E11" authorId="0" shapeId="0" xr:uid="{C9243B2B-47F2-428D-A4AC-59447A8CCD3C}">
      <text>
        <r>
          <rPr>
            <b/>
            <sz val="9"/>
            <color indexed="81"/>
            <rFont val="Tahoma"/>
            <family val="2"/>
          </rPr>
          <t xml:space="preserve">[Date Format: dd'/'MM'/'yyyy]
</t>
        </r>
      </text>
    </comment>
    <comment ref="E29" authorId="0" shapeId="0" xr:uid="{A4D244C5-1DE9-4AF0-8ECB-26B20B005AF3}">
      <text>
        <r>
          <rPr>
            <b/>
            <sz val="9"/>
            <color indexed="81"/>
            <rFont val="Tahoma"/>
            <family val="2"/>
          </rPr>
          <t xml:space="preserve">[Date Format: dd'/'MM'/'yyyy]
</t>
        </r>
      </text>
    </comment>
    <comment ref="F29" authorId="0" shapeId="0" xr:uid="{0765C701-92C5-417D-8FAC-5B1BAA94D8F8}">
      <text>
        <r>
          <rPr>
            <b/>
            <sz val="9"/>
            <color indexed="81"/>
            <rFont val="Tahoma"/>
            <family val="2"/>
          </rPr>
          <t xml:space="preserve">[Date Format: dd'/'MM'/'yyyy]
</t>
        </r>
      </text>
    </comment>
    <comment ref="G29" authorId="0" shapeId="0" xr:uid="{E1840BDC-99AE-4C7C-AB0E-5C3AB443B7BD}">
      <text>
        <r>
          <rPr>
            <b/>
            <sz val="9"/>
            <color indexed="81"/>
            <rFont val="Tahoma"/>
            <family val="2"/>
          </rPr>
          <t xml:space="preserve">[Date Format: dd'/'MM'/'yyyy]
</t>
        </r>
      </text>
    </comment>
    <comment ref="H29" authorId="0" shapeId="0" xr:uid="{49E31544-0581-49C7-BC6E-337D08E5E198}">
      <text>
        <r>
          <rPr>
            <b/>
            <sz val="9"/>
            <color indexed="81"/>
            <rFont val="Tahoma"/>
            <family val="2"/>
          </rPr>
          <t xml:space="preserve">[Date Format: dd'/'MM'/'yyyy]
</t>
        </r>
      </text>
    </comment>
    <comment ref="I29" authorId="0" shapeId="0" xr:uid="{1EE18206-29FD-47E3-A921-3782768E92BF}">
      <text>
        <r>
          <rPr>
            <b/>
            <sz val="9"/>
            <color indexed="81"/>
            <rFont val="Tahoma"/>
            <family val="2"/>
          </rPr>
          <t xml:space="preserve">[Date Format: dd'/'MM'/'yyyy]
</t>
        </r>
      </text>
    </comment>
    <comment ref="J29" authorId="0" shapeId="0" xr:uid="{7E4E6165-B848-4996-8266-7FA960223ED7}">
      <text>
        <r>
          <rPr>
            <b/>
            <sz val="9"/>
            <color indexed="81"/>
            <rFont val="Tahoma"/>
            <family val="2"/>
          </rPr>
          <t xml:space="preserve">[Date Format: dd'/'MM'/'yyyy]
</t>
        </r>
      </text>
    </comment>
    <comment ref="K29" authorId="0" shapeId="0" xr:uid="{7B0BE957-E55B-4811-8C39-8E58CFC56C70}">
      <text>
        <r>
          <rPr>
            <b/>
            <sz val="9"/>
            <color indexed="81"/>
            <rFont val="Tahoma"/>
            <family val="2"/>
          </rPr>
          <t xml:space="preserve">[Date Format: dd'/'MM'/'yyyy]
</t>
        </r>
      </text>
    </comment>
    <comment ref="L29" authorId="0" shapeId="0" xr:uid="{1E8AF77D-1CC7-4E86-B654-3C2CDD20BD19}">
      <text>
        <r>
          <rPr>
            <b/>
            <sz val="9"/>
            <color indexed="81"/>
            <rFont val="Tahoma"/>
            <family val="2"/>
          </rPr>
          <t xml:space="preserve">[Date Format: dd'/'MM'/'yyyy]
</t>
        </r>
      </text>
    </comment>
    <comment ref="M29" authorId="0" shapeId="0" xr:uid="{A9DEBE3E-F18A-4585-B51C-D53A7B13FE0B}">
      <text>
        <r>
          <rPr>
            <b/>
            <sz val="9"/>
            <color indexed="81"/>
            <rFont val="Tahoma"/>
            <family val="2"/>
          </rPr>
          <t xml:space="preserve">[Date Format: dd'/'MM'/'yyyy]
</t>
        </r>
      </text>
    </comment>
    <comment ref="N29" authorId="0" shapeId="0" xr:uid="{E6085898-FBDA-4513-B2A9-7965173825AD}">
      <text>
        <r>
          <rPr>
            <b/>
            <sz val="9"/>
            <color indexed="81"/>
            <rFont val="Tahoma"/>
            <family val="2"/>
          </rPr>
          <t xml:space="preserve">[Date Format: dd'/'MM'/'yyyy]
</t>
        </r>
      </text>
    </comment>
    <comment ref="E30" authorId="0" shapeId="0" xr:uid="{2E61A8F2-FB50-4791-B66B-213D601FC53B}">
      <text>
        <r>
          <rPr>
            <b/>
            <sz val="9"/>
            <color indexed="81"/>
            <rFont val="Tahoma"/>
            <family val="2"/>
          </rPr>
          <t xml:space="preserve">[Date Format: dd'/'MM'/'yyyy]
</t>
        </r>
      </text>
    </comment>
    <comment ref="F30" authorId="0" shapeId="0" xr:uid="{52056D8C-A65C-4370-8E0A-9AF9B751D56F}">
      <text>
        <r>
          <rPr>
            <b/>
            <sz val="9"/>
            <color indexed="81"/>
            <rFont val="Tahoma"/>
            <family val="2"/>
          </rPr>
          <t xml:space="preserve">[Date Format: dd'/'MM'/'yyyy]
</t>
        </r>
      </text>
    </comment>
    <comment ref="G30" authorId="0" shapeId="0" xr:uid="{AEC3E83A-3318-41DD-8CED-C090F1DDA7A8}">
      <text>
        <r>
          <rPr>
            <b/>
            <sz val="9"/>
            <color indexed="81"/>
            <rFont val="Tahoma"/>
            <family val="2"/>
          </rPr>
          <t xml:space="preserve">[Date Format: dd'/'MM'/'yyyy]
</t>
        </r>
      </text>
    </comment>
    <comment ref="H30" authorId="0" shapeId="0" xr:uid="{8F2A63F3-2EE6-4AF2-B451-DB797679082E}">
      <text>
        <r>
          <rPr>
            <b/>
            <sz val="9"/>
            <color indexed="81"/>
            <rFont val="Tahoma"/>
            <family val="2"/>
          </rPr>
          <t xml:space="preserve">[Date Format: dd'/'MM'/'yyyy]
</t>
        </r>
      </text>
    </comment>
    <comment ref="I30" authorId="0" shapeId="0" xr:uid="{3AF56B3F-5833-46B3-91CA-674D2EB638E7}">
      <text>
        <r>
          <rPr>
            <b/>
            <sz val="9"/>
            <color indexed="81"/>
            <rFont val="Tahoma"/>
            <family val="2"/>
          </rPr>
          <t xml:space="preserve">[Date Format: dd'/'MM'/'yyyy]
</t>
        </r>
      </text>
    </comment>
    <comment ref="J30" authorId="0" shapeId="0" xr:uid="{DF553D27-E566-4AB5-B05F-816562BCE00A}">
      <text>
        <r>
          <rPr>
            <b/>
            <sz val="9"/>
            <color indexed="81"/>
            <rFont val="Tahoma"/>
            <family val="2"/>
          </rPr>
          <t xml:space="preserve">[Date Format: dd'/'MM'/'yyyy]
</t>
        </r>
      </text>
    </comment>
    <comment ref="K30" authorId="0" shapeId="0" xr:uid="{AD24FB54-63A5-498D-81B6-81D967585248}">
      <text>
        <r>
          <rPr>
            <b/>
            <sz val="9"/>
            <color indexed="81"/>
            <rFont val="Tahoma"/>
            <family val="2"/>
          </rPr>
          <t xml:space="preserve">[Date Format: dd'/'MM'/'yyyy]
</t>
        </r>
      </text>
    </comment>
    <comment ref="L30" authorId="0" shapeId="0" xr:uid="{8D8ACD7E-B0FC-4690-80F0-698E3C7E6983}">
      <text>
        <r>
          <rPr>
            <b/>
            <sz val="9"/>
            <color indexed="81"/>
            <rFont val="Tahoma"/>
            <family val="2"/>
          </rPr>
          <t xml:space="preserve">[Date Format: dd'/'MM'/'yyyy]
</t>
        </r>
      </text>
    </comment>
    <comment ref="M30" authorId="0" shapeId="0" xr:uid="{1A23E3FA-D5BA-47C5-BE18-A84349D4ACA7}">
      <text>
        <r>
          <rPr>
            <b/>
            <sz val="9"/>
            <color indexed="81"/>
            <rFont val="Tahoma"/>
            <family val="2"/>
          </rPr>
          <t xml:space="preserve">[Date Format: dd'/'MM'/'yyyy]
</t>
        </r>
      </text>
    </comment>
    <comment ref="N30" authorId="0" shapeId="0" xr:uid="{5A159EC8-66D2-4F1E-BFA2-FA4D516DE20D}">
      <text>
        <r>
          <rPr>
            <b/>
            <sz val="9"/>
            <color indexed="81"/>
            <rFont val="Tahoma"/>
            <family val="2"/>
          </rPr>
          <t xml:space="preserve">[Date Format: dd'/'MM'/'yyyy]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93F5D116-1A93-4091-85C1-54904A91B3D2}">
      <text>
        <r>
          <rPr>
            <b/>
            <sz val="9"/>
            <color indexed="81"/>
            <rFont val="Tahoma"/>
            <family val="2"/>
          </rPr>
          <t xml:space="preserve">[Date Format: dd'/'MM'/'yyyy]
</t>
        </r>
      </text>
    </comment>
    <comment ref="F21" authorId="0" shapeId="0" xr:uid="{B8FE85AF-F1F0-48EF-96C9-4C8475380835}">
      <text>
        <r>
          <rPr>
            <b/>
            <sz val="9"/>
            <color indexed="81"/>
            <rFont val="Tahoma"/>
            <family val="2"/>
          </rPr>
          <t xml:space="preserve">[User-Added Date]
</t>
        </r>
      </text>
    </comment>
    <comment ref="E22" authorId="0" shapeId="0" xr:uid="{378C2213-B7D0-45DD-B526-DE841B6C3EED}">
      <text>
        <r>
          <rPr>
            <b/>
            <sz val="9"/>
            <color indexed="81"/>
            <rFont val="Tahoma"/>
            <family val="2"/>
          </rPr>
          <t xml:space="preserve">[Date Format: dd'/'MM'/'yyyy]
</t>
        </r>
      </text>
    </comment>
    <comment ref="F22" authorId="0" shapeId="0" xr:uid="{770FE52D-9382-4345-A474-432A16A070D7}">
      <text>
        <r>
          <rPr>
            <b/>
            <sz val="9"/>
            <color indexed="81"/>
            <rFont val="Tahoma"/>
            <family val="2"/>
          </rPr>
          <t xml:space="preserve">[User-Added Date]
</t>
        </r>
      </text>
    </comment>
    <comment ref="D62" authorId="0" shapeId="0" xr:uid="{03F9BC57-6F49-47E0-A601-6C6867E3718E}">
      <text>
        <r>
          <rPr>
            <b/>
            <sz val="9"/>
            <color indexed="81"/>
            <rFont val="Tahoma"/>
            <family val="2"/>
          </rPr>
          <t xml:space="preserve">This value is subtracted from Total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73050149-54C5-415A-8E9B-32FDE08DB3C6}">
      <text>
        <r>
          <rPr>
            <b/>
            <sz val="9"/>
            <color indexed="81"/>
            <rFont val="Tahoma"/>
            <family val="2"/>
          </rPr>
          <t xml:space="preserve">[Date Format: dd'/'MM'/'yyyy]
</t>
        </r>
      </text>
    </comment>
    <comment ref="F21" authorId="0" shapeId="0" xr:uid="{B6D488D1-79F1-44C6-9F08-E267E25D0FFC}">
      <text>
        <r>
          <rPr>
            <b/>
            <sz val="9"/>
            <color indexed="81"/>
            <rFont val="Tahoma"/>
            <family val="2"/>
          </rPr>
          <t xml:space="preserve">[User-Added Date]
</t>
        </r>
      </text>
    </comment>
    <comment ref="E22" authorId="0" shapeId="0" xr:uid="{2650FBFA-D4BA-4864-A8CA-43E8A40F0719}">
      <text>
        <r>
          <rPr>
            <b/>
            <sz val="9"/>
            <color indexed="81"/>
            <rFont val="Tahoma"/>
            <family val="2"/>
          </rPr>
          <t xml:space="preserve">[Date Format: dd'/'MM'/'yyyy]
</t>
        </r>
      </text>
    </comment>
    <comment ref="F22" authorId="0" shapeId="0" xr:uid="{1BDE403B-5ABB-45AE-89E3-ED8BEAFF53D1}">
      <text>
        <r>
          <rPr>
            <b/>
            <sz val="9"/>
            <color indexed="81"/>
            <rFont val="Tahoma"/>
            <family val="2"/>
          </rPr>
          <t xml:space="preserve">[User-Added Date]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3461D3EF-C6E9-4113-B4F2-8EDC936272CB}">
      <text>
        <r>
          <rPr>
            <b/>
            <sz val="9"/>
            <color indexed="81"/>
            <rFont val="Tahoma"/>
            <family val="2"/>
          </rPr>
          <t xml:space="preserve">[Date Format: dd'/'MM'/'yyyy]
</t>
        </r>
      </text>
    </comment>
    <comment ref="F21" authorId="0" shapeId="0" xr:uid="{23ABE731-2DE8-4822-A630-D14AEFF3AA39}">
      <text>
        <r>
          <rPr>
            <b/>
            <sz val="9"/>
            <color indexed="81"/>
            <rFont val="Tahoma"/>
            <family val="2"/>
          </rPr>
          <t xml:space="preserve">[User-Added Date]
</t>
        </r>
      </text>
    </comment>
    <comment ref="E22" authorId="0" shapeId="0" xr:uid="{40F07D42-60D7-4372-BA55-1437DC8507CA}">
      <text>
        <r>
          <rPr>
            <b/>
            <sz val="9"/>
            <color indexed="81"/>
            <rFont val="Tahoma"/>
            <family val="2"/>
          </rPr>
          <t xml:space="preserve">[Date Format: dd'/'MM'/'yyyy]
</t>
        </r>
      </text>
    </comment>
    <comment ref="F22" authorId="0" shapeId="0" xr:uid="{BB1C4132-C9DE-4B2E-8010-28DAC18629BD}">
      <text>
        <r>
          <rPr>
            <b/>
            <sz val="9"/>
            <color indexed="81"/>
            <rFont val="Tahoma"/>
            <family val="2"/>
          </rPr>
          <t xml:space="preserve">[User-Added Date]
</t>
        </r>
      </text>
    </comment>
    <comment ref="D28" authorId="0" shapeId="0" xr:uid="{8C77F25A-4272-4C39-ADB1-46220EDBBDE3}">
      <text>
        <r>
          <rPr>
            <b/>
            <sz val="9"/>
            <color indexed="81"/>
            <rFont val="Tahoma"/>
            <family val="2"/>
          </rPr>
          <t xml:space="preserve">This value is subtracted from Total
</t>
        </r>
      </text>
    </comment>
    <comment ref="D31" authorId="0" shapeId="0" xr:uid="{68EC22AD-8E9D-43E8-B034-BEC2E447DF8F}">
      <text>
        <r>
          <rPr>
            <b/>
            <sz val="9"/>
            <color indexed="81"/>
            <rFont val="Tahoma"/>
            <family val="2"/>
          </rPr>
          <t xml:space="preserve">This value is subtracted from Total
</t>
        </r>
      </text>
    </comment>
    <comment ref="D32" authorId="0" shapeId="0" xr:uid="{414DF2A2-3C7A-4C2B-8E47-90B9DB9475AA}">
      <text>
        <r>
          <rPr>
            <b/>
            <sz val="9"/>
            <color indexed="81"/>
            <rFont val="Tahoma"/>
            <family val="2"/>
          </rPr>
          <t xml:space="preserve">This value is subtracted from Total
</t>
        </r>
      </text>
    </comment>
    <comment ref="D33" authorId="0" shapeId="0" xr:uid="{27F1C594-F49B-46D0-BD81-C7D56BF5B060}">
      <text>
        <r>
          <rPr>
            <b/>
            <sz val="9"/>
            <color indexed="81"/>
            <rFont val="Tahoma"/>
            <family val="2"/>
          </rPr>
          <t xml:space="preserve">This value is subtracted from Total
</t>
        </r>
      </text>
    </comment>
    <comment ref="D34" authorId="0" shapeId="0" xr:uid="{01A74872-FCA5-4C8E-B320-EA92D73C809C}">
      <text>
        <r>
          <rPr>
            <b/>
            <sz val="9"/>
            <color indexed="81"/>
            <rFont val="Tahoma"/>
            <family val="2"/>
          </rPr>
          <t xml:space="preserve">This value is subtracted from Total
</t>
        </r>
      </text>
    </comment>
    <comment ref="D37" authorId="0" shapeId="0" xr:uid="{57327862-0308-49BB-A116-35A0C2FBFF7B}">
      <text>
        <r>
          <rPr>
            <b/>
            <sz val="9"/>
            <color indexed="81"/>
            <rFont val="Tahoma"/>
            <family val="2"/>
          </rPr>
          <t xml:space="preserve">This value is subtracted from Total
</t>
        </r>
      </text>
    </comment>
    <comment ref="D41" authorId="0" shapeId="0" xr:uid="{B81E00FB-5B4B-4CBB-A343-278E61045556}">
      <text>
        <r>
          <rPr>
            <b/>
            <sz val="9"/>
            <color indexed="81"/>
            <rFont val="Tahoma"/>
            <family val="2"/>
          </rPr>
          <t xml:space="preserve">This value is subtracted from Total
</t>
        </r>
      </text>
    </comment>
    <comment ref="D42" authorId="0" shapeId="0" xr:uid="{86879CEA-8D8C-4740-9E90-B4BC8FB0E304}">
      <text>
        <r>
          <rPr>
            <b/>
            <sz val="9"/>
            <color indexed="81"/>
            <rFont val="Tahoma"/>
            <family val="2"/>
          </rPr>
          <t xml:space="preserve">This value is subtracted from Total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B4404095-420F-4D85-A08C-CC1CAD5CC70A}">
      <text>
        <r>
          <rPr>
            <b/>
            <sz val="9"/>
            <color indexed="81"/>
            <rFont val="Tahoma"/>
            <family val="2"/>
          </rPr>
          <t xml:space="preserve">[Date Format: dd'/'MM'/'yyyy]
</t>
        </r>
      </text>
    </comment>
    <comment ref="F21" authorId="0" shapeId="0" xr:uid="{6BCBE316-9AF8-41E6-9883-CA9E1CFE7102}">
      <text>
        <r>
          <rPr>
            <b/>
            <sz val="9"/>
            <color indexed="81"/>
            <rFont val="Tahoma"/>
            <family val="2"/>
          </rPr>
          <t xml:space="preserve">[User-Added Date]
</t>
        </r>
      </text>
    </comment>
    <comment ref="E22" authorId="0" shapeId="0" xr:uid="{57D84A14-1A32-4BB7-990B-65AC5493CA20}">
      <text>
        <r>
          <rPr>
            <b/>
            <sz val="9"/>
            <color indexed="81"/>
            <rFont val="Tahoma"/>
            <family val="2"/>
          </rPr>
          <t xml:space="preserve">[Date Format: dd'/'MM'/'yyyy]
</t>
        </r>
      </text>
    </comment>
    <comment ref="F22" authorId="0" shapeId="0" xr:uid="{6001CA05-76B9-49A7-9F23-0BB2DAC1DA4D}">
      <text>
        <r>
          <rPr>
            <b/>
            <sz val="9"/>
            <color indexed="81"/>
            <rFont val="Tahoma"/>
            <family val="2"/>
          </rPr>
          <t xml:space="preserve">[User-Added Date]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7E6C2940-7334-446B-8DD7-06DD4C402511}">
      <text>
        <r>
          <rPr>
            <b/>
            <sz val="9"/>
            <color indexed="81"/>
            <rFont val="Tahoma"/>
            <family val="2"/>
          </rPr>
          <t xml:space="preserve">[Date Format: dd'/'MM'/'yyyy]
</t>
        </r>
      </text>
    </comment>
    <comment ref="F21" authorId="0" shapeId="0" xr:uid="{053950B0-8813-43AF-A92B-DFBB9CCBA5F7}">
      <text>
        <r>
          <rPr>
            <b/>
            <sz val="9"/>
            <color indexed="81"/>
            <rFont val="Tahoma"/>
            <family val="2"/>
          </rPr>
          <t xml:space="preserve">[User-Added Date]
</t>
        </r>
      </text>
    </comment>
    <comment ref="E22" authorId="0" shapeId="0" xr:uid="{4F29A4E4-B497-4168-91A1-1C866590D726}">
      <text>
        <r>
          <rPr>
            <b/>
            <sz val="9"/>
            <color indexed="81"/>
            <rFont val="Tahoma"/>
            <family val="2"/>
          </rPr>
          <t xml:space="preserve">[Date Format: dd'/'MM'/'yyyy]
</t>
        </r>
      </text>
    </comment>
    <comment ref="F22" authorId="0" shapeId="0" xr:uid="{FC6E15E2-8676-430F-B4B9-FDE107671D23}">
      <text>
        <r>
          <rPr>
            <b/>
            <sz val="9"/>
            <color indexed="81"/>
            <rFont val="Tahoma"/>
            <family val="2"/>
          </rPr>
          <t xml:space="preserve">[User-Added Date]
</t>
        </r>
      </text>
    </comment>
    <comment ref="D38" authorId="0" shapeId="0" xr:uid="{1315D7D1-A292-4212-860A-ADF973CD1E08}">
      <text>
        <r>
          <rPr>
            <b/>
            <sz val="9"/>
            <color indexed="81"/>
            <rFont val="Tahoma"/>
            <family val="2"/>
          </rPr>
          <t xml:space="preserve">This value is subtracted from Total
</t>
        </r>
      </text>
    </comment>
    <comment ref="D42" authorId="0" shapeId="0" xr:uid="{FDE200FB-4940-4514-9D73-1EAD909A8928}">
      <text>
        <r>
          <rPr>
            <b/>
            <sz val="9"/>
            <color indexed="81"/>
            <rFont val="Tahoma"/>
            <family val="2"/>
          </rPr>
          <t xml:space="preserve">This value is subtracted from Total
</t>
        </r>
      </text>
    </comment>
    <comment ref="D46" authorId="0" shapeId="0" xr:uid="{55FAF659-3221-4B75-AC9E-BED5414AC1C3}">
      <text>
        <r>
          <rPr>
            <b/>
            <sz val="9"/>
            <color indexed="81"/>
            <rFont val="Tahoma"/>
            <family val="2"/>
          </rPr>
          <t xml:space="preserve">This value is subtracted from Total
</t>
        </r>
      </text>
    </comment>
    <comment ref="D50" authorId="0" shapeId="0" xr:uid="{B2EFC53E-4397-445D-B177-EFF44400C8A6}">
      <text>
        <r>
          <rPr>
            <b/>
            <sz val="9"/>
            <color indexed="81"/>
            <rFont val="Tahoma"/>
            <family val="2"/>
          </rPr>
          <t xml:space="preserve">This value is subtracted from Total
</t>
        </r>
      </text>
    </comment>
    <comment ref="D51" authorId="0" shapeId="0" xr:uid="{9134C64B-D554-4D5A-8EEE-9023E5C6DBF5}">
      <text>
        <r>
          <rPr>
            <b/>
            <sz val="9"/>
            <color indexed="81"/>
            <rFont val="Tahoma"/>
            <family val="2"/>
          </rPr>
          <t xml:space="preserve">This value is subtracted from Total
</t>
        </r>
      </text>
    </comment>
    <comment ref="D59" authorId="0" shapeId="0" xr:uid="{09E68E0E-CE9A-4401-8B17-3D13A1DCAB9B}">
      <text>
        <r>
          <rPr>
            <b/>
            <sz val="9"/>
            <color indexed="81"/>
            <rFont val="Tahoma"/>
            <family val="2"/>
          </rPr>
          <t xml:space="preserve">This value is subtracted from Total
</t>
        </r>
      </text>
    </comment>
    <comment ref="D61" authorId="0" shapeId="0" xr:uid="{B6678485-6214-4B38-BBD0-817EC77C70B1}">
      <text>
        <r>
          <rPr>
            <b/>
            <sz val="9"/>
            <color indexed="81"/>
            <rFont val="Tahoma"/>
            <family val="2"/>
          </rPr>
          <t xml:space="preserve">This value is subtracted from Total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1" authorId="0" shapeId="0" xr:uid="{E3E16321-7F44-47E1-842B-1A440AD42E60}">
      <text>
        <r>
          <rPr>
            <b/>
            <sz val="9"/>
            <color indexed="81"/>
            <rFont val="Tahoma"/>
            <family val="2"/>
          </rPr>
          <t xml:space="preserve">[Date Format: dd'/'MM'/'yyyy]
</t>
        </r>
      </text>
    </comment>
    <comment ref="F21" authorId="0" shapeId="0" xr:uid="{395183B8-C091-420A-82CB-63F811ADCC9A}">
      <text>
        <r>
          <rPr>
            <b/>
            <sz val="9"/>
            <color indexed="81"/>
            <rFont val="Tahoma"/>
            <family val="2"/>
          </rPr>
          <t xml:space="preserve">[User-Added Date]
</t>
        </r>
      </text>
    </comment>
    <comment ref="E22" authorId="0" shapeId="0" xr:uid="{54C4740A-4A6A-4B14-A118-8A6219B7B90B}">
      <text>
        <r>
          <rPr>
            <b/>
            <sz val="9"/>
            <color indexed="81"/>
            <rFont val="Tahoma"/>
            <family val="2"/>
          </rPr>
          <t xml:space="preserve">[Date Format: dd'/'MM'/'yyyy]
</t>
        </r>
      </text>
    </comment>
    <comment ref="F22" authorId="0" shapeId="0" xr:uid="{2E16206B-B778-41F4-8813-121456EBF3B6}">
      <text>
        <r>
          <rPr>
            <b/>
            <sz val="9"/>
            <color indexed="81"/>
            <rFont val="Tahoma"/>
            <family val="2"/>
          </rPr>
          <t xml:space="preserve">[User-Added Date]
</t>
        </r>
      </text>
    </comment>
    <comment ref="D33" authorId="0" shapeId="0" xr:uid="{4DA89F70-7EB5-4D14-8019-F3D06321CB3E}">
      <text>
        <r>
          <rPr>
            <b/>
            <sz val="9"/>
            <color indexed="81"/>
            <rFont val="Tahoma"/>
            <family val="2"/>
          </rPr>
          <t xml:space="preserve">This value is subtracted from Total
</t>
        </r>
      </text>
    </comment>
    <comment ref="D35" authorId="0" shapeId="0" xr:uid="{6D042171-FA78-49D8-9140-650113188715}">
      <text>
        <r>
          <rPr>
            <b/>
            <sz val="9"/>
            <color indexed="81"/>
            <rFont val="Tahoma"/>
            <family val="2"/>
          </rPr>
          <t xml:space="preserve">This value is subtracted from Total
</t>
        </r>
      </text>
    </comment>
    <comment ref="D37" authorId="0" shapeId="0" xr:uid="{69D273B3-6A10-4AF9-9516-B6EB80738F93}">
      <text>
        <r>
          <rPr>
            <b/>
            <sz val="9"/>
            <color indexed="81"/>
            <rFont val="Tahoma"/>
            <family val="2"/>
          </rPr>
          <t xml:space="preserve">This value is subtracted from Total
</t>
        </r>
      </text>
    </comment>
    <comment ref="D41" authorId="0" shapeId="0" xr:uid="{9BDB51B0-4A43-491E-8127-D67C61D798FC}">
      <text>
        <r>
          <rPr>
            <b/>
            <sz val="9"/>
            <color indexed="81"/>
            <rFont val="Tahoma"/>
            <family val="2"/>
          </rPr>
          <t xml:space="preserve">This value is subtracted from Total
</t>
        </r>
      </text>
    </comment>
    <comment ref="D43" authorId="0" shapeId="0" xr:uid="{FE01BD95-9D09-4610-821D-2C169FF5418F}">
      <text>
        <r>
          <rPr>
            <b/>
            <sz val="9"/>
            <color indexed="81"/>
            <rFont val="Tahoma"/>
            <family val="2"/>
          </rPr>
          <t xml:space="preserve">This value is subtracted from Total
</t>
        </r>
      </text>
    </comment>
    <comment ref="D44" authorId="0" shapeId="0" xr:uid="{2CF0CFBF-47EA-41C0-BBAA-B72B0B12C0FE}">
      <text>
        <r>
          <rPr>
            <b/>
            <sz val="9"/>
            <color indexed="81"/>
            <rFont val="Tahoma"/>
            <family val="2"/>
          </rPr>
          <t xml:space="preserve">This value is subtracted from Total
</t>
        </r>
      </text>
    </comment>
    <comment ref="D60" authorId="0" shapeId="0" xr:uid="{126E1B5C-096C-494F-85A7-3C7F071304B9}">
      <text>
        <r>
          <rPr>
            <b/>
            <sz val="9"/>
            <color indexed="81"/>
            <rFont val="Tahoma"/>
            <family val="2"/>
          </rPr>
          <t xml:space="preserve">This value is subtracted from Total
</t>
        </r>
      </text>
    </comment>
    <comment ref="D61" authorId="0" shapeId="0" xr:uid="{3B2C68C9-AF4D-4132-87FA-24159781FEC1}">
      <text>
        <r>
          <rPr>
            <b/>
            <sz val="9"/>
            <color indexed="81"/>
            <rFont val="Tahoma"/>
            <family val="2"/>
          </rPr>
          <t xml:space="preserve">This value is subtracted from Total
</t>
        </r>
      </text>
    </comment>
    <comment ref="D62" authorId="0" shapeId="0" xr:uid="{92DE35B7-9EC5-4D6D-94CF-4CCF654FA8BE}">
      <text>
        <r>
          <rPr>
            <b/>
            <sz val="9"/>
            <color indexed="81"/>
            <rFont val="Tahoma"/>
            <family val="2"/>
          </rPr>
          <t xml:space="preserve">This value is subtracted from Total
</t>
        </r>
      </text>
    </comment>
    <comment ref="D63" authorId="0" shapeId="0" xr:uid="{3171C168-A8A9-482C-B769-0F7BB72263A1}">
      <text>
        <r>
          <rPr>
            <b/>
            <sz val="9"/>
            <color indexed="81"/>
            <rFont val="Tahoma"/>
            <family val="2"/>
          </rPr>
          <t xml:space="preserve">This value is subtracted from Total
</t>
        </r>
      </text>
    </comment>
    <comment ref="D64" authorId="0" shapeId="0" xr:uid="{F12245F7-C148-4EA0-B0FB-FD3051A1E367}">
      <text>
        <r>
          <rPr>
            <b/>
            <sz val="9"/>
            <color indexed="81"/>
            <rFont val="Tahoma"/>
            <family val="2"/>
          </rPr>
          <t xml:space="preserve">This value is subtracted from Total
</t>
        </r>
      </text>
    </comment>
    <comment ref="D65" authorId="0" shapeId="0" xr:uid="{74380A60-C0C0-40C9-A6D6-A85AE0DC4F30}">
      <text>
        <r>
          <rPr>
            <b/>
            <sz val="9"/>
            <color indexed="81"/>
            <rFont val="Tahoma"/>
            <family val="2"/>
          </rPr>
          <t xml:space="preserve">This value is subtracted from Total
</t>
        </r>
      </text>
    </comment>
    <comment ref="D80" authorId="0" shapeId="0" xr:uid="{AAEEA8E3-A6BF-4013-A114-E9430D289D5C}">
      <text>
        <r>
          <rPr>
            <b/>
            <sz val="9"/>
            <color indexed="81"/>
            <rFont val="Tahoma"/>
            <family val="2"/>
          </rPr>
          <t xml:space="preserve">This value is subtracted from Total
</t>
        </r>
      </text>
    </comment>
    <comment ref="D81" authorId="0" shapeId="0" xr:uid="{1A5D698E-0701-412B-B103-EED62076E523}">
      <text>
        <r>
          <rPr>
            <b/>
            <sz val="9"/>
            <color indexed="81"/>
            <rFont val="Tahoma"/>
            <family val="2"/>
          </rPr>
          <t xml:space="preserve">This value is subtracted from Total
</t>
        </r>
      </text>
    </comment>
    <comment ref="D82" authorId="0" shapeId="0" xr:uid="{67804B1D-AD4E-4FB4-B456-2BEAAAF01E9D}">
      <text>
        <r>
          <rPr>
            <b/>
            <sz val="9"/>
            <color indexed="81"/>
            <rFont val="Tahoma"/>
            <family val="2"/>
          </rPr>
          <t xml:space="preserve">This value is subtracted from Total
</t>
        </r>
      </text>
    </comment>
    <comment ref="D83" authorId="0" shapeId="0" xr:uid="{8461D15F-847E-4DDB-A976-973C1A2DE3CC}">
      <text>
        <r>
          <rPr>
            <b/>
            <sz val="9"/>
            <color indexed="81"/>
            <rFont val="Tahoma"/>
            <family val="2"/>
          </rPr>
          <t xml:space="preserve">This value is subtracted from Total
</t>
        </r>
      </text>
    </comment>
    <comment ref="D84" authorId="0" shapeId="0" xr:uid="{926FFE3B-8A25-49E7-8E00-0C7497EC1A2E}">
      <text>
        <r>
          <rPr>
            <b/>
            <sz val="9"/>
            <color indexed="81"/>
            <rFont val="Tahoma"/>
            <family val="2"/>
          </rPr>
          <t xml:space="preserve">This value is subtracted from Total
</t>
        </r>
      </text>
    </comment>
    <comment ref="D85" authorId="0" shapeId="0" xr:uid="{010B601B-FB2D-430C-AA86-72940D402ED2}">
      <text>
        <r>
          <rPr>
            <b/>
            <sz val="9"/>
            <color indexed="81"/>
            <rFont val="Tahoma"/>
            <family val="2"/>
          </rPr>
          <t xml:space="preserve">This value is subtracted from Total
</t>
        </r>
      </text>
    </comment>
    <comment ref="D98" authorId="0" shapeId="0" xr:uid="{2C4E5783-769E-4FF5-AFA2-6F881220ECE7}">
      <text>
        <r>
          <rPr>
            <b/>
            <sz val="9"/>
            <color indexed="81"/>
            <rFont val="Tahoma"/>
            <family val="2"/>
          </rPr>
          <t xml:space="preserve">This value is subtracted from Total
</t>
        </r>
      </text>
    </comment>
    <comment ref="D102" authorId="0" shapeId="0" xr:uid="{228CE8EE-87FA-4936-BFCA-0AFD843ACEFF}">
      <text>
        <r>
          <rPr>
            <b/>
            <sz val="9"/>
            <color indexed="81"/>
            <rFont val="Tahoma"/>
            <family val="2"/>
          </rPr>
          <t xml:space="preserve">This value is subtracted from Total
</t>
        </r>
      </text>
    </comment>
    <comment ref="D104" authorId="0" shapeId="0" xr:uid="{3C6D635A-9A7F-43DB-AE36-C1B1CAD44992}">
      <text>
        <r>
          <rPr>
            <b/>
            <sz val="9"/>
            <color indexed="81"/>
            <rFont val="Tahoma"/>
            <family val="2"/>
          </rPr>
          <t xml:space="preserve">This value is subtracted from Total
</t>
        </r>
      </text>
    </comment>
    <comment ref="D106" authorId="0" shapeId="0" xr:uid="{F62D60DE-2DEC-4052-91C7-68179711F142}">
      <text>
        <r>
          <rPr>
            <b/>
            <sz val="9"/>
            <color indexed="81"/>
            <rFont val="Tahoma"/>
            <family val="2"/>
          </rPr>
          <t xml:space="preserve">This value is subtracted from Total
</t>
        </r>
      </text>
    </comment>
    <comment ref="D108" authorId="0" shapeId="0" xr:uid="{E79E938C-244B-41E9-8301-9C905E297C6E}">
      <text>
        <r>
          <rPr>
            <b/>
            <sz val="9"/>
            <color indexed="81"/>
            <rFont val="Tahoma"/>
            <family val="2"/>
          </rPr>
          <t xml:space="preserve">This value is subtracted from Total
</t>
        </r>
      </text>
    </comment>
    <comment ref="D115" authorId="0" shapeId="0" xr:uid="{3C667F26-B2BC-4654-ABD9-CB10D9516151}">
      <text>
        <r>
          <rPr>
            <b/>
            <sz val="9"/>
            <color indexed="81"/>
            <rFont val="Tahoma"/>
            <family val="2"/>
          </rPr>
          <t xml:space="preserve">This value is subtracted from Total
</t>
        </r>
      </text>
    </comment>
    <comment ref="D116" authorId="0" shapeId="0" xr:uid="{5FEF8F12-6FD1-481A-BF3E-00D71E272B22}">
      <text>
        <r>
          <rPr>
            <b/>
            <sz val="9"/>
            <color indexed="81"/>
            <rFont val="Tahoma"/>
            <family val="2"/>
          </rPr>
          <t xml:space="preserve">This value is subtracted from Total
</t>
        </r>
      </text>
    </comment>
    <comment ref="D117" authorId="0" shapeId="0" xr:uid="{B69C26C6-C5C6-47C2-91EC-06380F15182C}">
      <text>
        <r>
          <rPr>
            <b/>
            <sz val="9"/>
            <color indexed="81"/>
            <rFont val="Tahoma"/>
            <family val="2"/>
          </rPr>
          <t xml:space="preserve">This value is subtracted from Total
</t>
        </r>
      </text>
    </comment>
    <comment ref="D121" authorId="0" shapeId="0" xr:uid="{FBA00011-FD13-43A8-969D-4F1F07CD9611}">
      <text>
        <r>
          <rPr>
            <b/>
            <sz val="9"/>
            <color indexed="81"/>
            <rFont val="Tahoma"/>
            <family val="2"/>
          </rPr>
          <t xml:space="preserve">This value is subtracted from Total
</t>
        </r>
      </text>
    </comment>
    <comment ref="D122" authorId="0" shapeId="0" xr:uid="{DD43D070-02B1-419F-9D39-85B884B40288}">
      <text>
        <r>
          <rPr>
            <b/>
            <sz val="9"/>
            <color indexed="81"/>
            <rFont val="Tahoma"/>
            <family val="2"/>
          </rPr>
          <t xml:space="preserve">This value is subtracted from Total
</t>
        </r>
      </text>
    </comment>
    <comment ref="D123" authorId="0" shapeId="0" xr:uid="{51E14C21-C286-4672-B66B-ECBA7F08A4D7}">
      <text>
        <r>
          <rPr>
            <b/>
            <sz val="9"/>
            <color indexed="81"/>
            <rFont val="Tahoma"/>
            <family val="2"/>
          </rPr>
          <t xml:space="preserve">This value is subtracted from Total
</t>
        </r>
      </text>
    </comment>
    <comment ref="D124" authorId="0" shapeId="0" xr:uid="{C84143EF-CB41-4C56-90F2-054057BBC0C5}">
      <text>
        <r>
          <rPr>
            <b/>
            <sz val="9"/>
            <color indexed="81"/>
            <rFont val="Tahoma"/>
            <family val="2"/>
          </rPr>
          <t xml:space="preserve">This value is subtracted from Total
</t>
        </r>
      </text>
    </comment>
    <comment ref="D135" authorId="0" shapeId="0" xr:uid="{6EFAD173-EA56-41C8-AF32-8016C38EB591}">
      <text>
        <r>
          <rPr>
            <b/>
            <sz val="9"/>
            <color indexed="81"/>
            <rFont val="Tahoma"/>
            <family val="2"/>
          </rPr>
          <t xml:space="preserve">This value is subtracted from Total
</t>
        </r>
      </text>
    </comment>
    <comment ref="D136" authorId="0" shapeId="0" xr:uid="{1BF6C5F7-110A-45E6-92E4-30F46F377705}">
      <text>
        <r>
          <rPr>
            <b/>
            <sz val="9"/>
            <color indexed="81"/>
            <rFont val="Tahoma"/>
            <family val="2"/>
          </rPr>
          <t xml:space="preserve">This value is subtracted from Total
</t>
        </r>
      </text>
    </comment>
    <comment ref="D137" authorId="0" shapeId="0" xr:uid="{C88455ED-4016-488C-A348-0BBA628A2D60}">
      <text>
        <r>
          <rPr>
            <b/>
            <sz val="9"/>
            <color indexed="81"/>
            <rFont val="Tahoma"/>
            <family val="2"/>
          </rPr>
          <t xml:space="preserve">This value is subtracted from Total
</t>
        </r>
      </text>
    </comment>
    <comment ref="D140" authorId="0" shapeId="0" xr:uid="{8E9F62A2-D962-4F21-93B5-BE0F098AC0CE}">
      <text>
        <r>
          <rPr>
            <b/>
            <sz val="9"/>
            <color indexed="81"/>
            <rFont val="Tahoma"/>
            <family val="2"/>
          </rPr>
          <t xml:space="preserve">This value is subtracted from Total
</t>
        </r>
      </text>
    </comment>
    <comment ref="D144" authorId="0" shapeId="0" xr:uid="{F1352C17-AA13-4321-AEA3-2EEA36C8A855}">
      <text>
        <r>
          <rPr>
            <b/>
            <sz val="9"/>
            <color indexed="81"/>
            <rFont val="Tahoma"/>
            <family val="2"/>
          </rPr>
          <t xml:space="preserve">This value is subtracted from Total
</t>
        </r>
      </text>
    </comment>
    <comment ref="D145" authorId="0" shapeId="0" xr:uid="{CC47D8E4-54DC-47FF-BFFD-AA219A5C263B}">
      <text>
        <r>
          <rPr>
            <b/>
            <sz val="9"/>
            <color indexed="81"/>
            <rFont val="Tahoma"/>
            <family val="2"/>
          </rPr>
          <t xml:space="preserve">This value is subtracted from Total
</t>
        </r>
      </text>
    </comment>
    <comment ref="D155" authorId="0" shapeId="0" xr:uid="{A679E102-5166-4DD1-855A-4876F7C2BF42}">
      <text>
        <r>
          <rPr>
            <b/>
            <sz val="9"/>
            <color indexed="81"/>
            <rFont val="Tahoma"/>
            <family val="2"/>
          </rPr>
          <t xml:space="preserve">This value is subtracted from Total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2" authorId="0" shapeId="0" xr:uid="{9A029350-3909-424A-A5DA-BBF712336814}">
      <text>
        <r>
          <rPr>
            <b/>
            <sz val="9"/>
            <color indexed="81"/>
            <rFont val="Tahoma"/>
            <family val="2"/>
          </rPr>
          <t xml:space="preserve">[Date Format: dd'/'MM'/'yyyy]
</t>
        </r>
      </text>
    </comment>
    <comment ref="F22" authorId="0" shapeId="0" xr:uid="{C7C81B19-71B3-4CB5-A506-A1CAA0D10016}">
      <text>
        <r>
          <rPr>
            <b/>
            <sz val="9"/>
            <color indexed="81"/>
            <rFont val="Tahoma"/>
            <family val="2"/>
          </rPr>
          <t xml:space="preserve">[Date Format: dd'/'MM'/'yyyy]
</t>
        </r>
      </text>
    </comment>
    <comment ref="G22" authorId="0" shapeId="0" xr:uid="{BB970DBB-6600-4033-BA11-2F9605D7F79E}">
      <text>
        <r>
          <rPr>
            <b/>
            <sz val="9"/>
            <color indexed="81"/>
            <rFont val="Tahoma"/>
            <family val="2"/>
          </rPr>
          <t xml:space="preserve">[Date Format: dd'/'MM'/'yyyy]
</t>
        </r>
      </text>
    </comment>
    <comment ref="H22" authorId="0" shapeId="0" xr:uid="{B94A7C49-A171-45B9-BB9E-8E2C03EB63A8}">
      <text>
        <r>
          <rPr>
            <b/>
            <sz val="9"/>
            <color indexed="81"/>
            <rFont val="Tahoma"/>
            <family val="2"/>
          </rPr>
          <t xml:space="preserve">[Date Format: dd'/'MM'/'yyyy]
</t>
        </r>
      </text>
    </comment>
    <comment ref="I22" authorId="0" shapeId="0" xr:uid="{08BA26BA-5D0F-4542-88C9-A6DBD55EBD94}">
      <text>
        <r>
          <rPr>
            <b/>
            <sz val="9"/>
            <color indexed="81"/>
            <rFont val="Tahoma"/>
            <family val="2"/>
          </rPr>
          <t xml:space="preserve">[Date Format: dd'/'MM'/'yyyy]
</t>
        </r>
      </text>
    </comment>
    <comment ref="J22" authorId="0" shapeId="0" xr:uid="{E4FA43FA-C115-438F-9D2E-CAAE60BAD558}">
      <text>
        <r>
          <rPr>
            <b/>
            <sz val="9"/>
            <color indexed="81"/>
            <rFont val="Tahoma"/>
            <family val="2"/>
          </rPr>
          <t xml:space="preserve">[Date Format: dd'/'MM'/'yyyy]
</t>
        </r>
      </text>
    </comment>
    <comment ref="K22" authorId="0" shapeId="0" xr:uid="{AA8F98C9-F6B3-497B-B608-1C352D0BD406}">
      <text>
        <r>
          <rPr>
            <b/>
            <sz val="9"/>
            <color indexed="81"/>
            <rFont val="Tahoma"/>
            <family val="2"/>
          </rPr>
          <t xml:space="preserve">[Date Format: dd'/'MM'/'yyyy]
</t>
        </r>
      </text>
    </comment>
    <comment ref="L22" authorId="0" shapeId="0" xr:uid="{BAA86216-61E1-4425-B4CA-2FFCF1070F80}">
      <text>
        <r>
          <rPr>
            <b/>
            <sz val="9"/>
            <color indexed="81"/>
            <rFont val="Tahoma"/>
            <family val="2"/>
          </rPr>
          <t xml:space="preserve">[Date Format: dd'/'MM'/'yyyy]
</t>
        </r>
      </text>
    </comment>
    <comment ref="M22" authorId="0" shapeId="0" xr:uid="{033B3AB0-E207-453C-BFC3-4571ADBB3076}">
      <text>
        <r>
          <rPr>
            <b/>
            <sz val="9"/>
            <color indexed="81"/>
            <rFont val="Tahoma"/>
            <family val="2"/>
          </rPr>
          <t xml:space="preserve">[Date Format: dd'/'MM'/'yyyy]
</t>
        </r>
      </text>
    </comment>
    <comment ref="N22" authorId="0" shapeId="0" xr:uid="{3DD35B18-4EC8-42D6-B505-A101B196EA81}">
      <text>
        <r>
          <rPr>
            <b/>
            <sz val="9"/>
            <color indexed="81"/>
            <rFont val="Tahoma"/>
            <family val="2"/>
          </rPr>
          <t xml:space="preserve">[Date Format: dd'/'MM'/'yyyy]
</t>
        </r>
      </text>
    </comment>
    <comment ref="O22" authorId="0" shapeId="0" xr:uid="{036E4F5C-8F1A-4859-93D3-3E5CFDBC570C}">
      <text>
        <r>
          <rPr>
            <b/>
            <sz val="9"/>
            <color indexed="81"/>
            <rFont val="Tahoma"/>
            <family val="2"/>
          </rPr>
          <t xml:space="preserve">[Date Format: dd'/'MM'/'yyyy]
</t>
        </r>
      </text>
    </comment>
    <comment ref="P22" authorId="0" shapeId="0" xr:uid="{42B0ED5B-6C38-4934-B340-9628B51DB094}">
      <text>
        <r>
          <rPr>
            <b/>
            <sz val="9"/>
            <color indexed="81"/>
            <rFont val="Tahoma"/>
            <family val="2"/>
          </rPr>
          <t xml:space="preserve">[Date Format: dd'/'MM'/'yyyy]
</t>
        </r>
      </text>
    </comment>
    <comment ref="Q22" authorId="0" shapeId="0" xr:uid="{09450A5A-3F80-4C62-82CE-950F274D7FF6}">
      <text>
        <r>
          <rPr>
            <b/>
            <sz val="9"/>
            <color indexed="81"/>
            <rFont val="Tahoma"/>
            <family val="2"/>
          </rPr>
          <t xml:space="preserve">[Date Format: dd'/'MM'/'yyyy]
</t>
        </r>
      </text>
    </comment>
    <comment ref="R22" authorId="0" shapeId="0" xr:uid="{005001BD-C3CB-436A-8228-FAF68278224C}">
      <text>
        <r>
          <rPr>
            <b/>
            <sz val="9"/>
            <color indexed="81"/>
            <rFont val="Tahoma"/>
            <family val="2"/>
          </rPr>
          <t xml:space="preserve">[Date Format: dd'/'MM'/'yyyy]
</t>
        </r>
      </text>
    </comment>
    <comment ref="S22" authorId="0" shapeId="0" xr:uid="{2634D193-03FB-45D0-BF9F-57437B529385}">
      <text>
        <r>
          <rPr>
            <b/>
            <sz val="9"/>
            <color indexed="81"/>
            <rFont val="Tahoma"/>
            <family val="2"/>
          </rPr>
          <t xml:space="preserve">[Date Format: dd'/'MM'/'yyyy]
</t>
        </r>
      </text>
    </comment>
    <comment ref="T22" authorId="0" shapeId="0" xr:uid="{898E67C2-7C91-428C-B9FD-A95F149FA9A7}">
      <text>
        <r>
          <rPr>
            <b/>
            <sz val="9"/>
            <color indexed="81"/>
            <rFont val="Tahoma"/>
            <family val="2"/>
          </rPr>
          <t xml:space="preserve">[Date Format: dd'/'MM'/'yyyy]
</t>
        </r>
      </text>
    </comment>
    <comment ref="U22" authorId="0" shapeId="0" xr:uid="{CDDAF20D-E449-4542-91EF-A2D95B883FCA}">
      <text>
        <r>
          <rPr>
            <b/>
            <sz val="9"/>
            <color indexed="81"/>
            <rFont val="Tahoma"/>
            <family val="2"/>
          </rPr>
          <t xml:space="preserve">[Date Format: dd'/'MM'/'yyyy]
</t>
        </r>
      </text>
    </comment>
    <comment ref="V22" authorId="0" shapeId="0" xr:uid="{50C1D2A8-B473-4597-851E-B2B7B389BF99}">
      <text>
        <r>
          <rPr>
            <b/>
            <sz val="9"/>
            <color indexed="81"/>
            <rFont val="Tahoma"/>
            <family val="2"/>
          </rPr>
          <t xml:space="preserve">[Date Format: dd'/'MM'/'yyyy]
</t>
        </r>
      </text>
    </comment>
    <comment ref="W22" authorId="0" shapeId="0" xr:uid="{A4E686E7-05EA-46BD-8307-627FCAFCD7ED}">
      <text>
        <r>
          <rPr>
            <b/>
            <sz val="9"/>
            <color indexed="81"/>
            <rFont val="Tahoma"/>
            <family val="2"/>
          </rPr>
          <t xml:space="preserve">[Date Format: dd'/'MM'/'yyyy]
</t>
        </r>
      </text>
    </comment>
    <comment ref="X22" authorId="0" shapeId="0" xr:uid="{2941B0BE-FAB6-4EB6-B741-8CA6127C954D}">
      <text>
        <r>
          <rPr>
            <b/>
            <sz val="9"/>
            <color indexed="81"/>
            <rFont val="Tahoma"/>
            <family val="2"/>
          </rPr>
          <t xml:space="preserve">[Date Format: dd'/'MM'/'yyyy]
</t>
        </r>
      </text>
    </comment>
    <comment ref="Y22" authorId="0" shapeId="0" xr:uid="{4B6E1B69-3E5F-45FA-AC31-76BFDB28D99C}">
      <text>
        <r>
          <rPr>
            <b/>
            <sz val="9"/>
            <color indexed="81"/>
            <rFont val="Tahoma"/>
            <family val="2"/>
          </rPr>
          <t xml:space="preserve">[Date Format: dd'/'MM'/'yyyy]
</t>
        </r>
      </text>
    </comment>
    <comment ref="Z22" authorId="0" shapeId="0" xr:uid="{39F63A74-8B33-4AF4-92B1-7020EC3D7A98}">
      <text>
        <r>
          <rPr>
            <b/>
            <sz val="9"/>
            <color indexed="81"/>
            <rFont val="Tahoma"/>
            <family val="2"/>
          </rPr>
          <t xml:space="preserve">[Date Format: dd'/'MM'/'yyyy]
</t>
        </r>
      </text>
    </comment>
    <comment ref="AA22" authorId="0" shapeId="0" xr:uid="{C6E20704-07EF-45CD-AF73-00723B455896}">
      <text>
        <r>
          <rPr>
            <b/>
            <sz val="9"/>
            <color indexed="81"/>
            <rFont val="Tahoma"/>
            <family val="2"/>
          </rPr>
          <t xml:space="preserve">[Date Format: dd'/'MM'/'yyyy]
</t>
        </r>
      </text>
    </comment>
    <comment ref="E23" authorId="0" shapeId="0" xr:uid="{B4403819-0B0F-4188-8967-835F0610D7F1}">
      <text>
        <r>
          <rPr>
            <b/>
            <sz val="9"/>
            <color indexed="81"/>
            <rFont val="Tahoma"/>
            <family val="2"/>
          </rPr>
          <t xml:space="preserve">[Date Format: dd'/'MM'/'yyyy]
</t>
        </r>
      </text>
    </comment>
    <comment ref="F23" authorId="0" shapeId="0" xr:uid="{BDDC3729-ABF6-45C8-9501-339705E4E2AB}">
      <text>
        <r>
          <rPr>
            <b/>
            <sz val="9"/>
            <color indexed="81"/>
            <rFont val="Tahoma"/>
            <family val="2"/>
          </rPr>
          <t xml:space="preserve">[Date Format: dd'/'MM'/'yyyy]
</t>
        </r>
      </text>
    </comment>
    <comment ref="G23" authorId="0" shapeId="0" xr:uid="{F55D50BB-0484-439B-B0DF-DF796497660D}">
      <text>
        <r>
          <rPr>
            <b/>
            <sz val="9"/>
            <color indexed="81"/>
            <rFont val="Tahoma"/>
            <family val="2"/>
          </rPr>
          <t xml:space="preserve">[Date Format: dd'/'MM'/'yyyy]
</t>
        </r>
      </text>
    </comment>
    <comment ref="H23" authorId="0" shapeId="0" xr:uid="{3EB7F253-42CE-47B4-9462-1C66474AAFFB}">
      <text>
        <r>
          <rPr>
            <b/>
            <sz val="9"/>
            <color indexed="81"/>
            <rFont val="Tahoma"/>
            <family val="2"/>
          </rPr>
          <t xml:space="preserve">[Date Format: dd'/'MM'/'yyyy]
</t>
        </r>
      </text>
    </comment>
    <comment ref="I23" authorId="0" shapeId="0" xr:uid="{FB4E3614-6F00-46FF-B126-2540593B2F3A}">
      <text>
        <r>
          <rPr>
            <b/>
            <sz val="9"/>
            <color indexed="81"/>
            <rFont val="Tahoma"/>
            <family val="2"/>
          </rPr>
          <t xml:space="preserve">[Date Format: dd'/'MM'/'yyyy]
</t>
        </r>
      </text>
    </comment>
    <comment ref="J23" authorId="0" shapeId="0" xr:uid="{C234D43B-DF82-44DA-9967-EB309500D452}">
      <text>
        <r>
          <rPr>
            <b/>
            <sz val="9"/>
            <color indexed="81"/>
            <rFont val="Tahoma"/>
            <family val="2"/>
          </rPr>
          <t xml:space="preserve">[Date Format: dd'/'MM'/'yyyy]
</t>
        </r>
      </text>
    </comment>
    <comment ref="K23" authorId="0" shapeId="0" xr:uid="{1B22DD28-C600-4D87-8627-AB08EFDB0EC8}">
      <text>
        <r>
          <rPr>
            <b/>
            <sz val="9"/>
            <color indexed="81"/>
            <rFont val="Tahoma"/>
            <family val="2"/>
          </rPr>
          <t xml:space="preserve">[Date Format: dd'/'MM'/'yyyy]
</t>
        </r>
      </text>
    </comment>
    <comment ref="L23" authorId="0" shapeId="0" xr:uid="{285EA3A6-121E-4B80-B315-7C20A2F2DA17}">
      <text>
        <r>
          <rPr>
            <b/>
            <sz val="9"/>
            <color indexed="81"/>
            <rFont val="Tahoma"/>
            <family val="2"/>
          </rPr>
          <t xml:space="preserve">[Date Format: dd'/'MM'/'yyyy]
</t>
        </r>
      </text>
    </comment>
    <comment ref="M23" authorId="0" shapeId="0" xr:uid="{760AFF91-A93A-4445-A0D7-58D1F35F9971}">
      <text>
        <r>
          <rPr>
            <b/>
            <sz val="9"/>
            <color indexed="81"/>
            <rFont val="Tahoma"/>
            <family val="2"/>
          </rPr>
          <t xml:space="preserve">[Date Format: dd'/'MM'/'yyyy]
</t>
        </r>
      </text>
    </comment>
    <comment ref="N23" authorId="0" shapeId="0" xr:uid="{4D034FF9-41CA-4547-AC47-42EBE11B781F}">
      <text>
        <r>
          <rPr>
            <b/>
            <sz val="9"/>
            <color indexed="81"/>
            <rFont val="Tahoma"/>
            <family val="2"/>
          </rPr>
          <t xml:space="preserve">[Date Format: dd'/'MM'/'yyyy]
</t>
        </r>
      </text>
    </comment>
    <comment ref="O23" authorId="0" shapeId="0" xr:uid="{AE22126E-FFE1-4156-8867-665A4C0C0E8C}">
      <text>
        <r>
          <rPr>
            <b/>
            <sz val="9"/>
            <color indexed="81"/>
            <rFont val="Tahoma"/>
            <family val="2"/>
          </rPr>
          <t xml:space="preserve">[Date Format: dd'/'MM'/'yyyy]
</t>
        </r>
      </text>
    </comment>
    <comment ref="P23" authorId="0" shapeId="0" xr:uid="{5733F16B-D8CB-489A-8E3F-2D68CC859933}">
      <text>
        <r>
          <rPr>
            <b/>
            <sz val="9"/>
            <color indexed="81"/>
            <rFont val="Tahoma"/>
            <family val="2"/>
          </rPr>
          <t xml:space="preserve">[Date Format: dd'/'MM'/'yyyy]
</t>
        </r>
      </text>
    </comment>
    <comment ref="Q23" authorId="0" shapeId="0" xr:uid="{85AD437B-F1BB-48D9-B993-874CA99CE8FA}">
      <text>
        <r>
          <rPr>
            <b/>
            <sz val="9"/>
            <color indexed="81"/>
            <rFont val="Tahoma"/>
            <family val="2"/>
          </rPr>
          <t xml:space="preserve">[Date Format: dd'/'MM'/'yyyy]
</t>
        </r>
      </text>
    </comment>
    <comment ref="R23" authorId="0" shapeId="0" xr:uid="{882869D5-C8DA-4A6A-8B21-DAA0FED75E06}">
      <text>
        <r>
          <rPr>
            <b/>
            <sz val="9"/>
            <color indexed="81"/>
            <rFont val="Tahoma"/>
            <family val="2"/>
          </rPr>
          <t xml:space="preserve">[Date Format: dd'/'MM'/'yyyy]
</t>
        </r>
      </text>
    </comment>
    <comment ref="S23" authorId="0" shapeId="0" xr:uid="{0E8FB4CB-148C-4318-960E-7D167266DBE3}">
      <text>
        <r>
          <rPr>
            <b/>
            <sz val="9"/>
            <color indexed="81"/>
            <rFont val="Tahoma"/>
            <family val="2"/>
          </rPr>
          <t xml:space="preserve">[Date Format: dd'/'MM'/'yyyy]
</t>
        </r>
      </text>
    </comment>
    <comment ref="T23" authorId="0" shapeId="0" xr:uid="{80B1ED4E-7780-4AA9-81D7-0E9E55976B18}">
      <text>
        <r>
          <rPr>
            <b/>
            <sz val="9"/>
            <color indexed="81"/>
            <rFont val="Tahoma"/>
            <family val="2"/>
          </rPr>
          <t xml:space="preserve">[Date Format: dd'/'MM'/'yyyy]
</t>
        </r>
      </text>
    </comment>
    <comment ref="U23" authorId="0" shapeId="0" xr:uid="{117286B8-FF90-4EFD-AA60-BC06B5FC639B}">
      <text>
        <r>
          <rPr>
            <b/>
            <sz val="9"/>
            <color indexed="81"/>
            <rFont val="Tahoma"/>
            <family val="2"/>
          </rPr>
          <t xml:space="preserve">[Date Format: dd'/'MM'/'yyyy]
</t>
        </r>
      </text>
    </comment>
    <comment ref="V23" authorId="0" shapeId="0" xr:uid="{45B973FD-A98B-4748-9F43-134A47C3EB29}">
      <text>
        <r>
          <rPr>
            <b/>
            <sz val="9"/>
            <color indexed="81"/>
            <rFont val="Tahoma"/>
            <family val="2"/>
          </rPr>
          <t xml:space="preserve">[Date Format: dd'/'MM'/'yyyy]
</t>
        </r>
      </text>
    </comment>
    <comment ref="W23" authorId="0" shapeId="0" xr:uid="{3CB4F1A9-08D1-4B16-9702-F86A87CCDDDB}">
      <text>
        <r>
          <rPr>
            <b/>
            <sz val="9"/>
            <color indexed="81"/>
            <rFont val="Tahoma"/>
            <family val="2"/>
          </rPr>
          <t xml:space="preserve">[Date Format: dd'/'MM'/'yyyy]
</t>
        </r>
      </text>
    </comment>
    <comment ref="X23" authorId="0" shapeId="0" xr:uid="{B7F6523B-C51C-4D65-ACCE-40F98E86F294}">
      <text>
        <r>
          <rPr>
            <b/>
            <sz val="9"/>
            <color indexed="81"/>
            <rFont val="Tahoma"/>
            <family val="2"/>
          </rPr>
          <t xml:space="preserve">[Date Format: dd'/'MM'/'yyyy]
</t>
        </r>
      </text>
    </comment>
    <comment ref="Y23" authorId="0" shapeId="0" xr:uid="{E3F6FA0D-4BBD-4AB0-A07B-326ECE78A4CC}">
      <text>
        <r>
          <rPr>
            <b/>
            <sz val="9"/>
            <color indexed="81"/>
            <rFont val="Tahoma"/>
            <family val="2"/>
          </rPr>
          <t xml:space="preserve">[Date Format: dd'/'MM'/'yyyy]
</t>
        </r>
      </text>
    </comment>
    <comment ref="Z23" authorId="0" shapeId="0" xr:uid="{F40F83E8-8B0C-4F67-B32A-9B3D291BD332}">
      <text>
        <r>
          <rPr>
            <b/>
            <sz val="9"/>
            <color indexed="81"/>
            <rFont val="Tahoma"/>
            <family val="2"/>
          </rPr>
          <t xml:space="preserve">[Date Format: dd'/'MM'/'yyyy]
</t>
        </r>
      </text>
    </comment>
    <comment ref="AA23" authorId="0" shapeId="0" xr:uid="{6661F02F-0970-414D-B008-93D79C676E0C}">
      <text>
        <r>
          <rPr>
            <b/>
            <sz val="9"/>
            <color indexed="81"/>
            <rFont val="Tahoma"/>
            <family val="2"/>
          </rPr>
          <t xml:space="preserve">[Date Format: dd'/'MM'/'yyyy]
</t>
        </r>
      </text>
    </comment>
    <comment ref="D38" authorId="0" shapeId="0" xr:uid="{41068FA9-B6A5-4C65-877E-6F5D83EA0344}">
      <text>
        <r>
          <rPr>
            <b/>
            <sz val="9"/>
            <color indexed="81"/>
            <rFont val="Tahoma"/>
            <family val="2"/>
          </rPr>
          <t xml:space="preserve">This value is subtracted from Total
</t>
        </r>
      </text>
    </comment>
    <comment ref="E58" authorId="0" shapeId="0" xr:uid="{D23575DC-1425-4E84-B1B3-427A6203017E}">
      <text>
        <r>
          <rPr>
            <b/>
            <sz val="9"/>
            <color indexed="81"/>
            <rFont val="Tahoma"/>
            <family val="2"/>
          </rPr>
          <t xml:space="preserve">[User-Added Date]
</t>
        </r>
      </text>
    </comment>
    <comment ref="F58" authorId="0" shapeId="0" xr:uid="{15F99463-273E-4505-B56F-FD6DAD2207C5}">
      <text>
        <r>
          <rPr>
            <b/>
            <sz val="9"/>
            <color indexed="81"/>
            <rFont val="Tahoma"/>
            <family val="2"/>
          </rPr>
          <t xml:space="preserve">[User-Added Date]
</t>
        </r>
      </text>
    </comment>
    <comment ref="G58" authorId="0" shapeId="0" xr:uid="{362EAF62-3368-4853-9D1A-C5E21E6D8F4E}">
      <text>
        <r>
          <rPr>
            <b/>
            <sz val="9"/>
            <color indexed="81"/>
            <rFont val="Tahoma"/>
            <family val="2"/>
          </rPr>
          <t xml:space="preserve">[User-Added Date]
</t>
        </r>
      </text>
    </comment>
    <comment ref="H58" authorId="0" shapeId="0" xr:uid="{38918BF1-8DDA-4C14-850E-515B9936B2FF}">
      <text>
        <r>
          <rPr>
            <b/>
            <sz val="9"/>
            <color indexed="81"/>
            <rFont val="Tahoma"/>
            <family val="2"/>
          </rPr>
          <t xml:space="preserve">[User-Added Date]
</t>
        </r>
      </text>
    </comment>
    <comment ref="I58" authorId="0" shapeId="0" xr:uid="{ED78140A-429E-4422-9564-E63ABFF618DB}">
      <text>
        <r>
          <rPr>
            <b/>
            <sz val="9"/>
            <color indexed="81"/>
            <rFont val="Tahoma"/>
            <family val="2"/>
          </rPr>
          <t xml:space="preserve">[User-Added Date]
</t>
        </r>
      </text>
    </comment>
    <comment ref="J58" authorId="0" shapeId="0" xr:uid="{E586E975-F6B9-4ADB-8DE6-8ED2BD68DD95}">
      <text>
        <r>
          <rPr>
            <b/>
            <sz val="9"/>
            <color indexed="81"/>
            <rFont val="Tahoma"/>
            <family val="2"/>
          </rPr>
          <t xml:space="preserve">[User-Added Date]
</t>
        </r>
      </text>
    </comment>
    <comment ref="K58" authorId="0" shapeId="0" xr:uid="{88831289-CD55-48E8-A9CB-907C61D1CF7F}">
      <text>
        <r>
          <rPr>
            <b/>
            <sz val="9"/>
            <color indexed="81"/>
            <rFont val="Tahoma"/>
            <family val="2"/>
          </rPr>
          <t xml:space="preserve">[User-Added Date]
</t>
        </r>
      </text>
    </comment>
    <comment ref="L58" authorId="0" shapeId="0" xr:uid="{67CDC592-864F-4591-8D6F-B687AE041AA1}">
      <text>
        <r>
          <rPr>
            <b/>
            <sz val="9"/>
            <color indexed="81"/>
            <rFont val="Tahoma"/>
            <family val="2"/>
          </rPr>
          <t xml:space="preserve">[User-Added Date]
</t>
        </r>
      </text>
    </comment>
    <comment ref="M58" authorId="0" shapeId="0" xr:uid="{EDD7B9B3-E8D0-45E7-B036-739EF69ABB18}">
      <text>
        <r>
          <rPr>
            <b/>
            <sz val="9"/>
            <color indexed="81"/>
            <rFont val="Tahoma"/>
            <family val="2"/>
          </rPr>
          <t xml:space="preserve">[User-Added Date]
</t>
        </r>
      </text>
    </comment>
    <comment ref="N58" authorId="0" shapeId="0" xr:uid="{D147AD62-EC9D-41C2-B8B7-A67B19ED2275}">
      <text>
        <r>
          <rPr>
            <b/>
            <sz val="9"/>
            <color indexed="81"/>
            <rFont val="Tahoma"/>
            <family val="2"/>
          </rPr>
          <t xml:space="preserve">[User-Added Date]
</t>
        </r>
      </text>
    </comment>
    <comment ref="O58" authorId="0" shapeId="0" xr:uid="{BB996BD1-3B59-4031-AADF-9055AA77CD40}">
      <text>
        <r>
          <rPr>
            <b/>
            <sz val="9"/>
            <color indexed="81"/>
            <rFont val="Tahoma"/>
            <family val="2"/>
          </rPr>
          <t xml:space="preserve">[User-Added Date]
</t>
        </r>
      </text>
    </comment>
    <comment ref="P58" authorId="0" shapeId="0" xr:uid="{AE8A0EF0-3A6B-4FB1-A44A-3E735BADB6B6}">
      <text>
        <r>
          <rPr>
            <b/>
            <sz val="9"/>
            <color indexed="81"/>
            <rFont val="Tahoma"/>
            <family val="2"/>
          </rPr>
          <t xml:space="preserve">[User-Added Date]
</t>
        </r>
      </text>
    </comment>
    <comment ref="Q58" authorId="0" shapeId="0" xr:uid="{D0E63937-5E70-43E0-AD18-83377FE29816}">
      <text>
        <r>
          <rPr>
            <b/>
            <sz val="9"/>
            <color indexed="81"/>
            <rFont val="Tahoma"/>
            <family val="2"/>
          </rPr>
          <t xml:space="preserve">[User-Added Date]
</t>
        </r>
      </text>
    </comment>
    <comment ref="R58" authorId="0" shapeId="0" xr:uid="{8DC8C6F9-AB5A-4967-83E2-D05F4894A894}">
      <text>
        <r>
          <rPr>
            <b/>
            <sz val="9"/>
            <color indexed="81"/>
            <rFont val="Tahoma"/>
            <family val="2"/>
          </rPr>
          <t xml:space="preserve">[User-Added Date]
</t>
        </r>
      </text>
    </comment>
    <comment ref="S58" authorId="0" shapeId="0" xr:uid="{D7EC6D7C-F3CA-46F7-82A2-6F8FA99B3E4A}">
      <text>
        <r>
          <rPr>
            <b/>
            <sz val="9"/>
            <color indexed="81"/>
            <rFont val="Tahoma"/>
            <family val="2"/>
          </rPr>
          <t xml:space="preserve">[User-Added Date]
</t>
        </r>
      </text>
    </comment>
    <comment ref="T58" authorId="0" shapeId="0" xr:uid="{292C1065-34F1-4DB6-9B49-A75373EBF19C}">
      <text>
        <r>
          <rPr>
            <b/>
            <sz val="9"/>
            <color indexed="81"/>
            <rFont val="Tahoma"/>
            <family val="2"/>
          </rPr>
          <t xml:space="preserve">[User-Added Date]
</t>
        </r>
      </text>
    </comment>
    <comment ref="U58" authorId="0" shapeId="0" xr:uid="{98A41353-8B59-48D0-AD8A-808424F27DEE}">
      <text>
        <r>
          <rPr>
            <b/>
            <sz val="9"/>
            <color indexed="81"/>
            <rFont val="Tahoma"/>
            <family val="2"/>
          </rPr>
          <t xml:space="preserve">[User-Added Date]
</t>
        </r>
      </text>
    </comment>
    <comment ref="V58" authorId="0" shapeId="0" xr:uid="{560B9DD1-C9E9-4943-A2B2-7509557AC9EE}">
      <text>
        <r>
          <rPr>
            <b/>
            <sz val="9"/>
            <color indexed="81"/>
            <rFont val="Tahoma"/>
            <family val="2"/>
          </rPr>
          <t xml:space="preserve">[User-Added Date]
</t>
        </r>
      </text>
    </comment>
    <comment ref="W58" authorId="0" shapeId="0" xr:uid="{005E730F-10BE-4BDC-BAF2-81C345D74F3A}">
      <text>
        <r>
          <rPr>
            <b/>
            <sz val="9"/>
            <color indexed="81"/>
            <rFont val="Tahoma"/>
            <family val="2"/>
          </rPr>
          <t xml:space="preserve">[User-Added Date]
</t>
        </r>
      </text>
    </comment>
    <comment ref="X58" authorId="0" shapeId="0" xr:uid="{D02CC35C-D9D2-48F8-9D0E-5A45B0E58998}">
      <text>
        <r>
          <rPr>
            <b/>
            <sz val="9"/>
            <color indexed="81"/>
            <rFont val="Tahoma"/>
            <family val="2"/>
          </rPr>
          <t xml:space="preserve">[User-Added Date]
</t>
        </r>
      </text>
    </comment>
    <comment ref="Y58" authorId="0" shapeId="0" xr:uid="{F3348BE1-E103-4BDC-886D-DE5B5455D2A9}">
      <text>
        <r>
          <rPr>
            <b/>
            <sz val="9"/>
            <color indexed="81"/>
            <rFont val="Tahoma"/>
            <family val="2"/>
          </rPr>
          <t xml:space="preserve">[User-Added Date]
</t>
        </r>
      </text>
    </comment>
    <comment ref="Z58" authorId="0" shapeId="0" xr:uid="{75875FDC-1A9E-4E6B-9559-09CB28C76F23}">
      <text>
        <r>
          <rPr>
            <b/>
            <sz val="9"/>
            <color indexed="81"/>
            <rFont val="Tahoma"/>
            <family val="2"/>
          </rPr>
          <t xml:space="preserve">[User-Added Date]
</t>
        </r>
      </text>
    </comment>
    <comment ref="AA58" authorId="0" shapeId="0" xr:uid="{99A70FF8-793D-4791-92AD-0426C250FDDF}">
      <text>
        <r>
          <rPr>
            <b/>
            <sz val="9"/>
            <color indexed="81"/>
            <rFont val="Tahoma"/>
            <family val="2"/>
          </rPr>
          <t xml:space="preserve">[User-Added Date]
</t>
        </r>
      </text>
    </comment>
    <comment ref="E59" authorId="0" shapeId="0" xr:uid="{5B36252E-A34C-415A-B005-8A1555CA445E}">
      <text>
        <r>
          <rPr>
            <b/>
            <sz val="9"/>
            <color indexed="81"/>
            <rFont val="Tahoma"/>
            <family val="2"/>
          </rPr>
          <t xml:space="preserve">[User-Added Date]
</t>
        </r>
      </text>
    </comment>
    <comment ref="F59" authorId="0" shapeId="0" xr:uid="{9FB45261-FEEE-4F9B-8B3D-32B3CA7A1449}">
      <text>
        <r>
          <rPr>
            <b/>
            <sz val="9"/>
            <color indexed="81"/>
            <rFont val="Tahoma"/>
            <family val="2"/>
          </rPr>
          <t xml:space="preserve">[User-Added Date]
</t>
        </r>
      </text>
    </comment>
    <comment ref="G59" authorId="0" shapeId="0" xr:uid="{C18C4707-FFDB-4664-99F6-7EC55F9AB1B4}">
      <text>
        <r>
          <rPr>
            <b/>
            <sz val="9"/>
            <color indexed="81"/>
            <rFont val="Tahoma"/>
            <family val="2"/>
          </rPr>
          <t xml:space="preserve">[User-Added Date]
</t>
        </r>
      </text>
    </comment>
    <comment ref="H59" authorId="0" shapeId="0" xr:uid="{DBC20EAF-2E60-43B8-9E1C-C1B1310149B3}">
      <text>
        <r>
          <rPr>
            <b/>
            <sz val="9"/>
            <color indexed="81"/>
            <rFont val="Tahoma"/>
            <family val="2"/>
          </rPr>
          <t xml:space="preserve">[User-Added Date]
</t>
        </r>
      </text>
    </comment>
    <comment ref="I59" authorId="0" shapeId="0" xr:uid="{6921B827-EAB4-47F3-97EA-58CC046A1122}">
      <text>
        <r>
          <rPr>
            <b/>
            <sz val="9"/>
            <color indexed="81"/>
            <rFont val="Tahoma"/>
            <family val="2"/>
          </rPr>
          <t xml:space="preserve">[User-Added Date]
</t>
        </r>
      </text>
    </comment>
    <comment ref="J59" authorId="0" shapeId="0" xr:uid="{7E4D46FF-EAEF-45C9-BD92-A354BC5E73EE}">
      <text>
        <r>
          <rPr>
            <b/>
            <sz val="9"/>
            <color indexed="81"/>
            <rFont val="Tahoma"/>
            <family val="2"/>
          </rPr>
          <t xml:space="preserve">[User-Added Date]
</t>
        </r>
      </text>
    </comment>
    <comment ref="K59" authorId="0" shapeId="0" xr:uid="{E535340D-7FE8-4831-996E-BC9BEA4C1590}">
      <text>
        <r>
          <rPr>
            <b/>
            <sz val="9"/>
            <color indexed="81"/>
            <rFont val="Tahoma"/>
            <family val="2"/>
          </rPr>
          <t xml:space="preserve">[User-Added Date]
</t>
        </r>
      </text>
    </comment>
    <comment ref="L59" authorId="0" shapeId="0" xr:uid="{98C6436C-9DB9-44CB-880A-202965F3A42C}">
      <text>
        <r>
          <rPr>
            <b/>
            <sz val="9"/>
            <color indexed="81"/>
            <rFont val="Tahoma"/>
            <family val="2"/>
          </rPr>
          <t xml:space="preserve">[User-Added Date]
</t>
        </r>
      </text>
    </comment>
    <comment ref="M59" authorId="0" shapeId="0" xr:uid="{EE9256D7-AD97-41FD-8C80-D71C13CD5745}">
      <text>
        <r>
          <rPr>
            <b/>
            <sz val="9"/>
            <color indexed="81"/>
            <rFont val="Tahoma"/>
            <family val="2"/>
          </rPr>
          <t xml:space="preserve">[User-Added Date]
</t>
        </r>
      </text>
    </comment>
    <comment ref="N59" authorId="0" shapeId="0" xr:uid="{C6028EC9-08B0-495B-ACC8-42C271DB9C5F}">
      <text>
        <r>
          <rPr>
            <b/>
            <sz val="9"/>
            <color indexed="81"/>
            <rFont val="Tahoma"/>
            <family val="2"/>
          </rPr>
          <t xml:space="preserve">[User-Added Date]
</t>
        </r>
      </text>
    </comment>
    <comment ref="O59" authorId="0" shapeId="0" xr:uid="{48325994-A2AA-4233-A0FD-C542AB8225AE}">
      <text>
        <r>
          <rPr>
            <b/>
            <sz val="9"/>
            <color indexed="81"/>
            <rFont val="Tahoma"/>
            <family val="2"/>
          </rPr>
          <t xml:space="preserve">[User-Added Date]
</t>
        </r>
      </text>
    </comment>
    <comment ref="P59" authorId="0" shapeId="0" xr:uid="{4F45893A-70E3-4E12-ADDF-8A9FDA886919}">
      <text>
        <r>
          <rPr>
            <b/>
            <sz val="9"/>
            <color indexed="81"/>
            <rFont val="Tahoma"/>
            <family val="2"/>
          </rPr>
          <t xml:space="preserve">[User-Added Date]
</t>
        </r>
      </text>
    </comment>
    <comment ref="Q59" authorId="0" shapeId="0" xr:uid="{A8ABAE8F-744A-4ECB-84A1-D170631E564D}">
      <text>
        <r>
          <rPr>
            <b/>
            <sz val="9"/>
            <color indexed="81"/>
            <rFont val="Tahoma"/>
            <family val="2"/>
          </rPr>
          <t xml:space="preserve">[User-Added Date]
</t>
        </r>
      </text>
    </comment>
    <comment ref="R59" authorId="0" shapeId="0" xr:uid="{34934BB5-CA3E-4EAB-9F32-1099D52B8981}">
      <text>
        <r>
          <rPr>
            <b/>
            <sz val="9"/>
            <color indexed="81"/>
            <rFont val="Tahoma"/>
            <family val="2"/>
          </rPr>
          <t xml:space="preserve">[User-Added Date]
</t>
        </r>
      </text>
    </comment>
    <comment ref="S59" authorId="0" shapeId="0" xr:uid="{CB1110E0-70CB-4DF7-AE88-57F461306FB7}">
      <text>
        <r>
          <rPr>
            <b/>
            <sz val="9"/>
            <color indexed="81"/>
            <rFont val="Tahoma"/>
            <family val="2"/>
          </rPr>
          <t xml:space="preserve">[User-Added Date]
</t>
        </r>
      </text>
    </comment>
    <comment ref="T59" authorId="0" shapeId="0" xr:uid="{C5D52972-C0FA-420C-830F-8C26F2C3308E}">
      <text>
        <r>
          <rPr>
            <b/>
            <sz val="9"/>
            <color indexed="81"/>
            <rFont val="Tahoma"/>
            <family val="2"/>
          </rPr>
          <t xml:space="preserve">[User-Added Date]
</t>
        </r>
      </text>
    </comment>
    <comment ref="U59" authorId="0" shapeId="0" xr:uid="{B2078A11-1255-4D25-99FC-8CB653C6E443}">
      <text>
        <r>
          <rPr>
            <b/>
            <sz val="9"/>
            <color indexed="81"/>
            <rFont val="Tahoma"/>
            <family val="2"/>
          </rPr>
          <t xml:space="preserve">[User-Added Date]
</t>
        </r>
      </text>
    </comment>
    <comment ref="V59" authorId="0" shapeId="0" xr:uid="{7C895EA9-5766-4995-A52C-AE1180D67F96}">
      <text>
        <r>
          <rPr>
            <b/>
            <sz val="9"/>
            <color indexed="81"/>
            <rFont val="Tahoma"/>
            <family val="2"/>
          </rPr>
          <t xml:space="preserve">[User-Added Date]
</t>
        </r>
      </text>
    </comment>
    <comment ref="W59" authorId="0" shapeId="0" xr:uid="{110634E7-48E1-4063-A2F7-EDA590FB9C48}">
      <text>
        <r>
          <rPr>
            <b/>
            <sz val="9"/>
            <color indexed="81"/>
            <rFont val="Tahoma"/>
            <family val="2"/>
          </rPr>
          <t xml:space="preserve">[User-Added Date]
</t>
        </r>
      </text>
    </comment>
    <comment ref="X59" authorId="0" shapeId="0" xr:uid="{0BB9748B-AF53-4268-B122-FEDEB174E01C}">
      <text>
        <r>
          <rPr>
            <b/>
            <sz val="9"/>
            <color indexed="81"/>
            <rFont val="Tahoma"/>
            <family val="2"/>
          </rPr>
          <t xml:space="preserve">[User-Added Date]
</t>
        </r>
      </text>
    </comment>
    <comment ref="Y59" authorId="0" shapeId="0" xr:uid="{6080773D-95CA-44F0-87F2-3E3179E003EB}">
      <text>
        <r>
          <rPr>
            <b/>
            <sz val="9"/>
            <color indexed="81"/>
            <rFont val="Tahoma"/>
            <family val="2"/>
          </rPr>
          <t xml:space="preserve">[User-Added Date]
</t>
        </r>
      </text>
    </comment>
    <comment ref="Z59" authorId="0" shapeId="0" xr:uid="{8A597E4A-9D82-4988-BD24-BDE58F9E61F9}">
      <text>
        <r>
          <rPr>
            <b/>
            <sz val="9"/>
            <color indexed="81"/>
            <rFont val="Tahoma"/>
            <family val="2"/>
          </rPr>
          <t xml:space="preserve">[User-Added Date]
</t>
        </r>
      </text>
    </comment>
    <comment ref="AA59" authorId="0" shapeId="0" xr:uid="{D5A478F2-98A0-4F6D-9A53-9A8BCDDEAD36}">
      <text>
        <r>
          <rPr>
            <b/>
            <sz val="9"/>
            <color indexed="81"/>
            <rFont val="Tahoma"/>
            <family val="2"/>
          </rPr>
          <t xml:space="preserve">[User-Added Date]
</t>
        </r>
      </text>
    </comment>
    <comment ref="D74" authorId="0" shapeId="0" xr:uid="{09F87CF7-CF9E-45E6-94B6-88D01E2EA7A9}">
      <text>
        <r>
          <rPr>
            <b/>
            <sz val="9"/>
            <color indexed="81"/>
            <rFont val="Tahoma"/>
            <family val="2"/>
          </rPr>
          <t xml:space="preserve">This value is subtracted from Total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3" authorId="0" shapeId="0" xr:uid="{157FEED1-EF54-4DE6-BFC4-A4CAB7E87EBE}">
      <text>
        <r>
          <rPr>
            <b/>
            <sz val="9"/>
            <color indexed="81"/>
            <rFont val="Tahoma"/>
            <family val="2"/>
          </rPr>
          <t xml:space="preserve">[Date Format: dd'/'MM'/'yyyy]
</t>
        </r>
      </text>
    </comment>
    <comment ref="F23" authorId="0" shapeId="0" xr:uid="{662C18AA-D41B-4B95-ADE3-E81653DF8F6E}">
      <text>
        <r>
          <rPr>
            <b/>
            <sz val="9"/>
            <color indexed="81"/>
            <rFont val="Tahoma"/>
            <family val="2"/>
          </rPr>
          <t xml:space="preserve">[Date Format: dd'/'MM'/'yyyy]
</t>
        </r>
      </text>
    </comment>
    <comment ref="G23" authorId="0" shapeId="0" xr:uid="{DEDEBBD7-6CFC-4503-AC55-65E696AE0B2F}">
      <text>
        <r>
          <rPr>
            <b/>
            <sz val="9"/>
            <color indexed="81"/>
            <rFont val="Tahoma"/>
            <family val="2"/>
          </rPr>
          <t xml:space="preserve">[Date Format: dd'/'MM'/'yyyy]
</t>
        </r>
      </text>
    </comment>
    <comment ref="H23" authorId="0" shapeId="0" xr:uid="{43C38B1D-755E-4CD1-B2D2-E6A81DB80F95}">
      <text>
        <r>
          <rPr>
            <b/>
            <sz val="9"/>
            <color indexed="81"/>
            <rFont val="Tahoma"/>
            <family val="2"/>
          </rPr>
          <t xml:space="preserve">[Date Format: dd'/'MM'/'yyyy]
</t>
        </r>
      </text>
    </comment>
    <comment ref="E24" authorId="0" shapeId="0" xr:uid="{6CC4B156-38CD-4A4A-8E97-C930D1A2ECC8}">
      <text>
        <r>
          <rPr>
            <b/>
            <sz val="9"/>
            <color indexed="81"/>
            <rFont val="Tahoma"/>
            <family val="2"/>
          </rPr>
          <t xml:space="preserve">[Date Format: dd'/'MM'/'yyyy]
</t>
        </r>
      </text>
    </comment>
    <comment ref="F24" authorId="0" shapeId="0" xr:uid="{62BE5F47-1520-4026-98B2-F601038D6E9F}">
      <text>
        <r>
          <rPr>
            <b/>
            <sz val="9"/>
            <color indexed="81"/>
            <rFont val="Tahoma"/>
            <family val="2"/>
          </rPr>
          <t xml:space="preserve">[Date Format: dd'/'MM'/'yyyy]
</t>
        </r>
      </text>
    </comment>
    <comment ref="G24" authorId="0" shapeId="0" xr:uid="{8509C101-6C69-497A-8B17-5511FA92D69B}">
      <text>
        <r>
          <rPr>
            <b/>
            <sz val="9"/>
            <color indexed="81"/>
            <rFont val="Tahoma"/>
            <family val="2"/>
          </rPr>
          <t xml:space="preserve">[Date Format: dd'/'MM'/'yyyy]
</t>
        </r>
      </text>
    </comment>
    <comment ref="H24" authorId="0" shapeId="0" xr:uid="{4FB5724F-2D2F-4B4D-9BC9-DEAB9317165B}">
      <text>
        <r>
          <rPr>
            <b/>
            <sz val="9"/>
            <color indexed="81"/>
            <rFont val="Tahoma"/>
            <family val="2"/>
          </rPr>
          <t xml:space="preserve">[Date Format: dd'/'MM'/'yyyy]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Madieha Mazlan</author>
  </authors>
  <commentList>
    <comment ref="E23" authorId="0" shapeId="0" xr:uid="{91DD6889-EE16-44A3-B460-7B67AB0BA18C}">
      <text>
        <r>
          <rPr>
            <b/>
            <sz val="9"/>
            <color indexed="81"/>
            <rFont val="Tahoma"/>
            <family val="2"/>
          </rPr>
          <t xml:space="preserve">[Date Format: dd'/'MM'/'yyyy]
</t>
        </r>
      </text>
    </comment>
    <comment ref="F23" authorId="0" shapeId="0" xr:uid="{52A8B9A7-9910-4AE1-B411-C9DDD08A87D1}">
      <text>
        <r>
          <rPr>
            <b/>
            <sz val="9"/>
            <color indexed="81"/>
            <rFont val="Tahoma"/>
            <family val="2"/>
          </rPr>
          <t xml:space="preserve">[Date Format: dd'/'MM'/'yyyy]
</t>
        </r>
      </text>
    </comment>
    <comment ref="G23" authorId="0" shapeId="0" xr:uid="{C2AC2A99-2EEC-475B-8D35-2A46068BC527}">
      <text>
        <r>
          <rPr>
            <b/>
            <sz val="9"/>
            <color indexed="81"/>
            <rFont val="Tahoma"/>
            <family val="2"/>
          </rPr>
          <t xml:space="preserve">[Date Format: dd'/'MM'/'yyyy]
</t>
        </r>
      </text>
    </comment>
    <comment ref="H23" authorId="0" shapeId="0" xr:uid="{FF4E2B3A-176E-4EC0-9AAD-6AE294499977}">
      <text>
        <r>
          <rPr>
            <b/>
            <sz val="9"/>
            <color indexed="81"/>
            <rFont val="Tahoma"/>
            <family val="2"/>
          </rPr>
          <t xml:space="preserve">[Date Format: dd'/'MM'/'yyyy]
</t>
        </r>
      </text>
    </comment>
    <comment ref="I23" authorId="0" shapeId="0" xr:uid="{4E685529-03C9-45EB-8F95-AFE20716389A}">
      <text>
        <r>
          <rPr>
            <b/>
            <sz val="9"/>
            <color indexed="81"/>
            <rFont val="Tahoma"/>
            <family val="2"/>
          </rPr>
          <t xml:space="preserve">[Date Format: dd'/'MM'/'yyyy]
</t>
        </r>
      </text>
    </comment>
    <comment ref="J23" authorId="0" shapeId="0" xr:uid="{BB588D23-F13A-4ED7-B0B2-A9FA50597CE2}">
      <text>
        <r>
          <rPr>
            <b/>
            <sz val="9"/>
            <color indexed="81"/>
            <rFont val="Tahoma"/>
            <family val="2"/>
          </rPr>
          <t xml:space="preserve">[Date Format: dd'/'MM'/'yyyy]
</t>
        </r>
      </text>
    </comment>
    <comment ref="K23" authorId="0" shapeId="0" xr:uid="{2DF1B86D-F41C-4E68-A2F6-B379129D054F}">
      <text>
        <r>
          <rPr>
            <b/>
            <sz val="9"/>
            <color indexed="81"/>
            <rFont val="Tahoma"/>
            <family val="2"/>
          </rPr>
          <t xml:space="preserve">[Date Format: dd'/'MM'/'yyyy]
</t>
        </r>
      </text>
    </comment>
    <comment ref="L23" authorId="0" shapeId="0" xr:uid="{917FB46F-4414-4451-A3F4-96A81259C42B}">
      <text>
        <r>
          <rPr>
            <b/>
            <sz val="9"/>
            <color indexed="81"/>
            <rFont val="Tahoma"/>
            <family val="2"/>
          </rPr>
          <t xml:space="preserve">[Date Format: dd'/'MM'/'yyyy]
</t>
        </r>
      </text>
    </comment>
    <comment ref="E24" authorId="0" shapeId="0" xr:uid="{B91065C5-89BD-4C31-9453-914F9A9ED64D}">
      <text>
        <r>
          <rPr>
            <b/>
            <sz val="9"/>
            <color indexed="81"/>
            <rFont val="Tahoma"/>
            <family val="2"/>
          </rPr>
          <t xml:space="preserve">[Date Format: dd'/'MM'/'yyyy]
</t>
        </r>
      </text>
    </comment>
    <comment ref="F24" authorId="0" shapeId="0" xr:uid="{2098C559-7A2E-45F6-9B0B-7FB18FB9DB8C}">
      <text>
        <r>
          <rPr>
            <b/>
            <sz val="9"/>
            <color indexed="81"/>
            <rFont val="Tahoma"/>
            <family val="2"/>
          </rPr>
          <t xml:space="preserve">[Date Format: dd'/'MM'/'yyyy]
</t>
        </r>
      </text>
    </comment>
    <comment ref="G24" authorId="0" shapeId="0" xr:uid="{8FCD93F4-F464-4974-ADCA-B971B07ED26D}">
      <text>
        <r>
          <rPr>
            <b/>
            <sz val="9"/>
            <color indexed="81"/>
            <rFont val="Tahoma"/>
            <family val="2"/>
          </rPr>
          <t xml:space="preserve">[Date Format: dd'/'MM'/'yyyy]
</t>
        </r>
      </text>
    </comment>
    <comment ref="H24" authorId="0" shapeId="0" xr:uid="{6097FC06-6A35-48D3-949D-864A96F2CA3B}">
      <text>
        <r>
          <rPr>
            <b/>
            <sz val="9"/>
            <color indexed="81"/>
            <rFont val="Tahoma"/>
            <family val="2"/>
          </rPr>
          <t xml:space="preserve">[Date Format: dd'/'MM'/'yyyy]
</t>
        </r>
      </text>
    </comment>
    <comment ref="I24" authorId="0" shapeId="0" xr:uid="{D9FF86FF-DA53-446B-AF72-C469824E9D67}">
      <text>
        <r>
          <rPr>
            <b/>
            <sz val="9"/>
            <color indexed="81"/>
            <rFont val="Tahoma"/>
            <family val="2"/>
          </rPr>
          <t xml:space="preserve">[Date Format: dd'/'MM'/'yyyy]
</t>
        </r>
      </text>
    </comment>
    <comment ref="J24" authorId="0" shapeId="0" xr:uid="{29F3744B-1E5A-419E-9C4F-2CA48A94DC00}">
      <text>
        <r>
          <rPr>
            <b/>
            <sz val="9"/>
            <color indexed="81"/>
            <rFont val="Tahoma"/>
            <family val="2"/>
          </rPr>
          <t xml:space="preserve">[Date Format: dd'/'MM'/'yyyy]
</t>
        </r>
      </text>
    </comment>
    <comment ref="K24" authorId="0" shapeId="0" xr:uid="{DB656E9E-6523-4399-9514-FD1A53AD3271}">
      <text>
        <r>
          <rPr>
            <b/>
            <sz val="9"/>
            <color indexed="81"/>
            <rFont val="Tahoma"/>
            <family val="2"/>
          </rPr>
          <t xml:space="preserve">[Date Format: dd'/'MM'/'yyyy]
</t>
        </r>
      </text>
    </comment>
    <comment ref="L24" authorId="0" shapeId="0" xr:uid="{4618D903-6D0A-42AB-9012-6417A5E23353}">
      <text>
        <r>
          <rPr>
            <b/>
            <sz val="9"/>
            <color indexed="81"/>
            <rFont val="Tahoma"/>
            <family val="2"/>
          </rPr>
          <t xml:space="preserve">[Date Format: dd'/'MM'/'yyyy]
</t>
        </r>
      </text>
    </comment>
  </commentList>
</comments>
</file>

<file path=xl/sharedStrings.xml><?xml version="1.0" encoding="utf-8"?>
<sst xmlns="http://schemas.openxmlformats.org/spreadsheetml/2006/main" count="3896" uniqueCount="3162">
  <si>
    <t>#LEND#</t>
  </si>
  <si>
    <t>#SEND#</t>
  </si>
  <si>
    <t>{9D464D58-4FAD-4758-A826-6A433BFB4418}</t>
  </si>
  <si>
    <t>&lt;PrefixNamespace&gt;_x000D_
  &lt;add key="Prefix" value="cmp" /&gt;_x000D_
  &lt;add key="Namespace" value="" /&gt;_x000D_
  &lt;add key="Scheme" value="" /&gt;_x000D_
  &lt;add key="SchemaFileName" value="" /&gt;_x000D_
&lt;/PrefixNamespace&gt;</t>
  </si>
  <si>
    <t>&lt;GroupSheets&gt;
&lt;Sheet GroupName="Finance" SheetName="Financial Pos Curr Non Curr" Name="[210000] Statement of financial position, current/non-current" color="1" DependantSelection=""/&gt;
&lt;Sheet GroupName="Finance" SheetName="Financial Pos Ord of Liq" Name="[220000] Statement of financial position, order of liquidity"  color="1" DependantSelection=""/&gt;
&lt;Sheet GroupName="Income Statement" SheetName="Income Statement - Function" Name="[310000] Income statement, by function of expense" color="2" DependantSelection="[800210] Notes - Analysis of lncome and expense by function"/&gt;
&lt;Sheet GroupName="Income Statement" SheetName="Income Statement - Nature" Name="[320000] Income statement, by nature of expense" color="2" DependantSelection="[800220] Notes - Analysis of lncome and expense by nature"/&gt;
&lt;Sheet GroupName="Analysis of Income Statement" SheetName="Analysis of IS - Function" Name="[800210] Notes - Analysis of lncome and expense by function" color="3" DependantSelection=""/&gt;
&lt;Sheet GroupName="Analysis of Income Statement" SheetName="Analysis of IS - Nature" Name="[800220] Notes - Analysis of lncome and expense by nature" color="3" DependantSelection=""/&gt;
&lt;Sheet GroupName="SCI" SheetName="SCI - Net of Tax" Name="[410000] Statement of comprehensive income, OCI components presented net of tax" color="4" DependantSelection=""/&gt;
&lt;Sheet GroupName="SCI" SheetName="SCI - before tax" Name="[420000] Statement of comprehensive income, OCI components presented before tax" color="4" DependantSelection=""/&gt;
&lt;Sheet GroupName="Cash Flow" SheetName="Cash Flow - Direct" Name="[510000] Statement of cash flows, direct method"  color="5" DependantSelection=""/&gt;
&lt;Sheet GroupName="Cash Flow" SheetName="Cash Flow - Indirect" Name="[520000] Statement of cash flows, indirect method" color="5" DependantSelection=""/&gt;
&lt;/GroupSheets&gt;</t>
  </si>
  <si>
    <t>AFN</t>
  </si>
  <si>
    <t>ALL</t>
  </si>
  <si>
    <t>DZD</t>
  </si>
  <si>
    <t>AOA</t>
  </si>
  <si>
    <t>ARS</t>
  </si>
  <si>
    <t>AMD</t>
  </si>
  <si>
    <t>AWG</t>
  </si>
  <si>
    <t>AUD</t>
  </si>
  <si>
    <t>AZN</t>
  </si>
  <si>
    <t>BSD</t>
  </si>
  <si>
    <t>BHD</t>
  </si>
  <si>
    <t>BDT</t>
  </si>
  <si>
    <t>BBD</t>
  </si>
  <si>
    <t>BYR</t>
  </si>
  <si>
    <t>BZD</t>
  </si>
  <si>
    <t>BMD</t>
  </si>
  <si>
    <t>BTN</t>
  </si>
  <si>
    <t>BOB</t>
  </si>
  <si>
    <t>BAM</t>
  </si>
  <si>
    <t>BWP</t>
  </si>
  <si>
    <t>BRL</t>
  </si>
  <si>
    <t>BND</t>
  </si>
  <si>
    <t>BGN</t>
  </si>
  <si>
    <t>BIF</t>
  </si>
  <si>
    <t>KHR</t>
  </si>
  <si>
    <t>CAD</t>
  </si>
  <si>
    <t>CVE</t>
  </si>
  <si>
    <t>KYD</t>
  </si>
  <si>
    <t>CLP</t>
  </si>
  <si>
    <t>CNY</t>
  </si>
  <si>
    <t>COP</t>
  </si>
  <si>
    <t>XOF</t>
  </si>
  <si>
    <t>XAF</t>
  </si>
  <si>
    <t>KMF</t>
  </si>
  <si>
    <t>XPF</t>
  </si>
  <si>
    <t>CDF</t>
  </si>
  <si>
    <t>CRC</t>
  </si>
  <si>
    <t>HRK</t>
  </si>
  <si>
    <t>CUP</t>
  </si>
  <si>
    <t>CYP</t>
  </si>
  <si>
    <t>CZK</t>
  </si>
  <si>
    <t>DKK</t>
  </si>
  <si>
    <t>DJF</t>
  </si>
  <si>
    <t>DOP</t>
  </si>
  <si>
    <t>XCD</t>
  </si>
  <si>
    <t>EGP</t>
  </si>
  <si>
    <t>SVC</t>
  </si>
  <si>
    <t>ERN</t>
  </si>
  <si>
    <t>EEK</t>
  </si>
  <si>
    <t>ETB</t>
  </si>
  <si>
    <t>EUR</t>
  </si>
  <si>
    <t>FKP</t>
  </si>
  <si>
    <t>FJD</t>
  </si>
  <si>
    <t>GMD</t>
  </si>
  <si>
    <t>GEL</t>
  </si>
  <si>
    <t>GHS</t>
  </si>
  <si>
    <t>GIP</t>
  </si>
  <si>
    <t>XAU</t>
  </si>
  <si>
    <t>GTQ</t>
  </si>
  <si>
    <t>GGP</t>
  </si>
  <si>
    <t>GNF</t>
  </si>
  <si>
    <t>GYD</t>
  </si>
  <si>
    <t>HTG</t>
  </si>
  <si>
    <t>HNL</t>
  </si>
  <si>
    <t>HKD</t>
  </si>
  <si>
    <t>HUF</t>
  </si>
  <si>
    <t>ISK</t>
  </si>
  <si>
    <t>INR</t>
  </si>
  <si>
    <t>IDR</t>
  </si>
  <si>
    <t>XDR</t>
  </si>
  <si>
    <t>IRR</t>
  </si>
  <si>
    <t>IQD</t>
  </si>
  <si>
    <t>IMP</t>
  </si>
  <si>
    <t>ILS</t>
  </si>
  <si>
    <t>JMD</t>
  </si>
  <si>
    <t>JPY</t>
  </si>
  <si>
    <t>JEP</t>
  </si>
  <si>
    <t>JOD</t>
  </si>
  <si>
    <t>KZT</t>
  </si>
  <si>
    <t>KES</t>
  </si>
  <si>
    <t>KPW</t>
  </si>
  <si>
    <t>KRW</t>
  </si>
  <si>
    <t>KWD</t>
  </si>
  <si>
    <t>KGS</t>
  </si>
  <si>
    <t>LAK</t>
  </si>
  <si>
    <t>LVL</t>
  </si>
  <si>
    <t>LBP</t>
  </si>
  <si>
    <t>LSL</t>
  </si>
  <si>
    <t>LRD</t>
  </si>
  <si>
    <t>LYD</t>
  </si>
  <si>
    <t>LTL</t>
  </si>
  <si>
    <t>MOP</t>
  </si>
  <si>
    <t>MKD</t>
  </si>
  <si>
    <t>MGA</t>
  </si>
  <si>
    <t>MWK</t>
  </si>
  <si>
    <t>MVR</t>
  </si>
  <si>
    <t>MTL</t>
  </si>
  <si>
    <t>MRO</t>
  </si>
  <si>
    <t>MUR</t>
  </si>
  <si>
    <t>MXN</t>
  </si>
  <si>
    <t>MDL</t>
  </si>
  <si>
    <t>MNT</t>
  </si>
  <si>
    <t>MAD</t>
  </si>
  <si>
    <t>MZN</t>
  </si>
  <si>
    <t>MMK</t>
  </si>
  <si>
    <t>NAD</t>
  </si>
  <si>
    <t>NPR</t>
  </si>
  <si>
    <t>ANG</t>
  </si>
  <si>
    <t>NZD</t>
  </si>
  <si>
    <t>NIO</t>
  </si>
  <si>
    <t>NGN</t>
  </si>
  <si>
    <t>NOK</t>
  </si>
  <si>
    <t>OMR</t>
  </si>
  <si>
    <t>PKR</t>
  </si>
  <si>
    <t>XPD</t>
  </si>
  <si>
    <t>PAB</t>
  </si>
  <si>
    <t>PGK</t>
  </si>
  <si>
    <t>PYG</t>
  </si>
  <si>
    <t>PEN</t>
  </si>
  <si>
    <t>PHP</t>
  </si>
  <si>
    <t>XPT</t>
  </si>
  <si>
    <t>PLN</t>
  </si>
  <si>
    <t>QAR</t>
  </si>
  <si>
    <t>RON</t>
  </si>
  <si>
    <t>RUB</t>
  </si>
  <si>
    <t>RWF</t>
  </si>
  <si>
    <t>SHP</t>
  </si>
  <si>
    <t>WST</t>
  </si>
  <si>
    <t>STD</t>
  </si>
  <si>
    <t>SAR</t>
  </si>
  <si>
    <t>SPL</t>
  </si>
  <si>
    <t>RSD</t>
  </si>
  <si>
    <t>SCR</t>
  </si>
  <si>
    <t>SLL</t>
  </si>
  <si>
    <t>XAG</t>
  </si>
  <si>
    <t>SGD</t>
  </si>
  <si>
    <t>SBD</t>
  </si>
  <si>
    <t>SOS</t>
  </si>
  <si>
    <t>ZAR</t>
  </si>
  <si>
    <t>LKR</t>
  </si>
  <si>
    <t>SRD</t>
  </si>
  <si>
    <t>SZL</t>
  </si>
  <si>
    <t>SEK</t>
  </si>
  <si>
    <t>CHF</t>
  </si>
  <si>
    <t>SYP</t>
  </si>
  <si>
    <t>TWD</t>
  </si>
  <si>
    <t>TJS</t>
  </si>
  <si>
    <t>TZS</t>
  </si>
  <si>
    <t>THB</t>
  </si>
  <si>
    <t>TOP</t>
  </si>
  <si>
    <t>TTD</t>
  </si>
  <si>
    <t>TND</t>
  </si>
  <si>
    <t>TRY</t>
  </si>
  <si>
    <t>TMM</t>
  </si>
  <si>
    <t>TVD</t>
  </si>
  <si>
    <t>UGX</t>
  </si>
  <si>
    <t>UAH</t>
  </si>
  <si>
    <t>AED</t>
  </si>
  <si>
    <t>GBP</t>
  </si>
  <si>
    <t>USD</t>
  </si>
  <si>
    <t>UYU</t>
  </si>
  <si>
    <t>UZS</t>
  </si>
  <si>
    <t>VUV</t>
  </si>
  <si>
    <t>VEB</t>
  </si>
  <si>
    <t>VEF</t>
  </si>
  <si>
    <t>VND</t>
  </si>
  <si>
    <t>YER</t>
  </si>
  <si>
    <t>ZMK</t>
  </si>
  <si>
    <t>ZWD</t>
  </si>
  <si>
    <t>MYR</t>
  </si>
  <si>
    <t>AF</t>
  </si>
  <si>
    <t>AX</t>
  </si>
  <si>
    <t>AL</t>
  </si>
  <si>
    <t>DZ</t>
  </si>
  <si>
    <t>AS</t>
  </si>
  <si>
    <t>AD</t>
  </si>
  <si>
    <t>AO</t>
  </si>
  <si>
    <t>AI</t>
  </si>
  <si>
    <t>AQ</t>
  </si>
  <si>
    <t>AG</t>
  </si>
  <si>
    <t>AR</t>
  </si>
  <si>
    <t>AM</t>
  </si>
  <si>
    <t>AW</t>
  </si>
  <si>
    <t>AU</t>
  </si>
  <si>
    <t>AT</t>
  </si>
  <si>
    <t>AZ</t>
  </si>
  <si>
    <t>BS</t>
  </si>
  <si>
    <t>BH</t>
  </si>
  <si>
    <t>BD</t>
  </si>
  <si>
    <t>BB</t>
  </si>
  <si>
    <t>BY</t>
  </si>
  <si>
    <t>BE</t>
  </si>
  <si>
    <t>BZ</t>
  </si>
  <si>
    <t>BJ</t>
  </si>
  <si>
    <t>BM</t>
  </si>
  <si>
    <t>BT</t>
  </si>
  <si>
    <t>BO</t>
  </si>
  <si>
    <t>BQ</t>
  </si>
  <si>
    <t>BA</t>
  </si>
  <si>
    <t>BW</t>
  </si>
  <si>
    <t>BV</t>
  </si>
  <si>
    <t>BR</t>
  </si>
  <si>
    <t>IO</t>
  </si>
  <si>
    <t>BN</t>
  </si>
  <si>
    <t>BG</t>
  </si>
  <si>
    <t>BF</t>
  </si>
  <si>
    <t>BI</t>
  </si>
  <si>
    <t>KH</t>
  </si>
  <si>
    <t>CM</t>
  </si>
  <si>
    <t>CA</t>
  </si>
  <si>
    <t>CV</t>
  </si>
  <si>
    <t>KY</t>
  </si>
  <si>
    <t>CF</t>
  </si>
  <si>
    <t>TD</t>
  </si>
  <si>
    <t>CL</t>
  </si>
  <si>
    <t>CN</t>
  </si>
  <si>
    <t>CX</t>
  </si>
  <si>
    <t>CC</t>
  </si>
  <si>
    <t>CO</t>
  </si>
  <si>
    <t>KM</t>
  </si>
  <si>
    <t>CG</t>
  </si>
  <si>
    <t>CD</t>
  </si>
  <si>
    <t>CK</t>
  </si>
  <si>
    <t>CR</t>
  </si>
  <si>
    <t>CI</t>
  </si>
  <si>
    <t>HR</t>
  </si>
  <si>
    <t>CU</t>
  </si>
  <si>
    <t>CW</t>
  </si>
  <si>
    <t>CY</t>
  </si>
  <si>
    <t>CZ</t>
  </si>
  <si>
    <t>DK</t>
  </si>
  <si>
    <t>DJ</t>
  </si>
  <si>
    <t>DM</t>
  </si>
  <si>
    <t>DO</t>
  </si>
  <si>
    <t>EC</t>
  </si>
  <si>
    <t>EG</t>
  </si>
  <si>
    <t>SV</t>
  </si>
  <si>
    <t>GQ</t>
  </si>
  <si>
    <t>ER</t>
  </si>
  <si>
    <t>EE</t>
  </si>
  <si>
    <t>ET</t>
  </si>
  <si>
    <t>FK</t>
  </si>
  <si>
    <t>FO</t>
  </si>
  <si>
    <t>FJ</t>
  </si>
  <si>
    <t>FI</t>
  </si>
  <si>
    <t>FR</t>
  </si>
  <si>
    <t>GF</t>
  </si>
  <si>
    <t>PF</t>
  </si>
  <si>
    <t>TF</t>
  </si>
  <si>
    <t>GA</t>
  </si>
  <si>
    <t>GM</t>
  </si>
  <si>
    <t>GE</t>
  </si>
  <si>
    <t>DE</t>
  </si>
  <si>
    <t>GH</t>
  </si>
  <si>
    <t>GI</t>
  </si>
  <si>
    <t>GR</t>
  </si>
  <si>
    <t>GL</t>
  </si>
  <si>
    <t>GD</t>
  </si>
  <si>
    <t>GP</t>
  </si>
  <si>
    <t>GU</t>
  </si>
  <si>
    <t>GT</t>
  </si>
  <si>
    <t>GG</t>
  </si>
  <si>
    <t>GN</t>
  </si>
  <si>
    <t>GW</t>
  </si>
  <si>
    <t>GY</t>
  </si>
  <si>
    <t>HT</t>
  </si>
  <si>
    <t>HM</t>
  </si>
  <si>
    <t>VA</t>
  </si>
  <si>
    <t>HN</t>
  </si>
  <si>
    <t>HK</t>
  </si>
  <si>
    <t>HU</t>
  </si>
  <si>
    <t>IS</t>
  </si>
  <si>
    <t>IN</t>
  </si>
  <si>
    <t>ID</t>
  </si>
  <si>
    <t>IR</t>
  </si>
  <si>
    <t>IQ</t>
  </si>
  <si>
    <t>IE</t>
  </si>
  <si>
    <t>IM</t>
  </si>
  <si>
    <t>IL</t>
  </si>
  <si>
    <t>IT</t>
  </si>
  <si>
    <t>JM</t>
  </si>
  <si>
    <t>JP</t>
  </si>
  <si>
    <t>JE</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</si>
  <si>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</si>
  <si>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</si>
  <si>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</si>
  <si>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</si>
  <si>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</si>
  <si>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</si>
  <si>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</si>
  <si>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</si>
  <si>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</si>
  <si>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</si>
  <si>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</si>
  <si>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</si>
  <si>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</si>
  <si>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</si>
  <si>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</si>
  <si>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</si>
  <si>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</si>
  <si>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</si>
  <si>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</si>
  <si>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</si>
  <si>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</si>
  <si>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</si>
  <si>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</si>
  <si>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</si>
  <si>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</si>
  <si>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</si>
  <si>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</si>
  <si>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</si>
  <si>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</si>
  <si>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</si>
  <si>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</si>
  <si>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</si>
  <si>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MD</t>
  </si>
  <si>
    <t>MC</t>
  </si>
  <si>
    <t>MN</t>
  </si>
  <si>
    <t>ME</t>
  </si>
  <si>
    <t>MS</t>
  </si>
  <si>
    <t>MA</t>
  </si>
  <si>
    <t>MZ</t>
  </si>
  <si>
    <t>MM</t>
  </si>
  <si>
    <t>NA</t>
  </si>
  <si>
    <t>NR</t>
  </si>
  <si>
    <t>NP</t>
  </si>
  <si>
    <t>NL</t>
  </si>
  <si>
    <t>NC</t>
  </si>
  <si>
    <t>NZ</t>
  </si>
  <si>
    <t>NI</t>
  </si>
  <si>
    <t>NE</t>
  </si>
  <si>
    <t>NG</t>
  </si>
  <si>
    <t>NU</t>
  </si>
  <si>
    <t>NF</t>
  </si>
  <si>
    <t>MP</t>
  </si>
  <si>
    <t>NO</t>
  </si>
  <si>
    <t>OM</t>
  </si>
  <si>
    <t>PK</t>
  </si>
  <si>
    <t>PW</t>
  </si>
  <si>
    <t>PS</t>
  </si>
  <si>
    <t>PA</t>
  </si>
  <si>
    <t>PG</t>
  </si>
  <si>
    <t>PY</t>
  </si>
  <si>
    <t>PE</t>
  </si>
  <si>
    <t>PH</t>
  </si>
  <si>
    <t>PN</t>
  </si>
  <si>
    <t>PL</t>
  </si>
  <si>
    <t>PT</t>
  </si>
  <si>
    <t>PR</t>
  </si>
  <si>
    <t>QA</t>
  </si>
  <si>
    <t>RE</t>
  </si>
  <si>
    <t>RO</t>
  </si>
  <si>
    <t>RU</t>
  </si>
  <si>
    <t>RW</t>
  </si>
  <si>
    <t>BL</t>
  </si>
  <si>
    <t>SH</t>
  </si>
  <si>
    <t>KN</t>
  </si>
  <si>
    <t>LC</t>
  </si>
  <si>
    <t>MF</t>
  </si>
  <si>
    <t>PM</t>
  </si>
  <si>
    <t>VC</t>
  </si>
  <si>
    <t>WS</t>
  </si>
  <si>
    <t>SM</t>
  </si>
  <si>
    <t>ST</t>
  </si>
  <si>
    <t>SA</t>
  </si>
  <si>
    <t>SN</t>
  </si>
  <si>
    <t>RS</t>
  </si>
  <si>
    <t>SC</t>
  </si>
  <si>
    <t>SL</t>
  </si>
  <si>
    <t>SG</t>
  </si>
  <si>
    <t>SX</t>
  </si>
  <si>
    <t>SK</t>
  </si>
  <si>
    <t>SI</t>
  </si>
  <si>
    <t>SB</t>
  </si>
  <si>
    <t>SO</t>
  </si>
  <si>
    <t>ZA</t>
  </si>
  <si>
    <t>GS</t>
  </si>
  <si>
    <t>SS</t>
  </si>
  <si>
    <t>ES</t>
  </si>
  <si>
    <t>LK</t>
  </si>
  <si>
    <t>SD</t>
  </si>
  <si>
    <t>SR</t>
  </si>
  <si>
    <t>SJ</t>
  </si>
  <si>
    <t>SZ</t>
  </si>
  <si>
    <t>SE</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</si>
  <si>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</si>
  <si>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</si>
  <si>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</si>
  <si>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</si>
  <si>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</si>
  <si>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</si>
  <si>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</si>
  <si>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</si>
  <si>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</si>
  <si>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</si>
  <si>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</si>
  <si>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</si>
  <si>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</si>
  <si>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</si>
  <si>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</si>
  <si>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</si>
  <si>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</si>
  <si>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</si>
  <si>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</si>
  <si>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</si>
  <si>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</si>
  <si>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</si>
  <si>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</si>
  <si>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</si>
  <si>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</si>
  <si>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</si>
  <si>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</si>
  <si>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</si>
  <si>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</si>
  <si>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</si>
  <si>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</si>
  <si>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</si>
  <si>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</si>
  <si>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</si>
  <si>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ssmt-cor_2022-12-31.xsd#ssmt_AmountOfIndebtednessInForeignCurrency</t>
  </si>
  <si>
    <t>ssmt-cor_2022-12-31.xsd#ssmt_EquivalentAmountOfIndebtednessOfForeignCurrencyInLocalCurrency</t>
  </si>
  <si>
    <t>Amount of the indebtedness in foreign currency</t>
  </si>
  <si>
    <t>Equivalent amount of the indebtedness of foreign currency in MYR</t>
  </si>
  <si>
    <t>ssmt-dei_NewCompanyRegistrationNumber</t>
  </si>
  <si>
    <t>197501000529</t>
  </si>
  <si>
    <t>ssmt-dei_CompanyRegistrationNumber</t>
  </si>
  <si>
    <t/>
  </si>
  <si>
    <t>ssmt-dei_NameOfReportingEntity</t>
  </si>
  <si>
    <t>AMWAY (MALAYSIA) SDN BHD</t>
  </si>
  <si>
    <t>ssmt-dei_FormerNameOfCompany</t>
  </si>
  <si>
    <t>ssmt-dei_OriginOfCompany</t>
  </si>
  <si>
    <t>Incorporated in Malaysia</t>
  </si>
  <si>
    <t>ssmt-dei_StatusOfCompany</t>
  </si>
  <si>
    <t>Private company</t>
  </si>
  <si>
    <t>ssmt-dei_TypeOfCompany</t>
  </si>
  <si>
    <t>Company limited by shares</t>
  </si>
  <si>
    <t>ssmt-dei_ApplicationOfSubmission</t>
  </si>
  <si>
    <t>Ordinary filing</t>
  </si>
  <si>
    <t>ssmt-dei_StatutoryDeclarationForRectification</t>
  </si>
  <si>
    <t>ssmt-dei_CourtOrderReferenceNumber</t>
  </si>
  <si>
    <t>ssmt-dei_DisclosureOfFinancialStatementsPreparationForCurrentSubmission</t>
  </si>
  <si>
    <t>Subsequent preparation of financial statements</t>
  </si>
  <si>
    <t>ssmt-dei_CompanyCurrentFinancialYearStartDate</t>
  </si>
  <si>
    <t>01/01/2024</t>
  </si>
  <si>
    <t>ssmt-dei_CompanyCurrentFinancialYearEndDate</t>
  </si>
  <si>
    <t>31/12/2024</t>
  </si>
  <si>
    <t>ssmt-dei_CompanyPreviousFinancialYearStartDate</t>
  </si>
  <si>
    <t>01/01/2023</t>
  </si>
  <si>
    <t>ssmt-dei_CompanyPreviousFinancialYearEndDate</t>
  </si>
  <si>
    <t>31/12/2023</t>
  </si>
  <si>
    <t>ssmt-dei_StatusOfCarryingOnBusinessDuringFinancialYear</t>
  </si>
  <si>
    <t>Carrying on business activities</t>
  </si>
  <si>
    <t>ssmt-dei_DisclosureOfFinancialStatementsAuditStatus</t>
  </si>
  <si>
    <t>Audited</t>
  </si>
  <si>
    <t>ssmt-dei_AuditExemptionCategory</t>
  </si>
  <si>
    <t>ssmt-dei_BasisOfAccountingStandardsAppliedToPrepareFinancialStatements</t>
  </si>
  <si>
    <t>Malaysian Financial Reporting Standards</t>
  </si>
  <si>
    <t>ssmt-dei_DisclosureOfOtherAccountingStandardsApplied</t>
  </si>
  <si>
    <t>ssmt-dei_TypeOfSubmission</t>
  </si>
  <si>
    <t>FS-MFRS</t>
  </si>
  <si>
    <t>MPERS:ssmt-dei-ee-mpers_NatureOfFinancialStatements,MFRS:ssmt-dei-ee-mfrs_NatureOfFinancialStatements,FS1965:ssmt-dei-1965_NatureOfFinancialStatements</t>
  </si>
  <si>
    <t>Separate</t>
  </si>
  <si>
    <t>ssmt-dei-ee-mfrs_NatureOfFinancialStatements</t>
  </si>
  <si>
    <t>ssmt-dei_DescriptionOfPresentationCurrency</t>
  </si>
  <si>
    <t>Malaysian Ringgit (MYR)</t>
  </si>
  <si>
    <t>ssmt-dei_DescriptionOfFunctionalCurrency</t>
  </si>
  <si>
    <t>ssmt-dei_LevelOfRoundingUsedInFinancialStatements</t>
  </si>
  <si>
    <t>In thousands ('000')</t>
  </si>
  <si>
    <t>ssmt-dei_NameAndVersionOfSoftwareUsedToGenerateXBRLFile</t>
  </si>
  <si>
    <t>MBRS_Preparation_Tool v2.2</t>
  </si>
  <si>
    <t>ssmt-dei_TaxonomyVersion</t>
  </si>
  <si>
    <t>SSMxT_2022v1.0</t>
  </si>
  <si>
    <t>ssmt_DisclosureOnWhetherCompanysSharesAreTradedOnAnyOfficialStockExchange</t>
  </si>
  <si>
    <t>Listed</t>
  </si>
  <si>
    <t>ssmt_DisclosureOfWhetherCompanyRegulatedByBankNegaraMalaysiaAtFinancialYearEnd</t>
  </si>
  <si>
    <t>Company not regulated by Bank Negara Malaysia</t>
  </si>
  <si>
    <t>ssmt_DescriptionOnWhetherCompanyHadAppliedForAnyExemptionWaiverReliefOrExtensionOfTimeWithRegardToAnnualReturnOrFinancialStatementsAndReportsFromRegistrarOrMinister</t>
  </si>
  <si>
    <t>No</t>
  </si>
  <si>
    <t>ssmt_MethodUsedForPreparingStatementOfFinancialPosition</t>
  </si>
  <si>
    <t>Current-Noncurrent</t>
  </si>
  <si>
    <t>ssmt_MethodUsedForPreparingStatementOfProfitOrLoss</t>
  </si>
  <si>
    <t>Function of expense</t>
  </si>
  <si>
    <t>ssmt_MethodUsedForPreparingStatementOfComprehensiveIncome</t>
  </si>
  <si>
    <t>Before tax</t>
  </si>
  <si>
    <t>ssmt_MethodUsedForRepresentingChangesInAnEntitysEquity</t>
  </si>
  <si>
    <t>ssmt_MethodUsedForPreparingStatementOfCashFlows</t>
  </si>
  <si>
    <t>Indirect</t>
  </si>
  <si>
    <t>ssmt_DisclosureOnWhetherComparativePeriodValuesAreRestated</t>
  </si>
  <si>
    <t>TaxonomyVersion</t>
  </si>
  <si>
    <t>1.0</t>
  </si>
  <si>
    <t>TaxonomyPath</t>
  </si>
  <si>
    <t>https/mbrs.ssm.com.my/taxonomy/SSMxT2022v1.0/rep/ssm/ca-2016/fs/mfrs/ssmt-fs-mfrs_2022-12-31_entry_point.xsd</t>
  </si>
  <si>
    <t>ToolLanguage</t>
  </si>
  <si>
    <t>en</t>
  </si>
  <si>
    <t>PackageName</t>
  </si>
  <si>
    <t>FS</t>
  </si>
  <si>
    <t>CreateTemplate</t>
  </si>
  <si>
    <t>1</t>
  </si>
  <si>
    <t>IsImport</t>
  </si>
  <si>
    <t>0</t>
  </si>
  <si>
    <t>MYR'000</t>
  </si>
  <si>
    <t>529ff12d-e989-41d3-b834-6513adcedc61:~:AtleastOneValueInAnyLayout:~:True:~:&lt;?xml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/&gt;:~:http://xbrl.ssm.com.my/role/ssm/rol_ssmt-dei-fs-mfrs_2022-12-31/ssmt-dei-fs-mfrs_2022-12-31_role-010000:~:None</t>
  </si>
  <si>
    <t>9113df73-46c5-408f-9235-ab46a26a4c6e:~:FilingInfo_1:~:NotMandatory:~:False:~:0:~:True:~:&lt;?xml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/&gt;:~:LytLin:~::~:False:~:True:~:ssmt-dei-cor_2022-12-31.xsd#ssmt-dei_FilingInformationAbstract@http://www.xbrl.org/2003/role/label:~:</t>
  </si>
  <si>
    <t>#PRIM#</t>
  </si>
  <si>
    <t>#TABLE#</t>
  </si>
  <si>
    <t>#LAYOUTSCSR#</t>
  </si>
  <si>
    <t>#LAYOUTECSR#</t>
  </si>
  <si>
    <t>#LAYOUTSCER#</t>
  </si>
  <si>
    <t>#LAYOUTECER#</t>
  </si>
  <si>
    <t>ssmt-dei-cor_2022-12-31.xsd#ssmt-dei_FilingInformationAbstract</t>
  </si>
  <si>
    <t>ssmt-dei-cor_2022-12-31.xsd#ssmt-dei_GeneralFilingInformationAbstract</t>
  </si>
  <si>
    <t>ssmt-dei-cor_2022-12-31.xsd#ssmt-dei_NewCompanyRegistrationNumber</t>
  </si>
  <si>
    <t>ssmt-dei-cor_2022-12-31.xsd#ssmt-dei_CompanyRegistrationNumber</t>
  </si>
  <si>
    <t>ssmt-dei-cor_2022-12-31.xsd#ssmt-dei_NameOfReportingEntity</t>
  </si>
  <si>
    <t>ssmt-dei-cor_2022-12-31.xsd#ssmt-dei_FormerNameOfCompany</t>
  </si>
  <si>
    <t>ssmt-dei-cor_2022-12-31.xsd#ssmt-dei_OriginOfCompany</t>
  </si>
  <si>
    <t>ssmt-dei-cor_2022-12-31.xsd#ssmt-dei_StatusOfCompany</t>
  </si>
  <si>
    <t>ssmt-dei-cor_2022-12-31.xsd#ssmt-dei_TypeOfCompany</t>
  </si>
  <si>
    <t>ssmt-dei-cor_2022-12-31.xsd#ssmt-dei_ApplicationOfSubmission</t>
  </si>
  <si>
    <t>ssmt-dei-cor_2022-12-31.xsd#ssmt-dei_StatutoryDeclarationForRectification</t>
  </si>
  <si>
    <t>ssmt-dei-cor_2022-12-31.xsd#ssmt-dei_CourtOrderReferenceNumber</t>
  </si>
  <si>
    <t>ssmt-dei-cor_2022-12-31.xsd#ssmt-dei_DisclosureOfFinancialStatementsPreparationForCurrentSubmission</t>
  </si>
  <si>
    <t>ssmt-dei-cor_2022-12-31.xsd#ssmt-dei_CompanyCurrentFinancialYearStartDate</t>
  </si>
  <si>
    <t>ssmt-dei-cor_2022-12-31.xsd#ssmt-dei_CompanyCurrentFinancialYearEndDate</t>
  </si>
  <si>
    <t>ssmt-dei-cor_2022-12-31.xsd#ssmt-dei_CompanyPreviousFinancialYearStartDate</t>
  </si>
  <si>
    <t>ssmt-dei-cor_2022-12-31.xsd#ssmt-dei_CompanyPreviousFinancialYearEndDate</t>
  </si>
  <si>
    <t>ssmt-dei-cor_2022-12-31.xsd#ssmt-dei_StatusOfCarryingOnBusinessDuringFinancialYear</t>
  </si>
  <si>
    <t>ssmt-dei-cor_2022-12-31.xsd#ssmt-dei_DisclosureOfFinancialStatementsAuditStatus</t>
  </si>
  <si>
    <t>ssmt-dei-cor_2022-12-31.xsd#ssmt-dei_AuditExemptionCategory</t>
  </si>
  <si>
    <t>ssmt-dei-cor_2022-12-31.xsd#ssmt-dei_BasisOfAccountingStandardsAppliedToPrepareFinancialStatements</t>
  </si>
  <si>
    <t>ssmt-dei-cor_2022-12-31.xsd#ssmt-dei_DisclosureOfOtherAccountingStandardsApplied</t>
  </si>
  <si>
    <t>ssmt-dei-cor_2022-12-31.xsd#ssmt-dei_TypeOfSubmission</t>
  </si>
  <si>
    <t>ssmt-dei-ee-mfrs_2022-12-31.xsd#ssmt-dei-ee-mfrs_NatureOfFinancialStatements</t>
  </si>
  <si>
    <t>ssmt-dei-cor_2022-12-31.xsd#ssmt-dei_DescriptionOfPresentationCurrency</t>
  </si>
  <si>
    <t>ssmt-dei-cor_2022-12-31.xsd#ssmt-dei_DescriptionOfFunctionalCurrency</t>
  </si>
  <si>
    <t>ssmt-dei-cor_2022-12-31.xsd#ssmt-dei_LevelOfRoundingUsedInFinancialStatements</t>
  </si>
  <si>
    <t>ssmt-dei-cor_2022-12-31.xsd#ssmt-dei_NameAndVersionOfSoftwareUsedToGenerateXBRLFile</t>
  </si>
  <si>
    <t>ssmt-dei-cor_2022-12-31.xsd#ssmt-dei_TaxonomyVersion</t>
  </si>
  <si>
    <t>Filing Information</t>
  </si>
  <si>
    <t>General Filing Information</t>
  </si>
  <si>
    <t>Company registration number</t>
  </si>
  <si>
    <t>Former name of the company</t>
  </si>
  <si>
    <t>Statutory Declaration for rectification</t>
  </si>
  <si>
    <t>Court Order reference number</t>
  </si>
  <si>
    <t>Company's previous financial year start date</t>
  </si>
  <si>
    <t>Company's previous financial year end date</t>
  </si>
  <si>
    <t>Audit exemption category</t>
  </si>
  <si>
    <t>Disclosure of other accounting standards applied</t>
  </si>
  <si>
    <t>Description of functional currency</t>
  </si>
  <si>
    <t>Edit Filing Information</t>
  </si>
  <si>
    <r>
      <t>*</t>
    </r>
    <r>
      <rPr>
        <sz val="10"/>
        <color indexed="8"/>
        <rFont val="Verdana"/>
        <family val="2"/>
      </rPr>
      <t>New Company registration number</t>
    </r>
  </si>
  <si>
    <r>
      <t>*</t>
    </r>
    <r>
      <rPr>
        <sz val="10"/>
        <color indexed="8"/>
        <rFont val="Verdana"/>
        <family val="2"/>
      </rPr>
      <t>Name of company</t>
    </r>
  </si>
  <si>
    <r>
      <t>*</t>
    </r>
    <r>
      <rPr>
        <sz val="10"/>
        <color indexed="8"/>
        <rFont val="Verdana"/>
        <family val="2"/>
      </rPr>
      <t>Origin of company</t>
    </r>
  </si>
  <si>
    <r>
      <t>*</t>
    </r>
    <r>
      <rPr>
        <sz val="10"/>
        <color indexed="8"/>
        <rFont val="Verdana"/>
        <family val="2"/>
      </rPr>
      <t>Status of company</t>
    </r>
  </si>
  <si>
    <r>
      <t>*</t>
    </r>
    <r>
      <rPr>
        <sz val="10"/>
        <color indexed="8"/>
        <rFont val="Verdana"/>
        <family val="2"/>
      </rPr>
      <t>Types of company</t>
    </r>
  </si>
  <si>
    <r>
      <t>*</t>
    </r>
    <r>
      <rPr>
        <sz val="10"/>
        <color indexed="8"/>
        <rFont val="Verdana"/>
        <family val="2"/>
      </rPr>
      <t>Application of submission</t>
    </r>
  </si>
  <si>
    <r>
      <t>*</t>
    </r>
    <r>
      <rPr>
        <sz val="10"/>
        <color indexed="8"/>
        <rFont val="Verdana"/>
        <family val="2"/>
      </rPr>
      <t>Disclosure of financial statements preparation for current submission</t>
    </r>
  </si>
  <si>
    <r>
      <t>*</t>
    </r>
    <r>
      <rPr>
        <sz val="10"/>
        <color indexed="8"/>
        <rFont val="Verdana"/>
        <family val="2"/>
      </rPr>
      <t>Company's current financial year start date</t>
    </r>
  </si>
  <si>
    <r>
      <t>*</t>
    </r>
    <r>
      <rPr>
        <sz val="10"/>
        <color indexed="8"/>
        <rFont val="Verdana"/>
        <family val="2"/>
      </rPr>
      <t>Company's current financial year end date</t>
    </r>
  </si>
  <si>
    <r>
      <t>*</t>
    </r>
    <r>
      <rPr>
        <sz val="10"/>
        <color indexed="8"/>
        <rFont val="Verdana"/>
        <family val="2"/>
      </rPr>
      <t>Status of carrying on business during the financial year</t>
    </r>
  </si>
  <si>
    <r>
      <t>*</t>
    </r>
    <r>
      <rPr>
        <sz val="10"/>
        <color indexed="8"/>
        <rFont val="Verdana"/>
        <family val="2"/>
      </rPr>
      <t>Disclosure of financial statements audit status</t>
    </r>
  </si>
  <si>
    <r>
      <t>*</t>
    </r>
    <r>
      <rPr>
        <sz val="10"/>
        <color indexed="8"/>
        <rFont val="Verdana"/>
        <family val="2"/>
      </rPr>
      <t>Basis of accounting standards applied to prepare the financial statements</t>
    </r>
  </si>
  <si>
    <r>
      <t>*</t>
    </r>
    <r>
      <rPr>
        <sz val="10"/>
        <color indexed="8"/>
        <rFont val="Verdana"/>
        <family val="2"/>
      </rPr>
      <t>Type of submission</t>
    </r>
  </si>
  <si>
    <r>
      <t>*</t>
    </r>
    <r>
      <rPr>
        <sz val="10"/>
        <color indexed="8"/>
        <rFont val="Verdana"/>
        <family val="2"/>
      </rPr>
      <t>Nature of financial statements</t>
    </r>
  </si>
  <si>
    <r>
      <t>*</t>
    </r>
    <r>
      <rPr>
        <sz val="10"/>
        <color indexed="8"/>
        <rFont val="Verdana"/>
        <family val="2"/>
      </rPr>
      <t>Description of presentation currency</t>
    </r>
  </si>
  <si>
    <r>
      <t>*</t>
    </r>
    <r>
      <rPr>
        <sz val="10"/>
        <color indexed="8"/>
        <rFont val="Verdana"/>
        <family val="2"/>
      </rPr>
      <t>Level of rounding used in financial statements</t>
    </r>
  </si>
  <si>
    <r>
      <t>*</t>
    </r>
    <r>
      <rPr>
        <sz val="10"/>
        <color indexed="8"/>
        <rFont val="Verdana"/>
        <family val="2"/>
      </rPr>
      <t>Name and version of software used to generate XBRL file</t>
    </r>
  </si>
  <si>
    <r>
      <t>*</t>
    </r>
    <r>
      <rPr>
        <sz val="10"/>
        <color indexed="8"/>
        <rFont val="Verdana"/>
        <family val="2"/>
      </rPr>
      <t>Taxonomy version</t>
    </r>
  </si>
  <si>
    <t>FS-MFRS  Filing Information</t>
  </si>
  <si>
    <r>
      <t>*</t>
    </r>
    <r>
      <rPr>
        <sz val="10"/>
        <color indexed="8"/>
        <rFont val="Verdana"/>
        <family val="2"/>
      </rPr>
      <t xml:space="preserve"> denotes mandatory items to be reported</t>
    </r>
  </si>
  <si>
    <t>c6385edc-8d86-45a1-a751-bbee2d4934b0:~:AtleastOneValueInAnyLayout:~:True:~:&lt;?xml version="1.0" encoding="utf-16"?&gt;_x000D_
&lt;Customization xmlns:xsi="http://www.w3.org/2001/XMLSchema-instance" xmlns:xsd="http://www.w3.org/2001/XMLSchema" ComparitiveDate="False" LayoutByDate="False" LayoutByCompany="False" ShowAllDomains="True" TotalDomain="False" DefaultDates="1" /&gt;:~:http://xbrl.ssm.com.my/role/ssm/rol_ssmt-fs-mfrs_2022-12-31/ssmt-fs-mfrs_2022-12-31_role-020000:~:None</t>
  </si>
  <si>
    <t>2020b569-fbf5-4c8c-8b47-a5af94d1af0e:~:SOF_1:~:NotMandatory:~:False:~:0:~:True:~:&lt;?xml version="1.0" encoding="utf-16"?&gt;_x000D_
&lt;Customization xmlns:xsi="http://www.w3.org/2001/XMLSchema-instance" xmlns:xsd="http://www.w3.org/2001/XMLSchema" ComparitiveDate="False" LayoutByDate="False" LayoutByCompany="False" ShowAllDomains="True" TotalDomain="False" DefaultDates="1" /&gt;:~:LytLin:~::~:False:~:True:~:ssmt-cor_2022-12-31.xsd#ssmt_DisclosureOnScopeOfFilingAbstract@http://www.xbrl.org/2003/role/label:~:</t>
  </si>
  <si>
    <t>#STDTENDTDATE#</t>
  </si>
  <si>
    <t>#UNITSCALE#</t>
  </si>
  <si>
    <t>#STDT#</t>
  </si>
  <si>
    <t>#ENDT#</t>
  </si>
  <si>
    <t>ssmt-cor_2022-12-31.xsd#ssmt_DisclosureOnScopeOfFilingAbstract</t>
  </si>
  <si>
    <t>ssmt-cor_2022-12-31.xsd#ssmt_ParticularsOfFinancialStatementsAndReportsAbstract</t>
  </si>
  <si>
    <t>ssmt-cor_2022-12-31.xsd#ssmt_DateOfFinancialStatementsApprovedByBoardOfDirectors</t>
  </si>
  <si>
    <t>ssmt-cor_2022-12-31.xsd#ssmt_DateOfCirculationOfFinancialStatementsAndReportsToMembers</t>
  </si>
  <si>
    <t>ssmt-cor_2022-12-31.xsd#ssmt_DateOfFinancialStatementsAndReportsOfDirectorsAndAuditorsLaidInAnnualGeneralMeeting</t>
  </si>
  <si>
    <t>ssmt-cor_2022-12-31.xsd#ssmt_DateOfStatutoryDeclaration</t>
  </si>
  <si>
    <t>ssmt-cor_2022-12-31.xsd#ssmt_DisclosureOnWhetherCompanysSharesAreTradedOnAnyOfficialStockExchange</t>
  </si>
  <si>
    <t>ssmt-cor_2022-12-31.xsd#ssmt_DisclosureOfRegulationAppliedDuringIncorporationOfCompany</t>
  </si>
  <si>
    <t>ssmt-cor_2022-12-31.xsd#ssmt_DisclosureOnWhetherCompanyInvolvedAsManagementCompanyUnderInterestSchemeAct2016</t>
  </si>
  <si>
    <t>ssmt-cor_2022-12-31.xsd#ssmt_DisclosureOfWhetherCompanyRegulatedByBankNegaraMalaysiaAtFinancialYearEnd</t>
  </si>
  <si>
    <t>Disclosure on scope of filing</t>
  </si>
  <si>
    <t>Particulars of Financial Statements and Reports</t>
  </si>
  <si>
    <t>Date of financial statements and reports of the directors and auditors (if applicable) laid in annual general meeting</t>
  </si>
  <si>
    <t>Disclosure on whether company's shares are traded on any official stock exchange</t>
  </si>
  <si>
    <t>Disclosure of the regulation applied during incorporation of the company</t>
  </si>
  <si>
    <t>Disclosure on whether company involved as management company under Interest Scheme Act 2016</t>
  </si>
  <si>
    <t>Disclosure of whether company regulated by Bank Negara Malaysia at the financial year end</t>
  </si>
  <si>
    <t>e84081cf-ebb2-4f52-aba7-69a29a01f856:~:SOF_2:~:NotMandatory:~:False:~:1:~:True:~:&lt;?xml version="1.0" encoding="utf-16"?&gt;_x000D_
&lt;Customization xmlns:xsi="http://www.w3.org/2001/XMLSchema-instance" xmlns:xsd="http://www.w3.org/2001/XMLSchema" ComparitiveDate="False" LayoutByDate="False" LayoutByCompany="False" ShowAllDomains="True" TotalDomain="False" DefaultDates="1" /&gt;:~:LytHyc:~:ssmt-cor_2022-12-31.xsd#ssmt_NatureOfBusinessTable:~:False:~:True:~:ssmt-cor_2022-12-31.xsd#ssmt_DisclosureOnScopeOfFilingAbstract@http://www.xbrl.org/2003/role/label::ssmt-cor_2022-12-31.xsd#ssmt_DetailsOfPrincipalActivitiesOfBusinessAbstract@http://www.xbrl.org/2003/role/label::ssmt-cor_2022-12-31.xsd#ssmt_NatureOfBusinessLineItems@http://www.xbrl.org/2003/role/label:~:ssmt-cor_2022-12-31.xsd#ssmt_NatureOfBusinessTable</t>
  </si>
  <si>
    <t>#DOM#</t>
  </si>
  <si>
    <t>ssmt-cor_2022-12-31.xsd#ssmt_MSICCode</t>
  </si>
  <si>
    <t>ssmt-cor_2022-12-31.xsd#ssmt_DescriptionOfBusiness</t>
  </si>
  <si>
    <t>ssmt-cor_2022-12-31.xsd#ssmt_NatureOfBusinessTable::ssmt-cor_2022-12-31.xsd#ssmt_NatureOfBusinessAxis::ssmt-cor_2022-12-31.xsd#ssmt_BusinessOneMember</t>
  </si>
  <si>
    <t>ssmt-cor_2022-12-31.xsd#ssmt_NatureOfBusinessTable::ssmt-cor_2022-12-31.xsd#ssmt_NatureOfBusinessAxis::ssmt-cor_2022-12-31.xsd#ssmt_BusinessTwoMember</t>
  </si>
  <si>
    <t>ssmt-cor_2022-12-31.xsd#ssmt_NatureOfBusinessTable::ssmt-cor_2022-12-31.xsd#ssmt_NatureOfBusinessAxis::ssmt-cor_2022-12-31.xsd#ssmt_BusinessThreeMember</t>
  </si>
  <si>
    <t>Business 1</t>
  </si>
  <si>
    <t>Business 2</t>
  </si>
  <si>
    <t>Business 3</t>
  </si>
  <si>
    <t>ssmt-cor_2022-12-31.xsd#ssmt_NatureOfBusinessTable::ssmt-cor_2022-12-31.xsd#ssmt_NatureOfBusinessAxis</t>
  </si>
  <si>
    <t>2fb1de5a-7652-43fb-9d2d-73c5a08a683b:~:SOF_3:~:NotMandatory:~:False:~:2:~:True:~:&lt;?xml version="1.0" encoding="utf-16"?&gt;_x000D_
&lt;Customization xmlns:xsi="http://www.w3.org/2001/XMLSchema-instance" xmlns:xsd="http://www.w3.org/2001/XMLSchema" ComparitiveDate="False" LayoutByDate="False" LayoutByCompany="False" ShowAllDomains="True" TotalDomain="False" DefaultDates="1" /&gt;:~:LytLin:~::~:False:~:True:~:ssmt-cor_2022-12-31.xsd#ssmt_DisclosureOnScopeOfFilingAbstract@http://www.xbrl.org/2003/role/label:~:</t>
  </si>
  <si>
    <t>ssmt-cor_2022-12-31.xsd#ssmt_ApprovedApplicationFromRegistrarOrMinisterAbstract</t>
  </si>
  <si>
    <t>ssmt-cor_2022-12-31.xsd#ssmt_DescriptionOnWhetherCompanyHadAppliedForAnyExemptionWaiverReliefOrExtensionOfTimeWithRegardToAnnualReturnOrFinancialStatementsAndReportsFromRegistrarOrMinister</t>
  </si>
  <si>
    <t>ssmt-cor_2022-12-31.xsd#ssmt_DescriptionOnWhetherCompanyHadAppliedForExemptionFromCoincidingForeignSubsidiaryFinancialYearEndWithHoldingCompany</t>
  </si>
  <si>
    <t>ssmt-cor_2022-12-31.xsd#ssmt_DescriptionOnWhetherCompanyHadAppliedFromFilingFinancialStatementsAndReportsInFullXBRLFormat</t>
  </si>
  <si>
    <t>ssmt-cor_2022-12-31.xsd#ssmt_DescriptionOnWhetherCompanyHadAppliedToWaiveLodgementOfForeignStatementsByForeignCompany</t>
  </si>
  <si>
    <t>ssmt-cor_2022-12-31.xsd#ssmt_DescriptionOnWhetherCompanyHadAppliedForReliefFromRequirementsAsToFormAndContentsOfDirectorsReport</t>
  </si>
  <si>
    <t>ssmt-cor_2022-12-31.xsd#ssmt_DescriptionOnWhetherCompanyHadAppliedForReliefFromRequirementsAsToFormAndContentsOfFinancialStatements</t>
  </si>
  <si>
    <t>ssmt-cor_2022-12-31.xsd#ssmt_DescriptionOnWhetherCompanyHadAppliedForExtensionOfTimeForCirculationOfFinancialStatementsAndReports</t>
  </si>
  <si>
    <t>ssmt-cor_2022-12-31.xsd#ssmt_DescriptionOnWhetherCompanyHadAppliedForExtensionOfTimeToLodgeFinancialStatementsAndReports</t>
  </si>
  <si>
    <t>ssmt-cor_2022-12-31.xsd#ssmt_DescriptionOnWhetherCompanyHadAppliedForExtensionOfTimeForHoldingAnnualGeneralMeeting</t>
  </si>
  <si>
    <t>ssmt-cor_2022-12-31.xsd#ssmt_DescriptionOnWhetherCompanyHadAppliedForExtensionOfTimeToLodgeAnnualReturn</t>
  </si>
  <si>
    <t>ssmt-cor_2022-12-31.xsd#ssmt_DescriptionOnWhetherCompanyHadAppliedAnyExemptionWaiverReliefOrExtensionOfTimeWithRegardsToFinancialStatementsAndReportsOrAnnualReturnToMinister</t>
  </si>
  <si>
    <t>ssmt-cor_2022-12-31.xsd#ssmt_MethodUsedForPreparingStatementOfFinancialPosition</t>
  </si>
  <si>
    <t>ssmt-cor_2022-12-31.xsd#ssmt_MethodUsedForPreparingStatementOfProfitOrLoss</t>
  </si>
  <si>
    <t>ssmt-cor_2022-12-31.xsd#ssmt_MethodUsedForPreparingStatementOfComprehensiveIncome</t>
  </si>
  <si>
    <t>ssmt-cor_2022-12-31.xsd#ssmt_MethodUsedForPreparingStatementOfCashFlows</t>
  </si>
  <si>
    <t>ssmt-cor_2022-12-31.xsd#ssmt_ChangesFromSubsequentXBRLFinancialStatementFilingAbstract</t>
  </si>
  <si>
    <t>ssmt-cor_2022-12-31.xsd#ssmt_DisclosureOnWhetherComparativePeriodValuesAreRestated</t>
  </si>
  <si>
    <t>ssmt-cor_2022-12-31.xsd#ssmt_DisclosureOnWhetherOpeningStatementChangedDueToChangesInAccountingStandards</t>
  </si>
  <si>
    <t>ssmt-cor_2022-12-31.xsd#ssmt_DisclosureOnWhetherReclassificationOfPreviousFinancialStatementsChangedDueToChangesInAccountingStandards</t>
  </si>
  <si>
    <t>ssmt-cor_2022-12-31.xsd#ssmt_DisclosureOnWhetherCompanyChangedDurationOfFinancialReportingPeriod</t>
  </si>
  <si>
    <t>Approved Application From The Registrar Or Minister</t>
  </si>
  <si>
    <t>Description on whether company had applied for any exemption, waiver, relief or extension of time with regards to annual return or financial statements and reports from Registrar or Minister</t>
  </si>
  <si>
    <t>Method used for preparing Statement of Financial Position</t>
  </si>
  <si>
    <t>Method used for preparing Statement of Profit or Loss</t>
  </si>
  <si>
    <t>Method used for preparing Statement of Comprehensive Income</t>
  </si>
  <si>
    <t>Method used for preparing Statement of Cash Flows</t>
  </si>
  <si>
    <t>Changes From Subsequent XBRL Financial Statements Filing</t>
  </si>
  <si>
    <r>
      <t>*</t>
    </r>
    <r>
      <rPr>
        <sz val="10"/>
        <color indexed="8"/>
        <rFont val="Verdana"/>
        <family val="2"/>
      </rPr>
      <t>Date of financial statements approved by Board of Directors</t>
    </r>
  </si>
  <si>
    <r>
      <t>*</t>
    </r>
    <r>
      <rPr>
        <sz val="10"/>
        <color indexed="8"/>
        <rFont val="Verdana"/>
        <family val="2"/>
      </rPr>
      <t>Date of circulation of financial statements and reports to members</t>
    </r>
  </si>
  <si>
    <r>
      <t>*</t>
    </r>
    <r>
      <rPr>
        <sz val="10"/>
        <color indexed="8"/>
        <rFont val="Verdana"/>
        <family val="2"/>
      </rPr>
      <t>Date of Statutory Declaration</t>
    </r>
  </si>
  <si>
    <r>
      <t>*</t>
    </r>
    <r>
      <rPr>
        <sz val="10"/>
        <color indexed="9"/>
        <rFont val="Verdana"/>
        <family val="2"/>
      </rPr>
      <t>MSIC Code</t>
    </r>
  </si>
  <si>
    <r>
      <t>*</t>
    </r>
    <r>
      <rPr>
        <sz val="10"/>
        <color indexed="9"/>
        <rFont val="Verdana"/>
        <family val="2"/>
      </rPr>
      <t>Description of business</t>
    </r>
  </si>
  <si>
    <r>
      <t>*</t>
    </r>
    <r>
      <rPr>
        <sz val="10"/>
        <color indexed="8"/>
        <rFont val="Verdana"/>
        <family val="2"/>
      </rPr>
      <t>Description on whether company had applied for exemption from coinciding foreign subsidiary financial year end with holding company</t>
    </r>
  </si>
  <si>
    <r>
      <t>*</t>
    </r>
    <r>
      <rPr>
        <sz val="10"/>
        <color indexed="8"/>
        <rFont val="Verdana"/>
        <family val="2"/>
      </rPr>
      <t>Description on whether company had applied for exemption from filing financial statements and reports in full XBRL format.</t>
    </r>
  </si>
  <si>
    <r>
      <t>*</t>
    </r>
    <r>
      <rPr>
        <sz val="10"/>
        <color indexed="8"/>
        <rFont val="Verdana"/>
        <family val="2"/>
      </rPr>
      <t>Description on whether company had applied to waive lodgement of financial statements by foreign company</t>
    </r>
  </si>
  <si>
    <r>
      <t>*</t>
    </r>
    <r>
      <rPr>
        <sz val="10"/>
        <color indexed="8"/>
        <rFont val="Verdana"/>
        <family val="2"/>
      </rPr>
      <t>Description on whether company had applied for relief from requirements as to form and contents of Director's report</t>
    </r>
  </si>
  <si>
    <r>
      <t>*</t>
    </r>
    <r>
      <rPr>
        <sz val="10"/>
        <color indexed="8"/>
        <rFont val="Verdana"/>
        <family val="2"/>
      </rPr>
      <t>Description on whether company had applied for relief from requirements as to form and contents of financial statements</t>
    </r>
  </si>
  <si>
    <r>
      <t>*</t>
    </r>
    <r>
      <rPr>
        <sz val="10"/>
        <color indexed="8"/>
        <rFont val="Verdana"/>
        <family val="2"/>
      </rPr>
      <t>Description on whether company had applied for extension of time for circulation of financial statements and reports</t>
    </r>
  </si>
  <si>
    <r>
      <t>*</t>
    </r>
    <r>
      <rPr>
        <sz val="10"/>
        <color indexed="8"/>
        <rFont val="Verdana"/>
        <family val="2"/>
      </rPr>
      <t>Description on whether company had applied for extension of time to lodge financial statements and reports</t>
    </r>
  </si>
  <si>
    <r>
      <t>*</t>
    </r>
    <r>
      <rPr>
        <sz val="10"/>
        <color indexed="8"/>
        <rFont val="Verdana"/>
        <family val="2"/>
      </rPr>
      <t>Description on whether company had applied for extension of time for circulation and holding annual general meeting</t>
    </r>
  </si>
  <si>
    <r>
      <t>*</t>
    </r>
    <r>
      <rPr>
        <sz val="10"/>
        <color indexed="8"/>
        <rFont val="Verdana"/>
        <family val="2"/>
      </rPr>
      <t>Description on whether company had applied for extension of time to lodge annual return</t>
    </r>
  </si>
  <si>
    <r>
      <t>*</t>
    </r>
    <r>
      <rPr>
        <sz val="10"/>
        <color indexed="8"/>
        <rFont val="Verdana"/>
        <family val="2"/>
      </rPr>
      <t>Description on whether company had applied any exemption, waiver, relief or extension of time with regards to annual return or financial statements and reports to Minister</t>
    </r>
  </si>
  <si>
    <r>
      <t>*</t>
    </r>
    <r>
      <rPr>
        <sz val="10"/>
        <color indexed="8"/>
        <rFont val="Verdana"/>
        <family val="2"/>
      </rPr>
      <t>Disclosure on whether comparative period values are restated</t>
    </r>
  </si>
  <si>
    <r>
      <t>*</t>
    </r>
    <r>
      <rPr>
        <sz val="10"/>
        <color indexed="8"/>
        <rFont val="Verdana"/>
        <family val="2"/>
      </rPr>
      <t>Disclosure on whether opening statements changed due to changes in accounting standards</t>
    </r>
  </si>
  <si>
    <r>
      <t>*</t>
    </r>
    <r>
      <rPr>
        <sz val="10"/>
        <color indexed="8"/>
        <rFont val="Verdana"/>
        <family val="2"/>
      </rPr>
      <t>Disclosure on whether reclassification of previous financial statements changed due to changes in accounting standards</t>
    </r>
  </si>
  <si>
    <r>
      <t>*</t>
    </r>
    <r>
      <rPr>
        <sz val="10"/>
        <color indexed="8"/>
        <rFont val="Verdana"/>
        <family val="2"/>
      </rPr>
      <t>Description on whether company changed the duration of financial reporting period</t>
    </r>
  </si>
  <si>
    <t>FS-MFRS  Scope of filing</t>
  </si>
  <si>
    <t>89b682df-712f-4e49-99ae-3acf6481ec99:~:AtleastOneValueInAnyLayout:~:True:~:&lt;?xml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/&gt;:~:http://xbrl.ssm.com.my/role/ssm/rol_ssmt-fs-mfrs_2022-12-31/ssmt-fs-mfrs_2022-12-31_role-120000:~:None</t>
  </si>
  <si>
    <t>13a921b6-de34-4a64-8117-dc7f972fcf23:~:DirectorsRep_1:~:NotMandatory:~:False:~:0:~:True:~:&lt;?xml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/&gt;:~:LytLin:~::~:False:~:True:~:ssmt-cor_2022-12-31.xsd#ssmt_DisclosureOnDirectorsReportAbstract@http://www.xbrl.org/2003/role/label:~:</t>
  </si>
  <si>
    <t>ssmt-cor_2022-12-31.xsd#ssmt_DisclosureOnDirectorsReportAbstract</t>
  </si>
  <si>
    <t>ssmt-cor_2022-12-31.xsd#ssmt_DirectorsReportAbstract</t>
  </si>
  <si>
    <t>ssmt-cor_2022-12-31.xsd#ssmt_DisclosureOfDirectorsReportExplanatory</t>
  </si>
  <si>
    <t>ssmt-cor_2022-12-31.xsd#ssmt_NumberOfDirectorsSigningDirectorsReport</t>
  </si>
  <si>
    <t>ssmt-cor_2022-12-31.xsd#ssmt_NameOfFirstDirectorWhoSignedDirectorsReport</t>
  </si>
  <si>
    <t>ssmt-cor_2022-12-31.xsd#ssmt_TypeOfIdentificationOfFirstDirectorWhoSignedDirectorsReport</t>
  </si>
  <si>
    <t>ssmt-cor_2022-12-31.xsd#ssmt_IdentificationNumberOfFirstDirectorWhoSignedDirectorsReport</t>
  </si>
  <si>
    <t>ssmt-cor_2022-12-31.xsd#ssmt_NameOfSecondDirectorWhoSignedDirectorsReport</t>
  </si>
  <si>
    <t>ssmt-cor_2022-12-31.xsd#ssmt_TypeOfIdentificationOfSecondDirectorWhoSignedDirectorsReport</t>
  </si>
  <si>
    <t>ssmt-cor_2022-12-31.xsd#ssmt_IdentificationNumberOfSecondDirectorWhoSignedDirectorsReport</t>
  </si>
  <si>
    <t>ssmt-cor_2022-12-31.xsd#ssmt_NameOfThirdDirectorWhoSignedDirectorsReport</t>
  </si>
  <si>
    <t>ssmt-cor_2022-12-31.xsd#ssmt_TypeOfIdentificationOfThirdDirectorWhoSignedDirectorsReport</t>
  </si>
  <si>
    <t>ssmt-cor_2022-12-31.xsd#ssmt_IdentificationNumberOfThirdDirectorWhoSignedDirectorsReport</t>
  </si>
  <si>
    <t>ssmt-cor_2022-12-31.xsd#ssmt_NameOfFourthDirectorWhoSignedDirectorsReport</t>
  </si>
  <si>
    <t>ssmt-cor_2022-12-31.xsd#ssmt_TypeOfIdentificationOfFourthDirectorWhoSignedDirectorsReport</t>
  </si>
  <si>
    <t>ssmt-cor_2022-12-31.xsd#ssmt_IdentificationNumberOfFourthDirectorWhoSignedDirectorsReport</t>
  </si>
  <si>
    <t>ssmt-cor_2022-12-31.xsd#ssmt_NameOfFifthDirectorWhoSignedDirectorsReport</t>
  </si>
  <si>
    <t>ssmt-cor_2022-12-31.xsd#ssmt_TypeOfIdentificationOfFifthDirectorWhoSignedDirectorsReport</t>
  </si>
  <si>
    <t>ssmt-cor_2022-12-31.xsd#ssmt_IdentificationNumberOfFifthDirectorWhoSignedDirectorsReport</t>
  </si>
  <si>
    <t>ssmt-cor_2022-12-31.xsd#ssmt_DisclosureOfStatusOfDividend</t>
  </si>
  <si>
    <t>ssmt-cor_2022-12-31.xsd#ssmt_DisclosureOfContingentOrOtherLiabilityBeingEnforceableWithinTwelveMonthsAfterEndOfFinancialYear</t>
  </si>
  <si>
    <t>ssmt-cor_2022-12-31.xsd#ssmt_DisclosureOfOccurenceOfAnySubstantialMaterialOrUnusualInNatureItemsTransactionsOrEvents</t>
  </si>
  <si>
    <t>ssmt-cor_2022-12-31.xsd#ssmt_DisclosureOfDirectorsReceivedOrBecomeEntitledToReceiveOtherBenefitsByReasonOfContractMadeByCompanyOrRelatedCorporation</t>
  </si>
  <si>
    <t>ssmt-cor_2022-12-31.xsd#ssmt_DateOfSigningDirectorsReport</t>
  </si>
  <si>
    <t>Disclosure on directors report</t>
  </si>
  <si>
    <t>Director's Report</t>
  </si>
  <si>
    <t>Name of second director who signed the director's report</t>
  </si>
  <si>
    <t>Type of identification of second director who signed Director's report</t>
  </si>
  <si>
    <t>Identification number of the second director who signed director's report</t>
  </si>
  <si>
    <t>Name of third director who signed the director's report</t>
  </si>
  <si>
    <t>Type of identification of third director who signed Director's report</t>
  </si>
  <si>
    <t>Identification number of the third director who signed director's report</t>
  </si>
  <si>
    <t>Name of fourth director who signed the director's report</t>
  </si>
  <si>
    <t>Type of identification of fourth director who signed Director's report</t>
  </si>
  <si>
    <t>Identification number of the fourth director who signed director's report</t>
  </si>
  <si>
    <t>Name of fifth director who signed the director's report</t>
  </si>
  <si>
    <t>Type of identification of fifth director who signed Director's report</t>
  </si>
  <si>
    <t>Identification number of the fifth director who signed director's report</t>
  </si>
  <si>
    <r>
      <t>*</t>
    </r>
    <r>
      <rPr>
        <sz val="10"/>
        <color indexed="8"/>
        <rFont val="Verdana"/>
        <family val="2"/>
      </rPr>
      <t>Disclosure of Director's Report</t>
    </r>
  </si>
  <si>
    <r>
      <t>*</t>
    </r>
    <r>
      <rPr>
        <sz val="10"/>
        <color indexed="8"/>
        <rFont val="Verdana"/>
        <family val="2"/>
      </rPr>
      <t>Number of directors signing Director's report</t>
    </r>
  </si>
  <si>
    <r>
      <t>*</t>
    </r>
    <r>
      <rPr>
        <sz val="10"/>
        <color indexed="8"/>
        <rFont val="Verdana"/>
        <family val="2"/>
      </rPr>
      <t>Name of first director who signed Director's report</t>
    </r>
  </si>
  <si>
    <r>
      <t>*</t>
    </r>
    <r>
      <rPr>
        <sz val="10"/>
        <color indexed="8"/>
        <rFont val="Verdana"/>
        <family val="2"/>
      </rPr>
      <t>Type of identification of first director who signed director's report</t>
    </r>
  </si>
  <si>
    <r>
      <t>*</t>
    </r>
    <r>
      <rPr>
        <sz val="10"/>
        <color indexed="8"/>
        <rFont val="Verdana"/>
        <family val="2"/>
      </rPr>
      <t>Identification number of the first director who signed director's report</t>
    </r>
  </si>
  <si>
    <r>
      <t>*</t>
    </r>
    <r>
      <rPr>
        <sz val="10"/>
        <color indexed="8"/>
        <rFont val="Verdana"/>
        <family val="2"/>
      </rPr>
      <t>Disclosure of status of dividend (final dividend)</t>
    </r>
  </si>
  <si>
    <r>
      <t>*</t>
    </r>
    <r>
      <rPr>
        <sz val="10"/>
        <color indexed="8"/>
        <rFont val="Verdana"/>
        <family val="2"/>
      </rPr>
      <t>Disclosure of contingent or other liability being enforceable within twelve months after the end of financial year</t>
    </r>
  </si>
  <si>
    <r>
      <t>*</t>
    </r>
    <r>
      <rPr>
        <sz val="10"/>
        <color indexed="8"/>
        <rFont val="Verdana"/>
        <family val="2"/>
      </rPr>
      <t>Disclosure of occurrence of any substantial, material or unusual in nature items, transactions or events</t>
    </r>
  </si>
  <si>
    <r>
      <t>*</t>
    </r>
    <r>
      <rPr>
        <sz val="10"/>
        <color indexed="8"/>
        <rFont val="Verdana"/>
        <family val="2"/>
      </rPr>
      <t>Disclosure of directors received or become entitled to receive other benefits by reason of contract made by company or related corporation</t>
    </r>
  </si>
  <si>
    <r>
      <t>*</t>
    </r>
    <r>
      <rPr>
        <sz val="10"/>
        <color indexed="8"/>
        <rFont val="Verdana"/>
        <family val="2"/>
      </rPr>
      <t>Date of signing director's report</t>
    </r>
  </si>
  <si>
    <t>FS-MFRS  Disclosure - Directors report</t>
  </si>
  <si>
    <t>6afd2ff7-526b-4c4e-8a46-10a5234226a2:~:AtleastOneValueInAnyLayout:~:True:~:&lt;?xml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/&gt;:~:http://xbrl.ssm.com.my/role/ssm/rol_ssmt-fs-mfrs_2022-12-31/ssmt-fs-mfrs_2022-12-31_role-120200:~:None</t>
  </si>
  <si>
    <t>fc01c29c-f543-4291-afce-4e8c7f2f2fa9:~:DirectorsBussRev_1:~:NotMandatory:~:False:~:0:~:True:~:&lt;?xml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/&gt;:~:LytLin:~::~:False:~:True:~:ssmt-cor_2022-12-31.xsd#ssmt_DisclosureOnDirectorsBusinessReviewAbstract@http://www.xbrl.org/2003/role/label:~:</t>
  </si>
  <si>
    <t>ssmt-cor_2022-12-31.xsd#ssmt_DisclosureOnDirectorsBusinessReviewAbstract</t>
  </si>
  <si>
    <t>ssmt-cor_2022-12-31.xsd#ssmt_DisclosureOfStatementByDirectorsForBusinessReviewExplanatory</t>
  </si>
  <si>
    <t>ssmt-cor_2022-12-31.xsd#ssmt_DisclosureOfBusinessReviewEitherOnEnvironmentEmployeesOrSocialAndCommunityIssues</t>
  </si>
  <si>
    <t>ssmt-cor_2022-12-31.xsd#ssmt_EnvironmentalMatters</t>
  </si>
  <si>
    <t>ssmt-cor_2022-12-31.xsd#ssmt_CompanysEmployees</t>
  </si>
  <si>
    <t>ssmt-cor_2022-12-31.xsd#ssmt_SocialAndCommunityIssues</t>
  </si>
  <si>
    <t>ssmt-cor_2022-12-31.xsd#ssmt_Others</t>
  </si>
  <si>
    <t>ssmt-cor_2022-12-31.xsd#ssmt_DisclosureOfOtherBusinessReviewApplied</t>
  </si>
  <si>
    <t>ssmt-cor_2022-12-31.xsd#ssmt_DetailsOfCompanyEmployeesAbstract</t>
  </si>
  <si>
    <t>ssmt-cor_2022-12-31.xsd#ssmt_NumberOfEmployees</t>
  </si>
  <si>
    <t>Disclosure on directors business review</t>
  </si>
  <si>
    <t>Disclosure of statement by directors for business review</t>
  </si>
  <si>
    <t>Disclosure of business review either on environmental, employees or social and community issues</t>
  </si>
  <si>
    <t>Environmental matters</t>
  </si>
  <si>
    <t>Company's employees</t>
  </si>
  <si>
    <t>Social and community issues</t>
  </si>
  <si>
    <t>Others</t>
  </si>
  <si>
    <t>Disclosure of other business review applied</t>
  </si>
  <si>
    <t>Details of company's employees</t>
  </si>
  <si>
    <r>
      <t>*</t>
    </r>
    <r>
      <rPr>
        <sz val="10"/>
        <color indexed="8"/>
        <rFont val="Verdana"/>
        <family val="2"/>
      </rPr>
      <t>Number of employees</t>
    </r>
  </si>
  <si>
    <t>FS-MFRS  Disclosure - Director business review</t>
  </si>
  <si>
    <t>478c4afb-57d6-43a8-b34d-80bb9ccf96ee:~:AtleastOneValueInAnyLayout:~:True:~:&lt;?xml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/&gt;:~:http://xbrl.ssm.com.my/role/ssm/rol_ssmt-fs-mfrs_2022-12-31/ssmt-fs-mfrs_2022-12-31_role-120100:~:None</t>
  </si>
  <si>
    <t>f0b350e2-fc54-40bd-bf29-d3e422671aed:~:StatOfDirectors_1:~:NotMandatory:~:False:~:0:~:True:~:&lt;?xml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/&gt;:~:LytLin:~::~:False:~:True:~:ssmt-cor_2022-12-31.xsd#ssmt_DisclosureOnStatementByDirectorsAbstract@http://www.xbrl.org/2003/role/label:~:</t>
  </si>
  <si>
    <t>ssmt-cor_2022-12-31.xsd#ssmt_DisclosureOnStatementByDirectorsAbstract</t>
  </si>
  <si>
    <t>ssmt-cor_2022-12-31.xsd#ssmt_StatementOfDirectorsAbstract</t>
  </si>
  <si>
    <t>ssmt-cor_2022-12-31.xsd#ssmt_DisclosureOfStatementByDirectorsExplanatory</t>
  </si>
  <si>
    <t>ssmt-cor_2022-12-31.xsd#ssmt_DisclosureOfDirectorsOpinionThatFinancialStatementsOrConsolidatedFinancialStatementsAreDrawnInAccordanceWithAccountingStandards</t>
  </si>
  <si>
    <t>ssmt-cor_2022-12-31.xsd#ssmt_NumberOfDirectorsSigningStatementByDirectors</t>
  </si>
  <si>
    <t>ssmt-cor_2022-12-31.xsd#ssmt_NameOfFirstDirectorWhoSignedStatementByDirectors</t>
  </si>
  <si>
    <t>ssmt-cor_2022-12-31.xsd#ssmt_DisclosureWhetherFirstDirectorIsAlsoPrimarilyResponsibleForFinancialManagementOfCompany</t>
  </si>
  <si>
    <t>ssmt-cor_2022-12-31.xsd#ssmt_TypeOfIdentificationOfFirstDirectorWhoSignedStatementByDirectors</t>
  </si>
  <si>
    <t>ssmt-cor_2022-12-31.xsd#ssmt_IdentificationNumberOfFirstDirectorWhoSignedStatementByDirectors</t>
  </si>
  <si>
    <t>ssmt-cor_2022-12-31.xsd#ssmt_NameOfSecondDirectorWhoSignedStatementByDirectors</t>
  </si>
  <si>
    <t>ssmt-cor_2022-12-31.xsd#ssmt_DisclosureWhetherSecondDirectorIsAlsoPrimarilyResponsibleForFinancialManagementOfCompany</t>
  </si>
  <si>
    <t>ssmt-cor_2022-12-31.xsd#ssmt_TypeOfIdentificationNumberOfSecondDirectorWhoSignedStatementByDirectors</t>
  </si>
  <si>
    <t>ssmt-cor_2022-12-31.xsd#ssmt_IdentificationNumberOfSecondDirectorWhoSignedStatementByDirectors</t>
  </si>
  <si>
    <t>ssmt-cor_2022-12-31.xsd#ssmt_NameOfThirdDirectorWhoSignedStatementByDirectors</t>
  </si>
  <si>
    <t>ssmt-cor_2022-12-31.xsd#ssmt_DisclosureWhetherThirdDirectorIsAlsoPrimarilyResponsibleForFinancialManagementOfTheCompany</t>
  </si>
  <si>
    <t>ssmt-cor_2022-12-31.xsd#ssmt_TypeOfIdentificationOfThirdDirectorWhoSignedStatementByDirectors</t>
  </si>
  <si>
    <t>ssmt-cor_2022-12-31.xsd#ssmt_IdentificationNumberOfThirdDirectorWhoSignedStatementByDirectors</t>
  </si>
  <si>
    <t>ssmt-cor_2022-12-31.xsd#ssmt_NameOfFourthDirectorWhoSignedStatementByDirectors</t>
  </si>
  <si>
    <t>ssmt-cor_2022-12-31.xsd#ssmt_DisclosureWhetherFourthDirectorIsAlsoPrimarilyResponsibleForFinancialManagementOfCompany</t>
  </si>
  <si>
    <t>ssmt-cor_2022-12-31.xsd#ssmt_TypeOfIdentificationOfFourthDirectorWhoSignedStatementByDirectors</t>
  </si>
  <si>
    <t>ssmt-cor_2022-12-31.xsd#ssmt_IdentificationNumberOfFourthDirectorWhoSignedStatementByDirectors</t>
  </si>
  <si>
    <t>ssmt-cor_2022-12-31.xsd#ssmt_NameOfFifthDirectorWhoSignedStatementByDirectors</t>
  </si>
  <si>
    <t>ssmt-cor_2022-12-31.xsd#ssmt_DisclosureWhetherFifthDirectorIsAlsoPrimarilyResponsibleForFinancialManagementOfCompany</t>
  </si>
  <si>
    <t>ssmt-cor_2022-12-31.xsd#ssmt_TypeOfIdentificationOfFifthDirectorWhoSignedStatementByDirectors</t>
  </si>
  <si>
    <t>ssmt-cor_2022-12-31.xsd#ssmt_IdentificationNumberOfFifthDirectorWhoSignedStatementByDirectors</t>
  </si>
  <si>
    <t>ssmt-cor_2022-12-31.xsd#ssmt_NameOfOtherPersonPrimarilyResponsibleForFinancialStatementsOfCompany</t>
  </si>
  <si>
    <t>ssmt-cor_2022-12-31.xsd#ssmt_TypeOfIdentificationOfOtherPersonPrimarilyResponsibleForFinancialStatementsOfCompany</t>
  </si>
  <si>
    <t>ssmt-cor_2022-12-31.xsd#ssmt_IdentificationNumberOfOtherPersonPrimarilyResponsibleForFinancialManagementOfCompany</t>
  </si>
  <si>
    <t>ssmt-cor_2022-12-31.xsd#ssmt_DateOfSigningStatementByDirectors</t>
  </si>
  <si>
    <t>Disclosure on statement by directors</t>
  </si>
  <si>
    <t>Statement by Directors</t>
  </si>
  <si>
    <t>Name of second director who signed Statement by Directors</t>
  </si>
  <si>
    <t>Disclosure whether the second director is also primarily responsible for financial management of the company</t>
  </si>
  <si>
    <t>Type of identification of second director who signed Statement by Directors</t>
  </si>
  <si>
    <t>Identification number of second director who signed Statement by Directors</t>
  </si>
  <si>
    <t>Name of third director who signed Statement by Directors</t>
  </si>
  <si>
    <t>Disclosure whether the third director is also primarily responsible for financial management of the company</t>
  </si>
  <si>
    <t>Type of identification of third director who signed Statement by Directors</t>
  </si>
  <si>
    <t>Identification number of third director who signed Statement by Directors</t>
  </si>
  <si>
    <t>Name of fourth director who signed Statement by Directors</t>
  </si>
  <si>
    <t>Disclosure whether the fourth director is also primarily responsible for financial management of the company</t>
  </si>
  <si>
    <t>Type of identification of fourth director who signed Statement by Directors</t>
  </si>
  <si>
    <t>Identification number of fourth director who signed Statement by Directors</t>
  </si>
  <si>
    <t>Name of fifth director who signed Statement by Directors</t>
  </si>
  <si>
    <t>Disclosure whether the fifth director is also primarily responsible for financial management of the company</t>
  </si>
  <si>
    <t>Type of identification of fifth director who signed Statement by Directors</t>
  </si>
  <si>
    <t>Identification number of fifth director who signed Statement by Directors</t>
  </si>
  <si>
    <t>Name of other person primarily responsible for financial management of the company</t>
  </si>
  <si>
    <t>Type of identification of other person primarily responsible for financial management of the company</t>
  </si>
  <si>
    <t>Identification number of other person primarily responsible for financial management of the company</t>
  </si>
  <si>
    <r>
      <t>*</t>
    </r>
    <r>
      <rPr>
        <sz val="10"/>
        <color indexed="8"/>
        <rFont val="Verdana"/>
        <family val="2"/>
      </rPr>
      <t>Disclosure of Statement by Directors</t>
    </r>
  </si>
  <si>
    <r>
      <t>*</t>
    </r>
    <r>
      <rPr>
        <sz val="10"/>
        <color indexed="8"/>
        <rFont val="Verdana"/>
        <family val="2"/>
      </rPr>
      <t>Disclosure of directors opinion that the financial statements or consolidated financial statements are drawn up in accordance with approved accounting standards and reflect true and give true and fair view of financial position and performance of the company and the group</t>
    </r>
  </si>
  <si>
    <r>
      <t>*</t>
    </r>
    <r>
      <rPr>
        <sz val="10"/>
        <color indexed="8"/>
        <rFont val="Verdana"/>
        <family val="2"/>
      </rPr>
      <t>Number of directors signing Statement by Directors</t>
    </r>
  </si>
  <si>
    <r>
      <t>*</t>
    </r>
    <r>
      <rPr>
        <sz val="10"/>
        <color indexed="8"/>
        <rFont val="Verdana"/>
        <family val="2"/>
      </rPr>
      <t>Name of first director who signed Statement by Directors</t>
    </r>
  </si>
  <si>
    <r>
      <t>*</t>
    </r>
    <r>
      <rPr>
        <sz val="10"/>
        <color indexed="8"/>
        <rFont val="Verdana"/>
        <family val="2"/>
      </rPr>
      <t>Disclosure whether the first director is also primarily responsible for financial management of the company</t>
    </r>
  </si>
  <si>
    <r>
      <t>*</t>
    </r>
    <r>
      <rPr>
        <sz val="10"/>
        <color indexed="8"/>
        <rFont val="Verdana"/>
        <family val="2"/>
      </rPr>
      <t>Type of identification of first director who signed Statement by Directors</t>
    </r>
  </si>
  <si>
    <r>
      <t>*</t>
    </r>
    <r>
      <rPr>
        <sz val="10"/>
        <color indexed="8"/>
        <rFont val="Verdana"/>
        <family val="2"/>
      </rPr>
      <t>Identification number of the first director who signed Statement by Directors</t>
    </r>
  </si>
  <si>
    <r>
      <t>*</t>
    </r>
    <r>
      <rPr>
        <sz val="10"/>
        <color indexed="8"/>
        <rFont val="Verdana"/>
        <family val="2"/>
      </rPr>
      <t>Date of signing statement by directors</t>
    </r>
  </si>
  <si>
    <t>FS-MFRS  Disclosure - Statement by directors</t>
  </si>
  <si>
    <t>3fe565c1-c031-4ec7-9463-cf017f8b82af:~:AtleastOneValueInAnyLayout:~:True:~:&lt;?xml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/&gt;:~:http://xbrl.ssm.com.my/role/ssm/rol_ssmt-fs-mfrs_2022-12-31/ssmt-fs-mfrs_2022-12-31_role-110000:~:None</t>
  </si>
  <si>
    <t>4077ddfd-f5ed-4932-9436-b025d0f11874:~:InvolInSE_1:~:NotMandatory:~:False:~:0:~:True:~:&lt;?xml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/&gt;:~:LytLin:~::~:False:~:True:~:ssmt-cor_2022-12-31.xsd#ssmt_DisclosureOnInvolvementInStockExchangeAbstract@http://www.xbrl.org/2003/role/label:~:</t>
  </si>
  <si>
    <t>ssmt-cor_2022-12-31.xsd#ssmt_DisclosureOnInvolvementInStockExchangeAbstract</t>
  </si>
  <si>
    <t>ssmt-cor_2022-12-31.xsd#ssmt_DateOfCompanyListedOnStockExchange</t>
  </si>
  <si>
    <t>ssmt-cor_2022-12-31.xsd#ssmt_TypeOfExchangeOnWhichCompanyIsListed</t>
  </si>
  <si>
    <t>ssmt-cor_2022-12-31.xsd#ssmt_DisclosureOfForeignStockExchange</t>
  </si>
  <si>
    <t>ssmt-cor_2022-12-31.xsd#ssmt_TypeOfMarketListedOnBursaMalaysia</t>
  </si>
  <si>
    <t>ssmt-cor_2022-12-31.xsd#ssmt_DisclosureOfSecuritiesListingOnShariahCompliantSecuritiesList</t>
  </si>
  <si>
    <t>ssmt-cor_2022-12-31.xsd#ssmt_ExplanationOfOtherSecuritiesListedOnShariahComplaintSecuritiesList</t>
  </si>
  <si>
    <t>ssmt-cor_2022-12-31.xsd#ssmt_DateOfDelistingOfShares</t>
  </si>
  <si>
    <t>ssmt-cor_2022-12-31.xsd#ssmt_TypeOfExchangeFromWhichSharesWereDelisted</t>
  </si>
  <si>
    <t>ssmt-cor_2022-12-31.xsd#ssmt_DisclosureOfForeignStockExchangeWhichCompanyWereDelisted</t>
  </si>
  <si>
    <t>Disclosure on involvement in stock exchange</t>
  </si>
  <si>
    <t>Disclosure of foreign stock exchange</t>
  </si>
  <si>
    <t>Type of market listed in Bursa Malaysia</t>
  </si>
  <si>
    <t xml:space="preserve">Explanation of other securities listed on Shari’ah compliant Securities list </t>
  </si>
  <si>
    <t>Date of delisting of shares</t>
  </si>
  <si>
    <t>Type of exchange from which shares were delisted</t>
  </si>
  <si>
    <t>Disclosure of foreign stock exchange which the company were delisted</t>
  </si>
  <si>
    <r>
      <t>*</t>
    </r>
    <r>
      <rPr>
        <sz val="10"/>
        <color indexed="8"/>
        <rFont val="Verdana"/>
        <family val="2"/>
      </rPr>
      <t>Date of company listed in Stock Exchange</t>
    </r>
  </si>
  <si>
    <r>
      <t>*</t>
    </r>
    <r>
      <rPr>
        <sz val="10"/>
        <color indexed="8"/>
        <rFont val="Verdana"/>
        <family val="2"/>
      </rPr>
      <t>Type of exchange on which company is listed</t>
    </r>
  </si>
  <si>
    <r>
      <t>*</t>
    </r>
    <r>
      <rPr>
        <sz val="10"/>
        <color indexed="8"/>
        <rFont val="Verdana"/>
        <family val="2"/>
      </rPr>
      <t>Disclosure of securities listing on Shari’ah compliant Securities list</t>
    </r>
  </si>
  <si>
    <t>FS-MFRS  Disclosure - Involvement in Stock Exchange</t>
  </si>
  <si>
    <r>
      <t>*</t>
    </r>
    <r>
      <rPr>
        <sz val="10"/>
        <color indexed="8"/>
        <rFont val="Verdana"/>
        <family val="2"/>
      </rPr>
      <t xml:space="preserve"> denotes mandatory items to be reported(PLEASE IGNORE IF COMPANY NOT-LISTED)</t>
    </r>
  </si>
  <si>
    <t>535ddd76-6156-4b07-a746-c5e13fd8d5ba:~:AtleastOneValueInAnyLayout:~:True:~:&lt;?xml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/&gt;:~:http://xbrl.ssm.com.my/role/ssm/rol_ssmt-fs-mfrs_2022-12-31/ssmt-fs-mfrs_2022-12-31_role-130000:~:None</t>
  </si>
  <si>
    <t>bd4ef598-d3ef-4ad8-a6e6-f28d1446ee17:~:AuditReport_1:~:NotMandatory:~:False:~:0:~:True:~:&lt;?xml version="1.0" encoding="utf-16"?&gt;_x000D_
&lt;Customization xmlns:xsi="http://www.w3.org/2001/XMLSchema-instance" xmlns:xsd="http://www.w3.org/2001/XMLSchema" ComparitiveDate="False" LayoutByDate="False" LayoutByCompany="False" ShowAllDomains="False" TotalDomain="True" DefaultDates="1" /&gt;:~:LytLin:~::~:False:~:True:~:ssmt-cor_2022-12-31.xsd#ssmt_DisclosureOnAuditorsReportToMembersAbstract@http://www.xbrl.org/2003/role/label:~:</t>
  </si>
  <si>
    <t>ssmt-cor_2022-12-31.xsd#ssmt_DisclosureOnAuditorsReportToMembersAbstract</t>
  </si>
  <si>
    <t>ssmt-cor_2022-12-31.xsd#ssmt_AuditorsReportAbstract</t>
  </si>
  <si>
    <t>ssmt-cor_2022-12-31.xsd#ssmt_DisclosureOfAuditorsReportToMembersExplanatory</t>
  </si>
  <si>
    <t>ssmt-cor_2022-12-31.xsd#ssmt_TypeOfAuditorsOpinion</t>
  </si>
  <si>
    <t>ssmt-cor_2022-12-31.xsd#ssmt_DateOfSigningAuditorsReport</t>
  </si>
  <si>
    <t>Disclosure on auditors report to members</t>
  </si>
  <si>
    <t>Auditor's report</t>
  </si>
  <si>
    <t>fb3d0ad8-129c-44d2-be07-233aa4d03efc:~:AuditReport_2:~:NotMandatory:~:False:~:1:~:True:~:&lt;?xml version="1.0" encoding="utf-16"?&gt;_x000D_
&lt;Customization xmlns:xsi="http://www.w3.org/2001/XMLSchema-instance" xmlns:xsd="http://www.w3.org/2001/XMLSchema" ComparitiveDate="False" LayoutByDate="False" LayoutByCompany="False" ShowAllDomains="False" TotalDomain="True" DefaultDates="1" /&gt;:~:LytHyc:~:ssmt-cor_2022-12-31.xsd#ssmt_AuditorsInformationTable:~:False:~:True:~:ssmt-cor_2022-12-31.xsd#ssmt_DisclosureOnAuditorsReportToMembersAbstract@http://www.xbrl.org/2003/role/label::ssmt-cor_2022-12-31.xsd#ssmt_AuditorsInformationAbstract@http://www.xbrl.org/2003/role/label::ssmt-cor_2022-12-31.xsd#ssmt_AuditorsInformationLineitem@http://www.xbrl.org/2003/role/label:~:ssmt-cor_2022-12-31.xsd#ssmt_AuditorsInformationTable</t>
  </si>
  <si>
    <t>ssmt-cor_2022-12-31.xsd#ssmt_LicenseNumberOfAuditor</t>
  </si>
  <si>
    <t>ssmt-cor_2022-12-31.xsd#ssmt_NameOfAuditorSigningReport</t>
  </si>
  <si>
    <t>ssmt-cor_2022-12-31.xsd#ssmt_RegistrationNumberOfAuditFirm</t>
  </si>
  <si>
    <t>ssmt-cor_2022-12-31.xsd#ssmt_NameOfAuditFirm</t>
  </si>
  <si>
    <t>ssmt-cor_2022-12-31.xsd#ssmt_AddressOne</t>
  </si>
  <si>
    <t>ssmt-cor_2022-12-31.xsd#ssmt_AddressTwo</t>
  </si>
  <si>
    <t>ssmt-cor_2022-12-31.xsd#ssmt_AddressThree</t>
  </si>
  <si>
    <t>ssmt-cor_2022-12-31.xsd#ssmt_PostcodeOfAuditFirm</t>
  </si>
  <si>
    <t>ssmt-cor_2022-12-31.xsd#ssmt_TownWhereAuditFirmIsLocated</t>
  </si>
  <si>
    <t>ssmt-cor_2022-12-31.xsd#ssmt_StateWhereAuditFirmIsLocated</t>
  </si>
  <si>
    <t>ssmt-cor_2022-12-31.xsd#ssmt_AuditorsInformationTable::ssmt-cor_2022-12-31.xsd#ssmt_AuditorsCountAxis</t>
  </si>
  <si>
    <t>Address line 2</t>
  </si>
  <si>
    <t>Address line 3</t>
  </si>
  <si>
    <r>
      <t>*</t>
    </r>
    <r>
      <rPr>
        <sz val="10"/>
        <color indexed="8"/>
        <rFont val="Verdana"/>
        <family val="2"/>
      </rPr>
      <t>Disclosure of auditor's report to members</t>
    </r>
  </si>
  <si>
    <r>
      <t>*</t>
    </r>
    <r>
      <rPr>
        <sz val="10"/>
        <color indexed="8"/>
        <rFont val="Verdana"/>
        <family val="2"/>
      </rPr>
      <t>Type of auditor's opinion</t>
    </r>
  </si>
  <si>
    <r>
      <t>*</t>
    </r>
    <r>
      <rPr>
        <sz val="10"/>
        <color indexed="8"/>
        <rFont val="Verdana"/>
        <family val="2"/>
      </rPr>
      <t>Date of signing auditor's report</t>
    </r>
  </si>
  <si>
    <r>
      <t>*</t>
    </r>
    <r>
      <rPr>
        <sz val="10"/>
        <color indexed="9"/>
        <rFont val="Verdana"/>
        <family val="2"/>
      </rPr>
      <t>License number of auditor</t>
    </r>
  </si>
  <si>
    <r>
      <t>*</t>
    </r>
    <r>
      <rPr>
        <sz val="10"/>
        <color indexed="9"/>
        <rFont val="Verdana"/>
        <family val="2"/>
      </rPr>
      <t>Name of auditor signing report</t>
    </r>
  </si>
  <si>
    <r>
      <t>*</t>
    </r>
    <r>
      <rPr>
        <sz val="10"/>
        <color indexed="9"/>
        <rFont val="Verdana"/>
        <family val="2"/>
      </rPr>
      <t>Registration number of audit firm</t>
    </r>
  </si>
  <si>
    <r>
      <t>*</t>
    </r>
    <r>
      <rPr>
        <sz val="10"/>
        <color indexed="9"/>
        <rFont val="Verdana"/>
        <family val="2"/>
      </rPr>
      <t>Name of audit firm</t>
    </r>
  </si>
  <si>
    <r>
      <t>*</t>
    </r>
    <r>
      <rPr>
        <sz val="10"/>
        <color indexed="9"/>
        <rFont val="Verdana"/>
        <family val="2"/>
      </rPr>
      <t>Address line 1</t>
    </r>
  </si>
  <si>
    <r>
      <t>*</t>
    </r>
    <r>
      <rPr>
        <sz val="10"/>
        <color indexed="9"/>
        <rFont val="Verdana"/>
        <family val="2"/>
      </rPr>
      <t>Postcode</t>
    </r>
  </si>
  <si>
    <r>
      <t>*</t>
    </r>
    <r>
      <rPr>
        <sz val="10"/>
        <color indexed="9"/>
        <rFont val="Verdana"/>
        <family val="2"/>
      </rPr>
      <t>Town</t>
    </r>
  </si>
  <si>
    <r>
      <t>*</t>
    </r>
    <r>
      <rPr>
        <sz val="10"/>
        <color indexed="9"/>
        <rFont val="Verdana"/>
        <family val="2"/>
      </rPr>
      <t>State</t>
    </r>
  </si>
  <si>
    <r>
      <t xml:space="preserve">Insert only the first four digit from the full auditor's license number.
e.g. </t>
    </r>
    <r>
      <rPr>
        <u/>
        <sz val="10"/>
        <color indexed="16"/>
        <rFont val="Verdana"/>
        <family val="2"/>
      </rPr>
      <t>XXXX</t>
    </r>
    <r>
      <rPr>
        <sz val="10"/>
        <color indexed="16"/>
        <rFont val="Verdana"/>
        <family val="2"/>
      </rPr>
      <t>/XX/XX(J/PH)</t>
    </r>
  </si>
  <si>
    <r>
      <t xml:space="preserve">Insert AF and the audit firm's four digit number from the full audit firm's number.
e.g. </t>
    </r>
    <r>
      <rPr>
        <u/>
        <sz val="10"/>
        <color indexed="16"/>
        <rFont val="Verdana"/>
        <family val="2"/>
      </rPr>
      <t>AFXXXX</t>
    </r>
  </si>
  <si>
    <t>0001</t>
  </si>
  <si>
    <t>FS-MFRS  Disclosure - Auditors report to members</t>
  </si>
  <si>
    <t>Auditor's details are mandatory to be reported only if 'Audited' is selected in the Filing Information</t>
  </si>
  <si>
    <t>aba851e9-d688-4d30-856c-4f1919c2c24a:~:AtleastOneValueInAnyLayout:~:True:~:&lt;?xml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/&gt;:~:http://xbrl.ssm.com.my/role/ssm/rol_ssmt-fs-mfrs_2022-12-31/ssmt-fs-mfrs_2022-12-31_role-200100x:~:None</t>
  </si>
  <si>
    <t>659bf83e-5dc1-467d-87cc-ef264eff1111:~:SOFP-CuNonCu_1_TBLYT:~:NotMandatory:~:False:~:0:~:True:~:&lt;?xml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/&gt;:~:LytTxb:~::~:False:~:True:~:ssmt-cor_2022-12-31.xsd#ssmt_DisclosureOnStatementOfFinancialPositionAbstract@http://www.xbrl.org/2003/role/label:~:</t>
  </si>
  <si>
    <t>ssmt-cor_2022-12-31.xsd#ssmt_DisclosureOnStatementOfFinancialPositionAbstract</t>
  </si>
  <si>
    <t>Disclosure on statement of financial position</t>
  </si>
  <si>
    <t>ssmt-cor_2022-12-31.xsd#ssmt_StatementOfFinancialPositionAbstract</t>
  </si>
  <si>
    <t>ssmt-cor_2022-12-31.xsd#ssmt_StatementOfFinancialPositionLineItems</t>
  </si>
  <si>
    <t>full_ifrs-cor_2022-03-24.xsd#ifrs-full_AssetsAbstract</t>
  </si>
  <si>
    <t>full_ifrs-cor_2022-03-24.xsd#ifrs-full_NoncurrentAssetsAbstract</t>
  </si>
  <si>
    <t>full_ifrs-cor_2022-03-24.xsd#ifrs-full_PropertyPlantAndEquipment</t>
  </si>
  <si>
    <t>See details</t>
  </si>
  <si>
    <t>full_ifrs-cor_2022-03-24.xsd#ifrs-full_InvestmentProperty</t>
  </si>
  <si>
    <t>ssmt-mfrs-cor_2022-12-31.xsd#ssmt-mfrs_NoncurrentBiologicalAssets@http://xbrl.ssm.com.my/role/ssm/lab_rol_ssmt-fs-mfrs_2022-12-31/ReportingLabel</t>
  </si>
  <si>
    <t>full_ifrs-cor_2022-03-24.xsd#ifrs-full_RightofuseAssets@http://xbrl.ssm.com.my/role/ssm/lab_rol_ssmt-fs-mfrs_2022-12-31/ReportingLabel</t>
  </si>
  <si>
    <t>ssmt-mfrs-cor_2022-12-31.xsd#ssmt-mfrs_NoncurrentServiceConcessionAssets@http://xbrl.ssm.com.my/role/ssm/lab_rol_ssmt-fs-mfrs_2022-12-31/ReportingLabel</t>
  </si>
  <si>
    <t>full_ifrs-cor_2022-03-24.xsd#ifrs-full_IntangibleAssetsAndGoodwill@http://xbrl.ssm.com.my/role/ssm/lab_rol_ssmt-fs-mfrs_2022-12-31/ReportingLabel</t>
  </si>
  <si>
    <t>full_ifrs-cor_2022-03-24.xsd#ifrs-full_InvestmentsInSubsidiaries@http://xbrl.ssm.com.my/role/ssm/lab_rol_ssmt-fs-mfrs_2022-12-31/ReportingLabel</t>
  </si>
  <si>
    <t>full_ifrs-cor_2022-03-24.xsd#ifrs-full_InvestmentsInAssociates@http://xbrl.ssm.com.my/role/ssm/lab_rol_ssmt-fs-mfrs_2022-12-31/ReportingLabel</t>
  </si>
  <si>
    <t>full_ifrs-cor_2022-03-24.xsd#ifrs-full_InvestmentsInJointVentures@http://xbrl.ssm.com.my/role/ssm/lab_rol_ssmt-fs-mfrs_2022-12-31/ReportingLabel</t>
  </si>
  <si>
    <t>full_ifrs-cor_2022-03-24.xsd#ifrs-full_NoncurrentInvestmentsOtherThanInvestmentsAccountedForUsingEquityMethod@http://xbrl.ssm.com.my/role/ssm/lab_rol_ssmt-fs-mfrs_2022-12-31/ReportingLabel</t>
  </si>
  <si>
    <t>full_ifrs-cor_2022-03-24.xsd#ifrs-full_NoncurrentReceivables</t>
  </si>
  <si>
    <t>full_ifrs-cor_2022-03-24.xsd#ifrs-full_NoncurrentContractAssets@http://xbrl.ssm.com.my/role/ssm/lab_rol_ssmt-fs-mfrs_2022-12-31/ReportingLabel</t>
  </si>
  <si>
    <t>full_ifrs-cor_2022-03-24.xsd#ifrs-full_DeferredTaxAssets</t>
  </si>
  <si>
    <t>full_ifrs-cor_2022-03-24.xsd#ifrs-full_NoncurrentDerivativeFinancialAssets@http://xbrl.ssm.com.my/role/ssm/lab_rol_ssmt-fs-mfrs_2022-12-31/ReportingLabel</t>
  </si>
  <si>
    <t>full_ifrs-cor_2022-03-24.xsd#ifrs-full_OtherNoncurrentAssets</t>
  </si>
  <si>
    <t>full_ifrs-cor_2022-03-24.xsd#ifrs-full_NoncurrentAssets@http://www.xbrl.org/2003/role/totalLabel</t>
  </si>
  <si>
    <t>full_ifrs-cor_2022-03-24.xsd#ifrs-full_CurrentAssetsAbstract</t>
  </si>
  <si>
    <t>full_ifrs-cor_2022-03-24.xsd#ifrs-full_InventoriesTotal</t>
  </si>
  <si>
    <t>ssmt-mfrs-cor_2022-12-31.xsd#ssmt-mfrs_CurrentBiologicalAssets@http://xbrl.ssm.com.my/role/ssm/lab_rol_ssmt-fs-mfrs_2022-12-31/ReportingLabel</t>
  </si>
  <si>
    <t>full_ifrs-cor_2022-03-24.xsd#ifrs-full_CurrentInvestments@http://xbrl.ssm.com.my/role/ssm/lab_rol_ssmt-fs-mfrs_2022-12-31/ReportingLabel</t>
  </si>
  <si>
    <t>full_ifrs-cor_2022-03-24.xsd#ifrs-full_CurrentTaxAssetsCurrent@http://xbrl.ssm.com.my/role/ssm/lab_rol_ssmt-fs-mfrs_2022-12-31/ReportingLabel</t>
  </si>
  <si>
    <t>full_ifrs-cor_2022-03-24.xsd#ifrs-full_TradeAndOtherCurrentReceivables</t>
  </si>
  <si>
    <t>full_ifrs-cor_2022-03-24.xsd#ifrs-full_CurrentContractAssets@http://xbrl.ssm.com.my/role/ssm/lab_rol_ssmt-fs-mfrs_2022-12-31/ReportingLabel</t>
  </si>
  <si>
    <t>full_ifrs-cor_2022-03-24.xsd#ifrs-full_CurrentDerivativeFinancialAssets@http://xbrl.ssm.com.my/role/ssm/lab_rol_ssmt-fs-mfrs_2022-12-31/ReportingLabel</t>
  </si>
  <si>
    <t>ssmt-cor_2022-12-31.xsd#ssmt_CashAndBankBalances@http://xbrl.ssm.com.my/role/ssm/lab_rol_ssmt-fs-mfrs_2022-12-31/ReportingLabel</t>
  </si>
  <si>
    <t>full_ifrs-cor_2022-03-24.xsd#ifrs-full_OtherCurrentAssets</t>
  </si>
  <si>
    <t>full_ifrs-cor_2022-03-24.xsd#ifrs-full_CurrentAssetsOtherThanAssetsOrDisposalGroupsClassifiedAsHeldForSaleOrAsHeldForDistributionToOwners@http://xbrl.ssm.com.my/role/ssm/fs/mfrs/lab_rol_ssmt-fs-mfrs_2022-12-31/ReportingTotalLabel</t>
  </si>
  <si>
    <t>full_ifrs-cor_2022-03-24.xsd#ifrs-full_NoncurrentAssetsOrDisposalGroupsClassifiedAsHeldForSaleOrAsHeldForDistributionToOwners</t>
  </si>
  <si>
    <t>full_ifrs-cor_2022-03-24.xsd#ifrs-full_CurrentAssets@http://www.xbrl.org/2003/role/totalLabel</t>
  </si>
  <si>
    <t>full_ifrs-cor_2022-03-24.xsd#ifrs-full_Assets@http://www.xbrl.org/2003/role/totalLabel</t>
  </si>
  <si>
    <t>full_ifrs-cor_2022-03-24.xsd#ifrs-full_EquityAndLiabilitiesAbstract</t>
  </si>
  <si>
    <t>full_ifrs-cor_2022-03-24.xsd#ifrs-full_EquityAbstract</t>
  </si>
  <si>
    <t>full_ifrs-cor_2022-03-24.xsd#ifrs-full_IssuedCapital</t>
  </si>
  <si>
    <t>full_ifrs-cor_2022-03-24.xsd#ifrs-full_RetainedEarnings</t>
  </si>
  <si>
    <t>full_ifrs-cor_2022-03-24.xsd#ifrs-full_TreasuryShares</t>
  </si>
  <si>
    <t>full_ifrs-cor_2022-03-24.xsd#ifrs-full_OtherReserves@http://xbrl.ssm.com.my/role/ssm/lab_rol_ssmt-fs-mfrs_2022-12-31/ReportingLabel</t>
  </si>
  <si>
    <t>full_ifrs-cor_2022-03-24.xsd#ifrs-full_EquityAttributableToOwnersOfParent@http://xbrl.ssm.com.my/role/ssm/fs/mfrs/lab_rol_ssmt-fs-mfrs_2022-12-31/ReportingTotalLabel</t>
  </si>
  <si>
    <t>ssmt-mfrs-cor_2022-12-31.xsd#ssmt-mfrs_OtherComponentsOfEquity@http://xbrl.ssm.com.my/role/ssm/lab_rol_ssmt-fs-mfrs_2022-12-31/ReportingLabel</t>
  </si>
  <si>
    <t>full_ifrs-cor_2022-03-24.xsd#ifrs-full_NoncontrollingInterests</t>
  </si>
  <si>
    <t>full_ifrs-cor_2022-03-24.xsd#ifrs-full_Equity@http://www.xbrl.org/2003/role/totalLabel</t>
  </si>
  <si>
    <t>full_ifrs-cor_2022-03-24.xsd#ifrs-full_LiabilitiesAbstract</t>
  </si>
  <si>
    <t>full_ifrs-cor_2022-03-24.xsd#ifrs-full_NoncurrentLiabilitiesAbstract</t>
  </si>
  <si>
    <t>ssmt-mfrs-cor_2022-12-31.xsd#ssmt-mfrs_NoncurrentServiceConcessionLiabilities@http://xbrl.ssm.com.my/role/ssm/lab_rol_ssmt-fs-mfrs_2022-12-31/ReportingLabel</t>
  </si>
  <si>
    <t>full_ifrs-cor_2022-03-24.xsd#ifrs-full_LongtermBorrowings@http://xbrl.ssm.com.my/role/ssm/lab_rol_ssmt-fs-mfrs_2022-12-31/ReportingLabel</t>
  </si>
  <si>
    <t>ssmt-mfrs-cor_2022-12-31.xsd#ssmt-mfrs_NoncurrentFinanceLeaseLiabilities@http://xbrl.ssm.com.my/role/ssm/lab_rol_ssmt-fs-mfrs_2022-12-31/ReportingLabel</t>
  </si>
  <si>
    <t>full_ifrs-cor_2022-03-24.xsd#ifrs-full_NoncurrentProvisionsForEmployeeBenefits@http://xbrl.ssm.com.my/role/ssm/lab_rol_ssmt-fs-mfrs_2022-12-31/ReportingLabel</t>
  </si>
  <si>
    <t>full_ifrs-cor_2022-03-24.xsd#ifrs-full_NoncurrentProvisions@http://xbrl.ssm.com.my/role/ssm/lab_rol_ssmt-fs-mfrs_2022-12-31/ReportingLabel</t>
  </si>
  <si>
    <t>full_ifrs-cor_2022-03-24.xsd#ifrs-full_NoncurrentPayables</t>
  </si>
  <si>
    <t>full_ifrs-cor_2022-03-24.xsd#ifrs-full_NoncurrentContractLiabilities@http://xbrl.ssm.com.my/role/ssm/lab_rol_ssmt-fs-mfrs_2022-12-31/ReportingLabel</t>
  </si>
  <si>
    <t>full_ifrs-cor_2022-03-24.xsd#ifrs-full_DeferredTaxLiabilities</t>
  </si>
  <si>
    <t>full_ifrs-cor_2022-03-24.xsd#ifrs-full_NoncurrentDerivativeFinancialLiabilities@http://xbrl.ssm.com.my/role/ssm/lab_rol_ssmt-fs-mfrs_2022-12-31/ReportingLabel</t>
  </si>
  <si>
    <t>full_ifrs-cor_2022-03-24.xsd#ifrs-full_OtherNoncurrentLiabilities</t>
  </si>
  <si>
    <t>full_ifrs-cor_2022-03-24.xsd#ifrs-full_NoncurrentLiabilities@http://www.xbrl.org/2003/role/totalLabel</t>
  </si>
  <si>
    <t>full_ifrs-cor_2022-03-24.xsd#ifrs-full_CurrentLiabilitiesAbstract</t>
  </si>
  <si>
    <t>full_ifrs-cor_2022-03-24.xsd#ifrs-full_CurrentPortionOfLongtermBorrowings@http://xbrl.ssm.com.my/role/ssm/lab_rol_ssmt-fs-mfrs_2022-12-31/ReportingLabel</t>
  </si>
  <si>
    <t>ssmt-mfrs-cor_2022-12-31.xsd#ssmt-mfrs_CurrentFinanceLeaseLiabilities@http://xbrl.ssm.com.my/role/ssm/lab_rol_ssmt-fs-mfrs_2022-12-31/ReportingLabel</t>
  </si>
  <si>
    <t>full_ifrs-cor_2022-03-24.xsd#ifrs-full_CurrentProvisionsForEmployeeBenefits@http://xbrl.ssm.com.my/role/ssm/lab_rol_ssmt-fs-mfrs_2022-12-31/ReportingLabel</t>
  </si>
  <si>
    <t>full_ifrs-cor_2022-03-24.xsd#ifrs-full_CurrentProvisions@http://xbrl.ssm.com.my/role/ssm/lab_rol_ssmt-fs-mfrs_2022-12-31/ReportingLabel</t>
  </si>
  <si>
    <t>full_ifrs-cor_2022-03-24.xsd#ifrs-full_CurrentTaxLiabilitiesCurrent@http://xbrl.ssm.com.my/role/ssm/lab_rol_ssmt-fs-mfrs_2022-12-31/ReportingLabel</t>
  </si>
  <si>
    <t>full_ifrs-cor_2022-03-24.xsd#ifrs-full_TradeAndOtherCurrentPayables</t>
  </si>
  <si>
    <t>full_ifrs-cor_2022-03-24.xsd#ifrs-full_CurrentContractLiabilities@http://xbrl.ssm.com.my/role/ssm/lab_rol_ssmt-fs-mfrs_2022-12-31/ReportingLabel</t>
  </si>
  <si>
    <t>full_ifrs-cor_2022-03-24.xsd#ifrs-full_CurrentDerivativeFinancialLiabilities@http://xbrl.ssm.com.my/role/ssm/lab_rol_ssmt-fs-mfrs_2022-12-31/ReportingLabel</t>
  </si>
  <si>
    <t>full_ifrs-cor_2022-03-24.xsd#ifrs-full_OtherCurrentLiabilities</t>
  </si>
  <si>
    <t>full_ifrs-cor_2022-03-24.xsd#ifrs-full_CurrentLiabilitiesOtherThanLiabilitiesIncludedInDisposalGroupsClassifiedAsHeldForSale@http://xbrl.ssm.com.my/role/ssm/fs/mfrs/lab_rol_ssmt-fs-mfrs_2022-12-31/ReportingTotalLabel</t>
  </si>
  <si>
    <t>full_ifrs-cor_2022-03-24.xsd#ifrs-full_LiabilitiesIncludedInDisposalGroupsClassifiedAsHeldForSale</t>
  </si>
  <si>
    <t>full_ifrs-cor_2022-03-24.xsd#ifrs-full_CurrentLiabilities@http://www.xbrl.org/2003/role/totalLabel</t>
  </si>
  <si>
    <t>full_ifrs-cor_2022-03-24.xsd#ifrs-full_Liabilities@http://www.xbrl.org/2003/role/totalLabel</t>
  </si>
  <si>
    <t>full_ifrs-cor_2022-03-24.xsd#ifrs-full_EquityAndLiabilities@http://www.xbrl.org/2003/role/totalLabel</t>
  </si>
  <si>
    <t>Statement of financial position</t>
  </si>
  <si>
    <t>Assets</t>
  </si>
  <si>
    <t>Non-current assets</t>
  </si>
  <si>
    <t>Biological assets</t>
  </si>
  <si>
    <t>Right-of-use assets</t>
  </si>
  <si>
    <t>Service concession assets</t>
  </si>
  <si>
    <t>Contract assets</t>
  </si>
  <si>
    <t>Deferred tax assets</t>
  </si>
  <si>
    <t>Current assets</t>
  </si>
  <si>
    <t>Other investments</t>
  </si>
  <si>
    <t>Current tax assets</t>
  </si>
  <si>
    <t>Total current assets other than assets held for sale</t>
  </si>
  <si>
    <t>Non-current assets or disposal groups classified as held for sale or as held for distribution to owners</t>
  </si>
  <si>
    <t>Equity and liabilities</t>
  </si>
  <si>
    <t>Equity</t>
  </si>
  <si>
    <t>Treasury shares</t>
  </si>
  <si>
    <t>Liabilities</t>
  </si>
  <si>
    <t>Non-current liabilities</t>
  </si>
  <si>
    <t>Service concession liabilities</t>
  </si>
  <si>
    <t>Lease liabilities</t>
  </si>
  <si>
    <t>Contract liabilities</t>
  </si>
  <si>
    <t>Deferred tax liabilities</t>
  </si>
  <si>
    <t>Other non-current liabilities</t>
  </si>
  <si>
    <t>Total non-current liabilities</t>
  </si>
  <si>
    <t>Current liabilities</t>
  </si>
  <si>
    <t>Current tax liabilities</t>
  </si>
  <si>
    <t>Other current liabilities</t>
  </si>
  <si>
    <t>Total current liabilities other than liabilities held for sale</t>
  </si>
  <si>
    <t>df5a5fa2-5402-4eb0-8545-d71421aa44fb:~:SOFP-CuNonCu_2:~:NotMandatory:~:True:~:1:~:True:~:&lt;?xml version="1.0" encoding="utf-16"?&gt;_x000D_
&lt;Customization xmlns:xsi="http://www.w3.org/2001/XMLSchema-instance" xmlns:xsd="http://www.w3.org/2001/XMLSchema" ComparitiveDate="False" LayoutByDate="False" LayoutByCompany="False" ShowAllDomains="False" TotalDomain="True" DefaultDates="2" /&gt;:~:LytHyc:~:ssmt-cor_2022-12-31.xsd#ssmt_StatementOfFinancialPositionTable:~:False:~:True:~:ssmt-cor_2022-12-31.xsd#ssmt_DisclosureOnStatementOfFinancialPositionAbstract@http://www.xbrl.org/2003/role/label::ssmt-cor_2022-12-31.xsd#ssmt_StatementOfFinancialPositionAbstract@http://www.xbrl.org/2003/role/label::ssmt-cor_2022-12-31.xsd#ssmt_StatementOfFinancialPositionLineItems@http://www.xbrl.org/2003/role/label:~:ssmt-cor_2022-12-31.xsd#ssmt_StatementOfFinancialPositionTable</t>
  </si>
  <si>
    <r>
      <t>*</t>
    </r>
    <r>
      <rPr>
        <sz val="10"/>
        <color indexed="8"/>
        <rFont val="Verdana"/>
        <family val="2"/>
      </rPr>
      <t>Property, plant and equipment</t>
    </r>
  </si>
  <si>
    <r>
      <t>*</t>
    </r>
    <r>
      <rPr>
        <sz val="10"/>
        <color indexed="8"/>
        <rFont val="Verdana"/>
        <family val="2"/>
      </rPr>
      <t>Investment property</t>
    </r>
  </si>
  <si>
    <r>
      <t>*</t>
    </r>
    <r>
      <rPr>
        <sz val="10"/>
        <color indexed="8"/>
        <rFont val="Verdana"/>
        <family val="2"/>
      </rPr>
      <t>Intangible assets</t>
    </r>
  </si>
  <si>
    <r>
      <t>*</t>
    </r>
    <r>
      <rPr>
        <sz val="10"/>
        <color indexed="8"/>
        <rFont val="Verdana"/>
        <family val="2"/>
      </rPr>
      <t>Investments in subsidiaries</t>
    </r>
  </si>
  <si>
    <r>
      <t>*</t>
    </r>
    <r>
      <rPr>
        <sz val="10"/>
        <color indexed="8"/>
        <rFont val="Verdana"/>
        <family val="2"/>
      </rPr>
      <t>Investments in associates</t>
    </r>
  </si>
  <si>
    <r>
      <t>*</t>
    </r>
    <r>
      <rPr>
        <sz val="10"/>
        <color indexed="8"/>
        <rFont val="Verdana"/>
        <family val="2"/>
      </rPr>
      <t>Investments in joint ventures</t>
    </r>
  </si>
  <si>
    <r>
      <t>*</t>
    </r>
    <r>
      <rPr>
        <sz val="10"/>
        <color indexed="8"/>
        <rFont val="Verdana"/>
        <family val="2"/>
      </rPr>
      <t>Other investments</t>
    </r>
  </si>
  <si>
    <r>
      <t>*</t>
    </r>
    <r>
      <rPr>
        <sz val="10"/>
        <color indexed="8"/>
        <rFont val="Verdana"/>
        <family val="2"/>
      </rPr>
      <t>Trade and other non-current receivables</t>
    </r>
  </si>
  <si>
    <r>
      <t>*</t>
    </r>
    <r>
      <rPr>
        <sz val="10"/>
        <color indexed="8"/>
        <rFont val="Verdana"/>
        <family val="2"/>
      </rPr>
      <t>Derivative financial assets</t>
    </r>
  </si>
  <si>
    <r>
      <t>*</t>
    </r>
    <r>
      <rPr>
        <sz val="10"/>
        <color indexed="8"/>
        <rFont val="Verdana"/>
        <family val="2"/>
      </rPr>
      <t>Other non-current assets</t>
    </r>
  </si>
  <si>
    <r>
      <t>*</t>
    </r>
    <r>
      <rPr>
        <b/>
        <sz val="10"/>
        <color indexed="8"/>
        <rFont val="Verdana"/>
        <family val="2"/>
      </rPr>
      <t>Total non-current assets</t>
    </r>
  </si>
  <si>
    <r>
      <t>*</t>
    </r>
    <r>
      <rPr>
        <sz val="10"/>
        <color indexed="8"/>
        <rFont val="Verdana"/>
        <family val="2"/>
      </rPr>
      <t>Inventories</t>
    </r>
  </si>
  <si>
    <r>
      <t>*</t>
    </r>
    <r>
      <rPr>
        <sz val="10"/>
        <color indexed="8"/>
        <rFont val="Verdana"/>
        <family val="2"/>
      </rPr>
      <t>Trade and other current receivables</t>
    </r>
  </si>
  <si>
    <r>
      <t>*</t>
    </r>
    <r>
      <rPr>
        <sz val="10"/>
        <color indexed="8"/>
        <rFont val="Verdana"/>
        <family val="2"/>
      </rPr>
      <t>Cash and cash equivalents</t>
    </r>
  </si>
  <si>
    <r>
      <t>*</t>
    </r>
    <r>
      <rPr>
        <sz val="10"/>
        <color indexed="8"/>
        <rFont val="Verdana"/>
        <family val="2"/>
      </rPr>
      <t>Other current assets</t>
    </r>
  </si>
  <si>
    <r>
      <t>*</t>
    </r>
    <r>
      <rPr>
        <b/>
        <sz val="10"/>
        <color indexed="8"/>
        <rFont val="Verdana"/>
        <family val="2"/>
      </rPr>
      <t>Total current assets</t>
    </r>
  </si>
  <si>
    <r>
      <t>*</t>
    </r>
    <r>
      <rPr>
        <b/>
        <sz val="10"/>
        <color indexed="8"/>
        <rFont val="Verdana"/>
        <family val="2"/>
      </rPr>
      <t>Total assets</t>
    </r>
  </si>
  <si>
    <r>
      <t>*</t>
    </r>
    <r>
      <rPr>
        <sz val="10"/>
        <color indexed="8"/>
        <rFont val="Verdana"/>
        <family val="2"/>
      </rPr>
      <t>Issued capital</t>
    </r>
  </si>
  <si>
    <r>
      <t>*</t>
    </r>
    <r>
      <rPr>
        <sz val="10"/>
        <color indexed="8"/>
        <rFont val="Verdana"/>
        <family val="2"/>
      </rPr>
      <t>Retained earnings</t>
    </r>
  </si>
  <si>
    <r>
      <t>*</t>
    </r>
    <r>
      <rPr>
        <sz val="10"/>
        <color indexed="8"/>
        <rFont val="Verdana"/>
        <family val="2"/>
      </rPr>
      <t>Reserves</t>
    </r>
  </si>
  <si>
    <r>
      <t>*</t>
    </r>
    <r>
      <rPr>
        <b/>
        <sz val="10"/>
        <color indexed="8"/>
        <rFont val="Verdana"/>
        <family val="2"/>
      </rPr>
      <t>Total equity attributable to owners</t>
    </r>
  </si>
  <si>
    <r>
      <t>*</t>
    </r>
    <r>
      <rPr>
        <sz val="10"/>
        <color indexed="8"/>
        <rFont val="Verdana"/>
        <family val="2"/>
      </rPr>
      <t>Equity - other components</t>
    </r>
  </si>
  <si>
    <r>
      <t>*</t>
    </r>
    <r>
      <rPr>
        <sz val="10"/>
        <color indexed="8"/>
        <rFont val="Verdana"/>
        <family val="2"/>
      </rPr>
      <t>Non-controlling interests</t>
    </r>
  </si>
  <si>
    <r>
      <t>*</t>
    </r>
    <r>
      <rPr>
        <b/>
        <sz val="10"/>
        <color indexed="8"/>
        <rFont val="Verdana"/>
        <family val="2"/>
      </rPr>
      <t>Total equity</t>
    </r>
  </si>
  <si>
    <r>
      <t>*</t>
    </r>
    <r>
      <rPr>
        <sz val="10"/>
        <color indexed="8"/>
        <rFont val="Verdana"/>
        <family val="2"/>
      </rPr>
      <t>Borrowings</t>
    </r>
  </si>
  <si>
    <r>
      <t>*</t>
    </r>
    <r>
      <rPr>
        <sz val="10"/>
        <color indexed="8"/>
        <rFont val="Verdana"/>
        <family val="2"/>
      </rPr>
      <t>Employee benefit liabilities</t>
    </r>
  </si>
  <si>
    <r>
      <t>*</t>
    </r>
    <r>
      <rPr>
        <sz val="10"/>
        <color indexed="8"/>
        <rFont val="Verdana"/>
        <family val="2"/>
      </rPr>
      <t>Provisions</t>
    </r>
  </si>
  <si>
    <r>
      <t>*</t>
    </r>
    <r>
      <rPr>
        <sz val="10"/>
        <color indexed="8"/>
        <rFont val="Verdana"/>
        <family val="2"/>
      </rPr>
      <t>Trade and other non-current payables</t>
    </r>
  </si>
  <si>
    <r>
      <t>*</t>
    </r>
    <r>
      <rPr>
        <sz val="10"/>
        <color indexed="8"/>
        <rFont val="Verdana"/>
        <family val="2"/>
      </rPr>
      <t>Derivative financial liabilities</t>
    </r>
  </si>
  <si>
    <r>
      <t>*</t>
    </r>
    <r>
      <rPr>
        <sz val="10"/>
        <color indexed="8"/>
        <rFont val="Verdana"/>
        <family val="2"/>
      </rPr>
      <t>Trade and other current payables</t>
    </r>
  </si>
  <si>
    <r>
      <t>*</t>
    </r>
    <r>
      <rPr>
        <sz val="10"/>
        <color indexed="8"/>
        <rFont val="Verdana"/>
        <family val="2"/>
      </rPr>
      <t>Liabilities included in disposal groups classified as held for sale</t>
    </r>
  </si>
  <si>
    <r>
      <t>*</t>
    </r>
    <r>
      <rPr>
        <b/>
        <sz val="10"/>
        <color indexed="8"/>
        <rFont val="Verdana"/>
        <family val="2"/>
      </rPr>
      <t>Total current liabilities</t>
    </r>
  </si>
  <si>
    <r>
      <t>*</t>
    </r>
    <r>
      <rPr>
        <b/>
        <sz val="10"/>
        <color indexed="8"/>
        <rFont val="Verdana"/>
        <family val="2"/>
      </rPr>
      <t>Total liabilities</t>
    </r>
  </si>
  <si>
    <r>
      <t>*</t>
    </r>
    <r>
      <rPr>
        <b/>
        <sz val="10"/>
        <color indexed="8"/>
        <rFont val="Verdana"/>
        <family val="2"/>
      </rPr>
      <t>Total equity and liabilities</t>
    </r>
  </si>
  <si>
    <t>FS-MFRS  Statement of financial position, by current/non-current method</t>
  </si>
  <si>
    <t>c34185e3-d692-47ad-8a98-d791585875b8:~:AtleastOneValueInAnyLayout:~:True:~:&lt;?xml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/&gt;:~:http://xbrl.ssm.com.my/role/ssm/rol_ssmt-fs-mfrs_2022-12-31/ssmt-fs-mfrs_2022-12-31_role-200200x:~:None</t>
  </si>
  <si>
    <t>b9877f0c-4ab2-476f-b54d-a35a3e867c6a:~:SOFP-Sub-CuNonCu_1_TBLYT:~:NotMandatory:~:False:~:0:~:True:~:&lt;?xml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/&gt;:~:LytTxb:~::~:False:~:True:~:ssmt-mfrs-cor_2022-12-31.xsd#ssmt-mfrs_DisclosureOnSubclassificationOfAssetsLiabilitiesAndEquityAbstract@http://www.xbrl.org/2003/role/label:~:</t>
  </si>
  <si>
    <t>ssmt-mfrs-cor_2022-12-31.xsd#ssmt-mfrs_DisclosureOnSubclassificationOfAssetsLiabilitiesAndEquityAbstract</t>
  </si>
  <si>
    <t>Disclosure on sub-classification of assets, liabilities and equity</t>
  </si>
  <si>
    <t>ssmt-mfrs-cor_2022-12-31.xsd#ssmt-mfrs_StatementOnSubclassificationOfAssetsLiabilitiesAndEquityAbstract</t>
  </si>
  <si>
    <t>ssmt-mfrs-cor_2022-12-31.xsd#ssmt-mfrs_StatementOnSubclassificationOfAssetsLiabilitiesAndEquityLineItems</t>
  </si>
  <si>
    <t>ssmt-mfrs-cor_2022-12-31.xsd#ssmt-mfrs_SubclassificationOfAssetsLiabilitiesAndEquityAbstract</t>
  </si>
  <si>
    <t>full_ifrs-cor_2022-03-24.xsd#ifrs-full_PropertyPlantAndEquipmentAbstract</t>
  </si>
  <si>
    <t>full_ifrs-cor_2022-03-24.xsd#ifrs-full_LandAndBuildingsAbstract</t>
  </si>
  <si>
    <t>ssmt-mfrs-cor_2022-12-31.xsd#ssmt-mfrs_LandAbstract</t>
  </si>
  <si>
    <t>ssmt-mfrs-cor_2022-12-31.xsd#ssmt-mfrs_FreeholdLand</t>
  </si>
  <si>
    <t>ssmt-mfrs-cor_2022-12-31.xsd#ssmt-mfrs_LongtermLeaseholdLand</t>
  </si>
  <si>
    <t>ssmt-mfrs-cor_2022-12-31.xsd#ssmt-mfrs_ShorttermLeaseholdLand</t>
  </si>
  <si>
    <t>full_ifrs-cor_2022-03-24.xsd#ifrs-full_Land@http://www.xbrl.org/2003/role/totalLabel</t>
  </si>
  <si>
    <t>ssmt-mfrs-cor_2022-12-31.xsd#ssmt-mfrs_BuildingAbstract</t>
  </si>
  <si>
    <t>ssmt-mfrs-cor_2022-12-31.xsd#ssmt-mfrs_BuildingOnFreeholdLand</t>
  </si>
  <si>
    <t>ssmt-mfrs-cor_2022-12-31.xsd#ssmt-mfrs_BuildingOnLongtermLeaseholdLand</t>
  </si>
  <si>
    <t>ssmt-mfrs-cor_2022-12-31.xsd#ssmt-mfrs_BuildingOnShorttermLeaseholdLand</t>
  </si>
  <si>
    <t>ssmt-mfrs-cor_2022-12-31.xsd#ssmt-mfrs_LeasedProperties</t>
  </si>
  <si>
    <t>full_ifrs-cor_2022-03-24.xsd#ifrs-full_Buildings@http://xbrl.ssm.com.my/role/ssm/fs/mfrs/lab_rol_ssmt-fs-mfrs_2022-12-31/ReportingTotalLabel</t>
  </si>
  <si>
    <t>full_ifrs-cor_2022-03-24.xsd#ifrs-full_LandAndBuildings@http://www.xbrl.org/2003/role/totalLabel</t>
  </si>
  <si>
    <t>full_ifrs-cor_2022-03-24.xsd#ifrs-full_VehiclesAbstract</t>
  </si>
  <si>
    <t>ssmt-mfrs-cor_2022-12-31.xsd#ssmt-mfrs_Vessels</t>
  </si>
  <si>
    <t>full_ifrs-cor_2022-03-24.xsd#ifrs-full_Aircraft</t>
  </si>
  <si>
    <t>full_ifrs-cor_2022-03-24.xsd#ifrs-full_MotorVehicles</t>
  </si>
  <si>
    <t>ssmt-mfrs-cor_2022-12-31.xsd#ssmt-mfrs_OtherVehicles</t>
  </si>
  <si>
    <t>full_ifrs-cor_2022-03-24.xsd#ifrs-full_Vehicles@http://www.xbrl.org/2003/role/totalLabel</t>
  </si>
  <si>
    <t>full_ifrs-cor_2022-03-24.xsd#ifrs-full_Machinery</t>
  </si>
  <si>
    <t>ssmt-mfrs-cor_2022-12-31.xsd#ssmt-mfrs_PlantAndEquipment</t>
  </si>
  <si>
    <t>ssmt-mfrs-cor_2022-12-31.xsd#ssmt-mfrs_OfficeEquipmentFixtureAndFittings</t>
  </si>
  <si>
    <t>ssmt-mfrs-cor_2022-12-31.xsd#ssmt-mfrs_ComputerSoftwareAndHardware</t>
  </si>
  <si>
    <t>full_ifrs-cor_2022-03-24.xsd#ifrs-full_BearerPlants</t>
  </si>
  <si>
    <t>ssmt-mfrs-cor_2022-12-31.xsd#ssmt-mfrs_InfrastructureAndSiteFacilities</t>
  </si>
  <si>
    <t>full_ifrs-cor_2022-03-24.xsd#ifrs-full_MiningAssets</t>
  </si>
  <si>
    <t>full_ifrs-cor_2022-03-24.xsd#ifrs-full_OilAndGasAssets</t>
  </si>
  <si>
    <t>ssmt-mfrs-cor_2022-12-31.xsd#ssmt-mfrs_TangibleExplorationAndEvaluationAssets</t>
  </si>
  <si>
    <t>ssmt-mfrs-cor_2022-12-31.xsd#ssmt-mfrs_TelecommunicationEquipments</t>
  </si>
  <si>
    <t>full_ifrs-cor_2022-03-24.xsd#ifrs-full_ConstructionInProgress@http://xbrl.ssm.com.my/role/ssm/lab_rol_ssmt-fs-mfrs_2022-12-31/ReportingLabel</t>
  </si>
  <si>
    <t>full_ifrs-cor_2022-03-24.xsd#ifrs-full_OtherPropertyPlantAndEquipment</t>
  </si>
  <si>
    <t>full_ifrs-cor_2022-03-24.xsd#ifrs-full_PropertyPlantAndEquipment@http://www.xbrl.org/2003/role/totalLabel</t>
  </si>
  <si>
    <t>full_ifrs-cor_2022-03-24.xsd#ifrs-full_InvestmentPropertyAbstract</t>
  </si>
  <si>
    <t>ssmt-mfrs-cor_2022-12-31.xsd#ssmt-mfrs_InvestmentPropertiesCompletedAtFairValueAbstract@http://xbrl.ssm.com.my/role/ssm/lab_rol_ssmt-fs-mfrs_2022-12-31/ReportingLabel</t>
  </si>
  <si>
    <t>ssmt-mfrs-cor_2022-12-31.xsd#ssmt-mfrs_InvestmentPropertyFreeholdLandAndBuilding</t>
  </si>
  <si>
    <t>ssmt-mfrs-cor_2022-12-31.xsd#ssmt-mfrs_InvestmentPropertyLeaseholdLandAndBuilding</t>
  </si>
  <si>
    <t>full_ifrs-cor_2022-03-24.xsd#ifrs-full_InvestmentPropertyCompleted@http://xbrl.ssm.com.my/role/ssm/fs/mfrs/lab_rol_ssmt-fs-mfrs_2022-12-31/ReportingTotalLabel</t>
  </si>
  <si>
    <t>ssmt-mfrs-cor_2022-12-31.xsd#ssmt-mfrs_InvestmentPropertiesUnderConstructionOrDevelopmentAtCostAbstract</t>
  </si>
  <si>
    <t>ssmt-mfrs-cor_2022-12-31.xsd#ssmt-mfrs_InvestmentPropertyBuildingUnderConstruction</t>
  </si>
  <si>
    <t>full_ifrs-cor_2022-03-24.xsd#ifrs-full_InvestmentPropertyUnderConstructionOrDevelopment@http://xbrl.ssm.com.my/role/ssm/fs/mfrs/lab_rol_ssmt-fs-mfrs_2022-12-31/ReportingTotalLabel</t>
  </si>
  <si>
    <t>ssmt-mfrs-cor_2022-12-31.xsd#ssmt-mfrs_OtherInvestmentProperty</t>
  </si>
  <si>
    <t>full_ifrs-cor_2022-03-24.xsd#ifrs-full_InvestmentProperty@http://xbrl.ssm.com.my/role/ssm/fs/mfrs/lab_rol_ssmt-fs-mfrs_2022-12-31/ReportingTotalLabel</t>
  </si>
  <si>
    <t>ssmt-mfrs-cor_2022-12-31.xsd#ssmt-mfrs_BiologicalAssetsAbstract</t>
  </si>
  <si>
    <t>ssmt-mfrs-cor_2022-12-31.xsd#ssmt-mfrs_ConsumableBiologicalAssets</t>
  </si>
  <si>
    <t>ssmt-mfrs-cor_2022-12-31.xsd#ssmt-mfrs_BearerBiologicalAssets</t>
  </si>
  <si>
    <t>full_ifrs-cor_2022-03-24.xsd#ifrs-full_BiologicalAssets@http://xbrl.ssm.com.my/role/ssm/fs/mfrs/lab_rol_ssmt-fs-mfrs_2022-12-31/ReportingTotalLabel</t>
  </si>
  <si>
    <t>full_ifrs-cor_2022-03-24.xsd#ifrs-full_IntangibleAssetsAndGoodwillAbstract</t>
  </si>
  <si>
    <t>full_ifrs-cor_2022-03-24.xsd#ifrs-full_IntangibleAssetsOtherThanGoodwillAbstract</t>
  </si>
  <si>
    <t>full_ifrs-cor_2022-03-24.xsd#ifrs-full_CustomerrelatedIntangibleAssetsRecognisedAsOfAcquisitionDate@http://xbrl.ssm.com.my/role/ssm/lab_rol_ssmt-fs-mfrs_2022-12-31/ReportingLabel</t>
  </si>
  <si>
    <t>full_ifrs-cor_2022-03-24.xsd#ifrs-full_BrandNames</t>
  </si>
  <si>
    <t>ssmt-mfrs-cor_2022-12-31.xsd#ssmt-mfrs_CustomerRelationships</t>
  </si>
  <si>
    <t>full_ifrs-cor_2022-03-24.xsd#ifrs-full_CopyrightsPatentsAndOtherIndustrialPropertyRightsServiceAndOperatingRights</t>
  </si>
  <si>
    <t>full_ifrs-cor_2022-03-24.xsd#ifrs-full_IntangibleAssetsUnderDevelopment</t>
  </si>
  <si>
    <t>full_ifrs-cor_2022-03-24.xsd#ifrs-full_IntangibleExplorationAndEvaluationAssets</t>
  </si>
  <si>
    <t>full_ifrs-cor_2022-03-24.xsd#ifrs-full_LicencesAndFranchises</t>
  </si>
  <si>
    <t>full_ifrs-cor_2022-03-24.xsd#ifrs-full_RecipesFormulaeModelsDesignsAndPrototypes</t>
  </si>
  <si>
    <t>full_ifrs-cor_2022-03-24.xsd#ifrs-full_ComputerSoftware</t>
  </si>
  <si>
    <t>ssmt-mfrs-cor_2022-12-31.xsd#ssmt-mfrs_SmallHolderRelationship</t>
  </si>
  <si>
    <t>full_ifrs-cor_2022-03-24.xsd#ifrs-full_OtherIntangibleAssets</t>
  </si>
  <si>
    <t>full_ifrs-cor_2022-03-24.xsd#ifrs-full_IntangibleAssetsOtherThanGoodwill@http://www.xbrl.org/2003/role/totalLabel</t>
  </si>
  <si>
    <t>full_ifrs-cor_2022-03-24.xsd#ifrs-full_Goodwill</t>
  </si>
  <si>
    <t>full_ifrs-cor_2022-03-24.xsd#ifrs-full_IntangibleAssetsAndGoodwill@http://www.xbrl.org/2003/role/totalLabel</t>
  </si>
  <si>
    <t>ssmt-mfrs-cor_2022-12-31.xsd#ssmt-mfrs_InvestmentsInSubsidiariesAbstract</t>
  </si>
  <si>
    <t>ssmt-mfrs-cor_2022-12-31.xsd#ssmt-mfrs_InvestmentInSubsidiariesUnquotedSharesInMalaysiaNetOfImpairmentLosses@http://xbrl.ssm.com.my/role/ssm/lab_rol_ssmt-fs-mfrs_2022-12-31/ReportingLabel</t>
  </si>
  <si>
    <t>ssmt-mfrs-cor_2022-12-31.xsd#ssmt-mfrs_InvestmentInSubsidiariesQuotedSharesInMalaysia@http://xbrl.ssm.com.my/role/ssm/lab_rol_ssmt-fs-mfrs_2022-12-31/ReportingLabel</t>
  </si>
  <si>
    <t>ssmt-mfrs-cor_2022-12-31.xsd#ssmt-mfrs_InvestmentInSubsidiariesQuotedSharesOutsideMalaysia@http://xbrl.ssm.com.my/role/ssm/lab_rol_ssmt-fs-mfrs_2022-12-31/ReportingLabel</t>
  </si>
  <si>
    <t>ssmt-mfrs-cor_2022-12-31.xsd#ssmt-mfrs_InvestmentInSubsidiariesFairValueAdjustmentsOnLoansAndAdvancesAndFinancialGuarantee@http://xbrl.ssm.com.my/role/ssm/lab_rol_ssmt-fs-mfrs_2022-12-31/ReportingLabel</t>
  </si>
  <si>
    <t>ssmt-mfrs-cor_2022-12-31.xsd#ssmt-mfrs_ContributionsToSubsidiariesNetOfImpairmentLosses</t>
  </si>
  <si>
    <t>ssmt-mfrs-cor_2022-12-31.xsd#ssmt-mfrs_InvestmentsInSubsidiariesOtherInvestmentsNetOfImpairmentLosses@http://xbrl.ssm.com.my/role/ssm/lab_rol_ssmt-fs-mfrs_2022-12-31/ReportingLabel</t>
  </si>
  <si>
    <t>full_ifrs-cor_2022-03-24.xsd#ifrs-full_InvestmentsInSubsidiaries@http://xbrl.ssm.com.my/role/ssm/fs/mfrs/lab_rol_ssmt-fs-mfrs_2022-12-31/ReportingTotalLabel</t>
  </si>
  <si>
    <t>ssmt-mfrs-cor_2022-12-31.xsd#ssmt-mfrs_InvestmentsInAssociatesAbstract</t>
  </si>
  <si>
    <t>ssmt-mfrs-cor_2022-12-31.xsd#ssmt-mfrs_InvestmentInAssociatesUnquotedSharesInMalaysiaNetOfImpairmentLosses@http://xbrl.ssm.com.my/role/ssm/lab_rol_ssmt-fs-mfrs_2022-12-31/ReportingLabel</t>
  </si>
  <si>
    <t>ssmt-mfrs-cor_2022-12-31.xsd#ssmt-mfrs_InvestmentInAssociatesQuotedSharesInMalaysia@http://xbrl.ssm.com.my/role/ssm/lab_rol_ssmt-fs-mfrs_2022-12-31/ReportingLabel</t>
  </si>
  <si>
    <t>ssmt-mfrs-cor_2022-12-31.xsd#ssmt-mfrs_InvestmentInAssociatesQuotedSharesOutsideMalaysia@http://xbrl.ssm.com.my/role/ssm/lab_rol_ssmt-fs-mfrs_2022-12-31/ReportingLabel</t>
  </si>
  <si>
    <t>ssmt-mfrs-cor_2022-12-31.xsd#ssmt-mfrs_InvestmentInAssociatesFairValueAdjustmentsOnLoansAndAdvancesAndFinancialGuarantee@http://xbrl.ssm.com.my/role/ssm/lab_rol_ssmt-fs-mfrs_2022-12-31/ReportingLabel</t>
  </si>
  <si>
    <t>ssmt-mfrs-cor_2022-12-31.xsd#ssmt-mfrs_InvestmentsInAssociatesShareOfPostAcquisitionProfitsAndReserves</t>
  </si>
  <si>
    <t>ssmt-mfrs-cor_2022-12-31.xsd#ssmt-mfrs_InvestmentInAssociatesUnrealisedProfitOnTransactionsWithAssociates@http://xbrl.ssm.com.my/role/ssm/lab_rol_ssmt-fs-mfrs_2022-12-31/ReportingLabel</t>
  </si>
  <si>
    <t>ssmt-mfrs-cor_2022-12-31.xsd#ssmt-mfrs_InvestmentsInAssociatesOtherInvestmentsNetOfImpairmentLosses@http://xbrl.ssm.com.my/role/ssm/lab_rol_ssmt-fs-mfrs_2022-12-31/ReportingLabel</t>
  </si>
  <si>
    <t>full_ifrs-cor_2022-03-24.xsd#ifrs-full_InvestmentsInAssociates@http://xbrl.ssm.com.my/role/ssm/fs/mfrs/lab_rol_ssmt-fs-mfrs_2022-12-31/ReportingTotalLabel</t>
  </si>
  <si>
    <t>ssmt-mfrs-cor_2022-12-31.xsd#ssmt-mfrs_InvestmentsInJointVentureAbstract</t>
  </si>
  <si>
    <t>ssmt-mfrs-cor_2022-12-31.xsd#ssmt-mfrs_InvestmentInJointVenturesUnquotedSharesInMalaysiaNetOfImpairmentLosses@http://xbrl.ssm.com.my/role/ssm/lab_rol_ssmt-fs-mfrs_2022-12-31/ReportingLabel</t>
  </si>
  <si>
    <t>ssmt-mfrs-cor_2022-12-31.xsd#ssmt-mfrs_InvestmentInJointVenturesQuotedSharesInMalaysia@http://xbrl.ssm.com.my/role/ssm/lab_rol_ssmt-fs-mfrs_2022-12-31/ReportingLabel</t>
  </si>
  <si>
    <t>ssmt-mfrs-cor_2022-12-31.xsd#ssmt-mfrs_InvestmentInJointVenturesQuotedSharesOutsideMalaysia@http://xbrl.ssm.com.my/role/ssm/lab_rol_ssmt-fs-mfrs_2022-12-31/ReportingLabel</t>
  </si>
  <si>
    <t>ssmt-mfrs-cor_2022-12-31.xsd#ssmt-mfrs_InvestmentInJointVenturesFairValueAdjustmentsOnLoansAdvancesAndFinancialGuarantee@http://xbrl.ssm.com.my/role/ssm/lab_rol_ssmt-fs-mfrs_2022-12-31/ReportingLabel</t>
  </si>
  <si>
    <t>ssmt-mfrs-cor_2022-12-31.xsd#ssmt-mfrs_InvestmentsInJointVentureShareOfPostAcquisitionProfitsAndReserves</t>
  </si>
  <si>
    <t>ssmt-mfrs-cor_2022-12-31.xsd#ssmt-mfrs_InvestmentsInJointVentureUnrealisedProfitOnTransactionsWithJointVentures</t>
  </si>
  <si>
    <t>ssmt-mfrs-cor_2022-12-31.xsd#ssmt-mfrs_InvestmentsInJointVentureOtherInvestment</t>
  </si>
  <si>
    <t>full_ifrs-cor_2022-03-24.xsd#ifrs-full_InvestmentsInJointVentures@http://xbrl.ssm.com.my/role/ssm/fs/mfrs/lab_rol_ssmt-fs-mfrs_2022-12-31/ReportingTotalLabel</t>
  </si>
  <si>
    <t>full_ifrs-cor_2022-03-24.xsd#ifrs-full_NoncurrentReceivablesAbstract</t>
  </si>
  <si>
    <t>ssmt-mfrs-cor_2022-12-31.xsd#ssmt-mfrs_NoncurrentTradeReceivablesAbstract</t>
  </si>
  <si>
    <t>ssmt-mfrs-cor_2022-12-31.xsd#ssmt-mfrs_NoncurrentTradeReceivablesDueFromCustomers</t>
  </si>
  <si>
    <t>ssmt-mfrs-cor_2022-12-31.xsd#ssmt-mfrs_NoncurrentTradeReceivablesDueFromHoldingCompany@http://xbrl.ssm.com.my/role/ssm/lab_rol_ssmt-fs-mfrs_2022-12-31/ReportingLabel</t>
  </si>
  <si>
    <t>ssmt-mfrs-cor_2022-12-31.xsd#ssmt-mfrs_NoncurrentTradeReceivablesDueFromSubsidiaries@http://xbrl.ssm.com.my/role/ssm/lab_rol_ssmt-fs-mfrs_2022-12-31/ReportingLabel</t>
  </si>
  <si>
    <t>ssmt-mfrs-cor_2022-12-31.xsd#ssmt-mfrs_NoncurrentTradeReceivablesDueFromAssociates@http://xbrl.ssm.com.my/role/ssm/lab_rol_ssmt-fs-mfrs_2022-12-31/ReportingLabel</t>
  </si>
  <si>
    <t>ssmt-mfrs-cor_2022-12-31.xsd#ssmt-mfrs_NoncurrentTradeReceivablesDueFromJointVentures@http://xbrl.ssm.com.my/role/ssm/lab_rol_ssmt-fs-mfrs_2022-12-31/ReportingLabel</t>
  </si>
  <si>
    <t>ssmt-mfrs-cor_2022-12-31.xsd#ssmt-mfrs_NoncurrentTradeReceivablesDueFromRelatedParties@http://xbrl.ssm.com.my/role/ssm/lab_rol_ssmt-fs-mfrs_2022-12-31/ReportingLabel</t>
  </si>
  <si>
    <t>ssmt-mfrs-cor_2022-12-31.xsd#ssmt-mfrs_OtherNoncurrentTradeReceivables</t>
  </si>
  <si>
    <t>full_ifrs-cor_2022-03-24.xsd#ifrs-full_NoncurrentTradeReceivables@http://xbrl.ssm.com.my/role/ssm/fs/mfrs/lab_rol_ssmt-fs-mfrs_2022-12-31/ReportingTotalLabel</t>
  </si>
  <si>
    <t>ssmt-mfrs-cor_2022-12-31.xsd#ssmt-mfrs_OtherNoncurrentReceivablesAbstract</t>
  </si>
  <si>
    <t>ssmt-mfrs-cor_2022-12-31.xsd#ssmt-mfrs_OtherNoncurrentReceivablesDueFromRelatedPartiesAbstract</t>
  </si>
  <si>
    <t>ssmt-mfrs-cor_2022-12-31.xsd#ssmt-mfrs_OtherNoncurrentReceivablesDueFromHoldingCompany@http://xbrl.ssm.com.my/role/ssm/lab_rol_ssmt-fs-mfrs_2022-12-31/ReportingLabel</t>
  </si>
  <si>
    <t>ssmt-mfrs-cor_2022-12-31.xsd#ssmt-mfrs_OtherNoncurrentReceivablesDueFromSubsidiaries@http://xbrl.ssm.com.my/role/ssm/lab_rol_ssmt-fs-mfrs_2022-12-31/ReportingLabel</t>
  </si>
  <si>
    <t>ssmt-mfrs-cor_2022-12-31.xsd#ssmt-mfrs_OtherNoncurrentReceivablesDueFromAssociates@http://xbrl.ssm.com.my/role/ssm/lab_rol_ssmt-fs-mfrs_2022-12-31/ReportingLabel</t>
  </si>
  <si>
    <t>ssmt-mfrs-cor_2022-12-31.xsd#ssmt-mfrs_OtherNoncurrentReceivablesDueFromJointVentures@http://xbrl.ssm.com.my/role/ssm/lab_rol_ssmt-fs-mfrs_2022-12-31/ReportingLabel</t>
  </si>
  <si>
    <t>ssmt-mfrs-cor_2022-12-31.xsd#ssmt-mfrs_MiscellaneousOtherNoncurrentReceivablesDueFromRelatedCompanies@http://xbrl.ssm.com.my/role/ssm/lab_rol_ssmt-fs-mfrs_2022-12-31/ReportingLabel</t>
  </si>
  <si>
    <t>ssmt-mfrs-cor_2022-12-31.xsd#ssmt-mfrs_OtherNoncurrentReceivablesDueFromRelatedParties@http://www.xbrl.org/2003/role/totalLabel</t>
  </si>
  <si>
    <t>ssmt-mfrs-cor_2022-12-31.xsd#ssmt-mfrs_OtherNoncurrentNontradeReceivablesAbstract</t>
  </si>
  <si>
    <t>ssmt-mfrs-cor_2022-12-31.xsd#ssmt-mfrs_OtherNoncurrentNontradePrepaymentAndAccruedIncome@http://xbrl.ssm.com.my/role/ssm/lab_rol_ssmt-fs-mfrs_2022-12-31/ReportingLabel</t>
  </si>
  <si>
    <t>ssmt-mfrs-cor_2022-12-31.xsd#ssmt-mfrs_OtherNoncurrentNontradeLeaseAndHirePurchaseReceivables</t>
  </si>
  <si>
    <t>ssmt-mfrs-cor_2022-12-31.xsd#ssmt-mfrs_OtherNoncurrentNontradeMiscellaneous</t>
  </si>
  <si>
    <t>ssmt-mfrs-cor_2022-12-31.xsd#ssmt-mfrs_OtherNoncurrentNontradeReceivables@http://www.xbrl.org/2003/role/totalLabel</t>
  </si>
  <si>
    <t>full_ifrs-cor_2022-03-24.xsd#ifrs-full_OtherNoncurrentReceivables@http://xbrl.ssm.com.my/role/ssm/fs/mfrs/lab_rol_ssmt-fs-mfrs_2022-12-31/ReportingTotalLabel</t>
  </si>
  <si>
    <t>full_ifrs-cor_2022-03-24.xsd#ifrs-full_NoncurrentReceivables@http://www.xbrl.org/2003/role/totalLabel</t>
  </si>
  <si>
    <t>ssmt-mfrs-cor_2022-12-31.xsd#ssmt-mfrs_NoncurrentDerivativeFinancialAssetsAbstract</t>
  </si>
  <si>
    <t>ssmt-mfrs-cor_2022-12-31.xsd#ssmt-mfrs_NoncurrentDerivativeFinancialAssetsAtFairValueThroughProfitOrLossAbstract</t>
  </si>
  <si>
    <t>ssmt-mfrs-cor_2022-12-31.xsd#ssmt-mfrs_NoncurrentDerivativeFinancialAssetsForwardContract@http://xbrl.ssm.com.my/role/ssm/lab_rol_ssmt-fs-mfrs_2022-12-31/ReportingLabel</t>
  </si>
  <si>
    <t>ssmt-mfrs-cor_2022-12-31.xsd#ssmt-mfrs_NoncurrentDerivativeFinancialAssetsOptions@http://xbrl.ssm.com.my/role/ssm/lab_rol_ssmt-fs-mfrs_2022-12-31/ReportingLabel</t>
  </si>
  <si>
    <t>ssmt-mfrs-cor_2022-12-31.xsd#ssmt-mfrs_NoncurrentDerivativeFinancialAssetsSwaps@http://xbrl.ssm.com.my/role/ssm/lab_rol_ssmt-fs-mfrs_2022-12-31/ReportingLabel</t>
  </si>
  <si>
    <t>ssmt-mfrs-cor_2022-12-31.xsd#ssmt-mfrs_NoncurrentOtherDerivativeFinancialAssetsAtFairValueThroughProfitOrLoss@http://xbrl.ssm.com.my/role/ssm/lab_rol_ssmt-fs-mfrs_2022-12-31/ReportingLabel</t>
  </si>
  <si>
    <t>ssmt-mfrs-cor_2022-12-31.xsd#ssmt-mfrs_NoncurrentDerivativeFinancialAssetsAtFairValueThroughProfitOrLoss@http://xbrl.ssm.com.my/role/ssm/fs/mfrs/lab_rol_ssmt-fs-mfrs_2022-12-31/ReportingTotalLabel</t>
  </si>
  <si>
    <t>ssmt-mfrs-cor_2022-12-31.xsd#ssmt-mfrs_NoncurrentDerivativeFinancialAssetsOthers@http://xbrl.ssm.com.my/role/ssm/lab_rol_ssmt-fs-mfrs_2022-12-31/ReportingLabel</t>
  </si>
  <si>
    <t>full_ifrs-cor_2022-03-24.xsd#ifrs-full_NoncurrentDerivativeFinancialAssets@http://xbrl.ssm.com.my/role/ssm/fs/mfrs/lab_rol_ssmt-fs-mfrs_2022-12-31/ReportingTotalLabel</t>
  </si>
  <si>
    <t>ssmt-mfrs-cor_2022-12-31.xsd#ssmt-mfrs_InventoriesAbstract</t>
  </si>
  <si>
    <t>full_ifrs-cor_2022-03-24.xsd#ifrs-full_RawMaterials@http://xbrl.ssm.com.my/role/ssm/lab_rol_ssmt-fs-mfrs_2022-12-31/ReportingLabel</t>
  </si>
  <si>
    <t>full_ifrs-cor_2022-03-24.xsd#ifrs-full_WorkInProgress@http://xbrl.ssm.com.my/role/ssm/lab_rol_ssmt-fs-mfrs_2022-12-31/ReportingLabel</t>
  </si>
  <si>
    <t>full_ifrs-cor_2022-03-24.xsd#ifrs-full_FinishedGoods@http://xbrl.ssm.com.my/role/ssm/lab_rol_ssmt-fs-mfrs_2022-12-31/ReportingLabel</t>
  </si>
  <si>
    <t>full_ifrs-cor_2022-03-24.xsd#ifrs-full_SpareParts@http://xbrl.ssm.com.my/role/ssm/lab_rol_ssmt-fs-mfrs_2022-12-31/ReportingLabel</t>
  </si>
  <si>
    <t>full_ifrs-cor_2022-03-24.xsd#ifrs-full_OtherInventories@http://xbrl.ssm.com.my/role/ssm/lab_rol_ssmt-fs-mfrs_2022-12-31/ReportingLabel</t>
  </si>
  <si>
    <t>full_ifrs-cor_2022-03-24.xsd#ifrs-full_InventoriesTotal@http://xbrl.ssm.com.my/role/ssm/fs/mfrs/lab_rol_ssmt-fs-mfrs_2022-12-31/ReportingTotalLabel</t>
  </si>
  <si>
    <t>full_ifrs-cor_2022-03-24.xsd#ifrs-full_TradeAndOtherCurrentReceivablesAbstract</t>
  </si>
  <si>
    <t>ssmt-mfrs-cor_2022-12-31.xsd#ssmt-mfrs_CurrentTradeReceivablesAbstract</t>
  </si>
  <si>
    <t>ssmt-mfrs-cor_2022-12-31.xsd#ssmt-mfrs_CurrentTradeReceivablesDueFromCustomers</t>
  </si>
  <si>
    <t>ssmt-mfrs-cor_2022-12-31.xsd#ssmt-mfrs_CurrentTradeReceivablesDueFromContractCustomers@http://xbrl.ssm.com.my/role/ssm/lab_rol_ssmt-fs-mfrs_2022-12-31/ReportingLabel</t>
  </si>
  <si>
    <t>ssmt-mfrs-cor_2022-12-31.xsd#ssmt-mfrs_CurrentTradeReceivablesDueFromHoldingCompany@http://xbrl.ssm.com.my/role/ssm/lab_rol_ssmt-fs-mfrs_2022-12-31/ReportingLabel</t>
  </si>
  <si>
    <t>ssmt-mfrs-cor_2022-12-31.xsd#ssmt-mfrs_CurrentTradeReceivablesDueFromSubsidiaries@http://xbrl.ssm.com.my/role/ssm/lab_rol_ssmt-fs-mfrs_2022-12-31/ReportingLabel</t>
  </si>
  <si>
    <t>ssmt-mfrs-cor_2022-12-31.xsd#ssmt-mfrs_CurrentTradeReceivablesDueFromAssociates@http://xbrl.ssm.com.my/role/ssm/lab_rol_ssmt-fs-mfrs_2022-12-31/ReportingLabel</t>
  </si>
  <si>
    <t>ssmt-mfrs-cor_2022-12-31.xsd#ssmt-mfrs_CurrentTradeReceivablesDueFromJointVentures@http://xbrl.ssm.com.my/role/ssm/lab_rol_ssmt-fs-mfrs_2022-12-31/ReportingLabel</t>
  </si>
  <si>
    <t>ssmt-mfrs-cor_2022-12-31.xsd#ssmt-mfrs_CurrentTradeReceivablesDueFromRelatedParties@http://xbrl.ssm.com.my/role/ssm/lab_rol_ssmt-fs-mfrs_2022-12-31/ReportingLabel</t>
  </si>
  <si>
    <t>ssmt-mfrs-cor_2022-12-31.xsd#ssmt-mfrs_TradeReceivablesUnearnedCurrentCarryingCharges@http://xbrl.ssm.com.my/role/ssm/lab_rol_ssmt-fs-mfrs_2022-12-31/ReportingLabel</t>
  </si>
  <si>
    <t>ssmt-mfrs-cor_2022-12-31.xsd#ssmt-mfrs_OtherCurrentTradeReceivables</t>
  </si>
  <si>
    <t>full_ifrs-cor_2022-03-24.xsd#ifrs-full_CurrentTradeReceivables@http://xbrl.ssm.com.my/role/ssm/fs/mfrs/lab_rol_ssmt-fs-mfrs_2022-12-31/ReportingTotalLabel</t>
  </si>
  <si>
    <t>ssmt-mfrs-cor_2022-12-31.xsd#ssmt-mfrs_OtherCurrentReceivablesAbstract</t>
  </si>
  <si>
    <t>ssmt-mfrs-cor_2022-12-31.xsd#ssmt-mfrs_OtherCurrentReceivablesDueFromRelatedPartiesAbstract</t>
  </si>
  <si>
    <t>ssmt-mfrs-cor_2022-12-31.xsd#ssmt-mfrs_OtherCurrentReceivablesDueFromHoldingCompany@http://xbrl.ssm.com.my/role/ssm/lab_rol_ssmt-fs-mfrs_2022-12-31/ReportingLabel</t>
  </si>
  <si>
    <t>ssmt-mfrs-cor_2022-12-31.xsd#ssmt-mfrs_OtherCurrentReceivablesDueFromSubsidiaries@http://xbrl.ssm.com.my/role/ssm/lab_rol_ssmt-fs-mfrs_2022-12-31/ReportingLabel</t>
  </si>
  <si>
    <t>ssmt-mfrs-cor_2022-12-31.xsd#ssmt-mfrs_OtherCurrentReceivablesDueFromAssociates@http://xbrl.ssm.com.my/role/ssm/lab_rol_ssmt-fs-mfrs_2022-12-31/ReportingLabel</t>
  </si>
  <si>
    <t>ssmt-mfrs-cor_2022-12-31.xsd#ssmt-mfrs_OtherCurrentReceivablesDueFromJointVentures@http://xbrl.ssm.com.my/role/ssm/lab_rol_ssmt-fs-mfrs_2022-12-31/ReportingLabel</t>
  </si>
  <si>
    <t>ssmt-mfrs-cor_2022-12-31.xsd#ssmt-mfrs_OtherCurrentReceivablesDueFromOtherRelatedParties</t>
  </si>
  <si>
    <t>ssmt-mfrs-cor_2022-12-31.xsd#ssmt-mfrs_OtherCurrentReceivablesDueFromRelatedParties@http://xbrl.ssm.com.my/role/ssm/fs/mfrs/lab_rol_ssmt-fs-mfrs_2022-12-31/ReportingTotalLabel</t>
  </si>
  <si>
    <t>ssmt-mfrs-cor_2022-12-31.xsd#ssmt-mfrs_OtherCurrentPrepaymentsAndCurrentAccruedIncomeAbstract</t>
  </si>
  <si>
    <t>ssmt-mfrs-cor_2022-12-31.xsd#ssmt-mfrs_OtherCurrentPrepayments</t>
  </si>
  <si>
    <t>ssmt-mfrs-cor_2022-12-31.xsd#ssmt-mfrs_OtherCurrentAccruedIncome</t>
  </si>
  <si>
    <t>ssmt-mfrs-cor_2022-12-31.xsd#ssmt-mfrs_OtherCurrentPrepaymentsAndCurrentAccruedIncome@http://xbrl.ssm.com.my/role/ssm/fs/mfrs/lab_rol_ssmt-fs-mfrs_2022-12-31/ReportingTotalLabel</t>
  </si>
  <si>
    <t>ssmt-mfrs-cor_2022-12-31.xsd#ssmt-mfrs_OtherCurrentNontradeReceivablesAbstract</t>
  </si>
  <si>
    <t>ssmt-mfrs-cor_2022-12-31.xsd#ssmt-mfrs_OtherCurrentNontradeFinanceIncomeReceivable@http://xbrl.ssm.com.my/role/ssm/lab_rol_ssmt-fs-mfrs_2022-12-31/ReportingLabel</t>
  </si>
  <si>
    <t>ssmt-mfrs-cor_2022-12-31.xsd#ssmt-mfrs_OtherCurrentNontradeDeposits</t>
  </si>
  <si>
    <t>ssmt-mfrs-cor_2022-12-31.xsd#ssmt-mfrs_OtherCurrentNontradeDividendReceivables</t>
  </si>
  <si>
    <t>ssmt-mfrs-cor_2022-12-31.xsd#ssmt-mfrs_OtherCurrentNontradeLeaseAndHirePurchaseReceivables</t>
  </si>
  <si>
    <t>ssmt-mfrs-cor_2022-12-31.xsd#ssmt-mfrs_OtherCurrentMiscellaneousNontradeReceivables</t>
  </si>
  <si>
    <t>ssmt-mfrs-cor_2022-12-31.xsd#ssmt-mfrs_OtherCurrentNontradeReceivables@http://xbrl.ssm.com.my/role/ssm/fs/mfrs/lab_rol_ssmt-fs-mfrs_2022-12-31/ReportingTotalLabel</t>
  </si>
  <si>
    <t>full_ifrs-cor_2022-03-24.xsd#ifrs-full_OtherCurrentReceivables@http://xbrl.ssm.com.my/role/ssm/fs/mfrs/lab_rol_ssmt-fs-mfrs_2022-12-31/ReportingTotalLabel</t>
  </si>
  <si>
    <t>full_ifrs-cor_2022-03-24.xsd#ifrs-full_TradeAndOtherCurrentReceivables@http://www.xbrl.org/2003/role/totalLabel</t>
  </si>
  <si>
    <t>ssmt-mfrs-cor_2022-12-31.xsd#ssmt-mfrs_CurrentDerivativeFinancialAssetsAbstract</t>
  </si>
  <si>
    <t>ssmt-mfrs-cor_2022-12-31.xsd#ssmt-mfrs_CurrentDerivativeFinancialAssetsAtFairValueThroughProfitOrLossAbstract</t>
  </si>
  <si>
    <t>ssmt-mfrs-cor_2022-12-31.xsd#ssmt-mfrs_CurrentDerivativeFinancialAssetsForwardContract@http://xbrl.ssm.com.my/role/ssm/lab_rol_ssmt-fs-mfrs_2022-12-31/ReportingLabel</t>
  </si>
  <si>
    <t>ssmt-mfrs-cor_2022-12-31.xsd#ssmt-mfrs_CurrentDerivativeFinancialAssetsOptions@http://xbrl.ssm.com.my/role/ssm/lab_rol_ssmt-fs-mfrs_2022-12-31/ReportingLabel</t>
  </si>
  <si>
    <t>ssmt-mfrs-cor_2022-12-31.xsd#ssmt-mfrs_CurrentDerivativeFinancialAssetsSwaps@http://xbrl.ssm.com.my/role/ssm/lab_rol_ssmt-fs-mfrs_2022-12-31/ReportingLabel</t>
  </si>
  <si>
    <t>ssmt-mfrs-cor_2022-12-31.xsd#ssmt-mfrs_CurrentOtherDerivativeFinancialAssetsAtFairValueThroughProfitOrLoss@http://xbrl.ssm.com.my/role/ssm/lab_rol_ssmt-fs-mfrs_2022-12-31/ReportingLabel</t>
  </si>
  <si>
    <t>ssmt-mfrs-cor_2022-12-31.xsd#ssmt-mfrs_CurrentDerivativeFinancialAssetsAtFairValueThroughProfitOrLoss@http://xbrl.ssm.com.my/role/ssm/fs/mfrs/lab_rol_ssmt-fs-mfrs_2022-12-31/ReportingTotalLabel</t>
  </si>
  <si>
    <t>ssmt-mfrs-cor_2022-12-31.xsd#ssmt-mfrs_CurrentDerivativeFinancialAssetsOthers@http://xbrl.ssm.com.my/role/ssm/lab_rol_ssmt-fs-mfrs_2022-12-31/ReportingLabel</t>
  </si>
  <si>
    <t>full_ifrs-cor_2022-03-24.xsd#ifrs-full_CurrentDerivativeFinancialAssets@http://xbrl.ssm.com.my/role/ssm/fs/mfrs/lab_rol_ssmt-fs-mfrs_2022-12-31/ReportingTotalLabel</t>
  </si>
  <si>
    <t>full_ifrs-cor_2022-03-24.xsd#ifrs-full_CashAndCashEquivalentsAbstract</t>
  </si>
  <si>
    <t>full_ifrs-cor_2022-03-24.xsd#ifrs-full_CashAbstract</t>
  </si>
  <si>
    <t>full_ifrs-cor_2022-03-24.xsd#ifrs-full_CashOnHand@http://xbrl.ssm.com.my/role/ssm/lab_rol_ssmt-fs-mfrs_2022-12-31/ReportingLabel</t>
  </si>
  <si>
    <t>full_ifrs-cor_2022-03-24.xsd#ifrs-full_BalancesWithBanks@http://xbrl.ssm.com.my/role/ssm/lab_rol_ssmt-fs-mfrs_2022-12-31/ReportingLabel</t>
  </si>
  <si>
    <t>full_ifrs-cor_2022-03-24.xsd#ifrs-full_Cash@http://www.xbrl.org/2003/role/totalLabel</t>
  </si>
  <si>
    <t>full_ifrs-cor_2022-03-24.xsd#ifrs-full_CashEquivalentsAbstract</t>
  </si>
  <si>
    <t>ssmt-mfrs-cor_2022-12-31.xsd#ssmt-mfrs_DepositsAndPlacementsWithLicensedBanks@http://xbrl.ssm.com.my/role/ssm/lab_rol_ssmt-fs-mfrs_2022-12-31/ReportingLabel</t>
  </si>
  <si>
    <t>ssmt-mfrs-cor_2022-12-31.xsd#ssmt-mfrs_DepositsPlacedWithOtherCorporations</t>
  </si>
  <si>
    <t>ssmt-mfrs-cor_2022-12-31.xsd#ssmt-mfrs_CashEquivalentsWithOtherFinancialInstitutions</t>
  </si>
  <si>
    <t>full_ifrs-cor_2022-03-24.xsd#ifrs-full_ShorttermDepositsClassifiedAsCashEquivalents@http://xbrl.ssm.com.my/role/ssm/lab_rol_ssmt-fs-mfrs_2022-12-31/ReportingLabel</t>
  </si>
  <si>
    <t>full_ifrs-cor_2022-03-24.xsd#ifrs-full_ShorttermInvestmentsClassifiedAsCashEquivalents@http://xbrl.ssm.com.my/role/ssm/lab_rol_ssmt-fs-mfrs_2022-12-31/ReportingLabel</t>
  </si>
  <si>
    <t>full_ifrs-cor_2022-03-24.xsd#ifrs-full_BankingArrangementsClassifiedAsCashEquivalents@http://xbrl.ssm.com.my/role/ssm/lab_rol_ssmt-fs-mfrs_2022-12-31/ReportingLabel</t>
  </si>
  <si>
    <t>full_ifrs-cor_2022-03-24.xsd#ifrs-full_CashEquivalents@http://www.xbrl.org/2003/role/totalLabel</t>
  </si>
  <si>
    <t>full_ifrs-cor_2022-03-24.xsd#ifrs-full_OtherCashAndCashEquivalents</t>
  </si>
  <si>
    <t>ssmt-cor_2022-12-31.xsd#ssmt_CashAndBankBalances@http://xbrl.ssm.com.my/role/ssm/fs/mfrs/lab_rol_ssmt-fs-mfrs_2022-12-31/ReportingTotalLabel</t>
  </si>
  <si>
    <t>ssmt-mfrs-cor_2022-12-31.xsd#ssmt-mfrs_OtherNoncurrentAssetsAbstract</t>
  </si>
  <si>
    <t>ssmt-mfrs-cor_2022-12-31.xsd#ssmt-mfrs_PrepaidRentalForBuildingAndFacilities</t>
  </si>
  <si>
    <t>ssmt-mfrs-cor_2022-12-31.xsd#ssmt-mfrs_PrepaidLandLease</t>
  </si>
  <si>
    <t>ssmt-mfrs-cor_2022-12-31.xsd#ssmt-mfrs_MiscellaneousOtherNoncurrentAssets</t>
  </si>
  <si>
    <t>full_ifrs-cor_2022-03-24.xsd#ifrs-full_OtherNoncurrentAssets@http://xbrl.ssm.com.my/role/ssm/fs/mfrs/lab_rol_ssmt-fs-mfrs_2022-12-31/ReportingTotalLabel</t>
  </si>
  <si>
    <t>ssmt-mfrs-cor_2022-12-31.xsd#ssmt-mfrs_IssuedCapitalAbstract</t>
  </si>
  <si>
    <t>ssmt-mfrs-cor_2022-12-31.xsd#ssmt-mfrs_CapitalFromOrdinaryShares</t>
  </si>
  <si>
    <t>ssmt-mfrs-cor_2022-12-31.xsd#ssmt-mfrs_CapitalFromRedeemablePreferenceShares</t>
  </si>
  <si>
    <t>ssmt-mfrs-cor_2022-12-31.xsd#ssmt-mfrs_CapitalFromNonredeemablePreferenceShares</t>
  </si>
  <si>
    <t>full_ifrs-cor_2022-03-24.xsd#ifrs-full_IssuedCapital@http://xbrl.ssm.com.my/role/ssm/fs/mfrs/lab_rol_ssmt-fs-mfrs_2022-12-31/ReportingTotalLabel</t>
  </si>
  <si>
    <t>ssmt-mfrs-cor_2022-12-31.xsd#ssmt-mfrs_OtherReservesAbstract@http://xbrl.ssm.com.my/role/ssm/lab_rol_ssmt-fs-mfrs_2022-12-31/ReportingLabel</t>
  </si>
  <si>
    <t>ssmt-mfrs-cor_2022-12-31.xsd#ssmt-mfrs_NondistributableReservesAbstract</t>
  </si>
  <si>
    <t>full_ifrs-cor_2022-03-24.xsd#ifrs-full_CapitalReserve</t>
  </si>
  <si>
    <t>full_ifrs-cor_2022-03-24.xsd#ifrs-full_ReserveOfCashFlowHedges@http://xbrl.ssm.com.my/role/ssm/lab_rol_ssmt-fs-mfrs_2022-12-31/ReportingLabel</t>
  </si>
  <si>
    <t>full_ifrs-cor_2022-03-24.xsd#ifrs-full_ReserveOfExchangeDifferencesOnTranslation@http://xbrl.ssm.com.my/role/ssm/lab_rol_ssmt-fs-mfrs_2022-12-31/ReportingLabel</t>
  </si>
  <si>
    <t>full_ifrs-cor_2022-03-24.xsd#ifrs-full_ReserveOfSharebasedPayments</t>
  </si>
  <si>
    <t>full_ifrs-cor_2022-03-24.xsd#ifrs-full_RevaluationSurplus</t>
  </si>
  <si>
    <t>full_ifrs-cor_2022-03-24.xsd#ifrs-full_StatutoryReserve</t>
  </si>
  <si>
    <t>full_ifrs-cor_2022-03-24.xsd#ifrs-full_WarrantReserve</t>
  </si>
  <si>
    <t>ssmt-mfrs-cor_2022-12-31.xsd#ssmt-mfrs_OtherNondistributableReserves</t>
  </si>
  <si>
    <t>ssmt-mfrs-cor_2022-12-31.xsd#ssmt-mfrs_NondistributableReserves@http://xbrl.ssm.com.my/role/ssm/fs/mfrs/lab_rol_ssmt-fs-mfrs_2022-12-31/ReportingTotalLabel</t>
  </si>
  <si>
    <t>ssmt-mfrs-cor_2022-12-31.xsd#ssmt-mfrs_DistributableReserveAbstract</t>
  </si>
  <si>
    <t>ssmt-mfrs-cor_2022-12-31.xsd#ssmt-mfrs_FairValueReserves</t>
  </si>
  <si>
    <t>ssmt-mfrs-cor_2022-12-31.xsd#ssmt-mfrs_ReserveOfNoncurrentAssetsClassifiedAsHeldForSale</t>
  </si>
  <si>
    <t>ssmt-mfrs-cor_2022-12-31.xsd#ssmt-mfrs_ConsolidatedReserve</t>
  </si>
  <si>
    <t>ssmt-mfrs-cor_2022-12-31.xsd#ssmt-mfrs_WarrantyReserve</t>
  </si>
  <si>
    <t>ssmt-mfrs-cor_2022-12-31.xsd#ssmt-mfrs_OtherDistributableReserve</t>
  </si>
  <si>
    <t>ssmt-mfrs-cor_2022-12-31.xsd#ssmt-mfrs_DistributableReserve@http://xbrl.ssm.com.my/role/ssm/fs/mfrs/lab_rol_ssmt-fs-mfrs_2022-12-31/ReportingTotalLabel</t>
  </si>
  <si>
    <t>full_ifrs-cor_2022-03-24.xsd#ifrs-full_OtherReserves@http://xbrl.ssm.com.my/role/ssm/fs/mfrs/lab_rol_ssmt-fs-mfrs_2022-12-31/ReportingTotalLabel</t>
  </si>
  <si>
    <t>ssmt-mfrs-cor_2022-12-31.xsd#ssmt-mfrs_OtherComponentsOfEquityAbstract@http://xbrl.ssm.com.my/role/ssm/lab_rol_ssmt-fs-mfrs_2022-12-31/ReportingLabel</t>
  </si>
  <si>
    <t>ssmt-mfrs-cor_2022-12-31.xsd#ssmt-mfrs_PerpetualSukuk</t>
  </si>
  <si>
    <t>ssmt-mfrs-cor_2022-12-31.xsd#ssmt-mfrs_EquityComponentOfIrredeemableConvertibleUnsecuredLoanStocks</t>
  </si>
  <si>
    <t>ssmt-mfrs-cor_2022-12-31.xsd#ssmt-mfrs_EquityComponentOfPreferenceShares</t>
  </si>
  <si>
    <t>ssmt-mfrs-cor_2022-12-31.xsd#ssmt-mfrs_HeadOfficeAccounts</t>
  </si>
  <si>
    <t>ssmt-mfrs-cor_2022-12-31.xsd#ssmt-mfrs_EquityComponentsOfOtherFinancialInstruments</t>
  </si>
  <si>
    <t>ssmt-mfrs-cor_2022-12-31.xsd#ssmt-mfrs_OtherComponentsOfEquity@http://xbrl.ssm.com.my/role/ssm/fs/mfrs/lab_rol_ssmt-fs-mfrs_2022-12-31/ReportingTotalLabel</t>
  </si>
  <si>
    <t>full_ifrs-cor_2022-03-24.xsd#ifrs-full_NoncurrentPortionOfNoncurrentBorrowingsByTypeAbstract@http://xbrl.ssm.com.my/role/ssm/lab_rol_ssmt-fs-mfrs_2022-12-31/ReportingLabel</t>
  </si>
  <si>
    <t>ssmt-mfrs-cor_2022-12-31.xsd#ssmt-mfrs_NoncurrentPortionOfNoncurrentSecuredBankLoansReceivedAbstract</t>
  </si>
  <si>
    <t>ssmt-mfrs-cor_2022-12-31.xsd#ssmt-mfrs_NoncurrentPortionOfSecuredTermLoans@http://xbrl.ssm.com.my/role/ssm/lab_rol_ssmt-fs-mfrs_2022-12-31/ReportingLabel</t>
  </si>
  <si>
    <t>ssmt-mfrs-cor_2022-12-31.xsd#ssmt-mfrs_NoncurrentPortionOfSecuredIslamicFinancingFacilities@http://xbrl.ssm.com.my/role/ssm/lab_rol_ssmt-fs-mfrs_2022-12-31/ReportingLabel</t>
  </si>
  <si>
    <t>ssmt-mfrs-cor_2022-12-31.xsd#ssmt-mfrs_NoncurrentPortionOfSecuredHirePurchaseAndFinanceLeaseLiabilities@http://xbrl.ssm.com.my/role/ssm/lab_rol_ssmt-fs-mfrs_2022-12-31/ReportingLabel</t>
  </si>
  <si>
    <t>ssmt-mfrs-cor_2022-12-31.xsd#ssmt-mfrs_NoncurrentPortionOfSecuredIslamicMediumTermNotes</t>
  </si>
  <si>
    <t>ssmt-mfrs-cor_2022-12-31.xsd#ssmt-mfrs_NoncurrentPortionOfSecuredSukuk@http://xbrl.ssm.com.my/role/ssm/lab_rol_ssmt-fs-mfrs_2022-12-31/ReportingLabel</t>
  </si>
  <si>
    <t>ssmt-mfrs-cor_2022-12-31.xsd#ssmt-mfrs_NoncurrentPortionOfSecuredRevolvingCreditAndOthers</t>
  </si>
  <si>
    <t>ssmt-mfrs-cor_2022-12-31.xsd#ssmt-mfrs_OtherNoncurrentSecuredBankLoans@http://xbrl.ssm.com.my/role/ssm/lab_rol_ssmt-fs-mfrs_2022-12-31/ReportingLabel</t>
  </si>
  <si>
    <t>full_ifrs-cor_2022-03-24.xsd#ifrs-full_NoncurrentPortionOfNoncurrentSecuredBankLoansReceived@http://xbrl.ssm.com.my/role/ssm/fs/mfrs/lab_rol_ssmt-fs-mfrs_2022-12-31/ReportingTotalLabel</t>
  </si>
  <si>
    <t>ssmt-mfrs-cor_2022-12-31.xsd#ssmt-mfrs_NoncurrentPortionOfNoncurrentUnsecuredBankLoansReceivedAbstract</t>
  </si>
  <si>
    <t>ssmt-mfrs-cor_2022-12-31.xsd#ssmt-mfrs_NoncurrentPortionOfUnsecuredTermLoans@http://xbrl.ssm.com.my/role/ssm/lab_rol_ssmt-fs-mfrs_2022-12-31/ReportingLabel</t>
  </si>
  <si>
    <t>ssmt-mfrs-cor_2022-12-31.xsd#ssmt-mfrs_NoncurrentPortionofUnsecuredIrredeemableConvertibleUnsecuredLoanStocks@http://xbrl.ssm.com.my/role/ssm/lab_rol_ssmt-fs-mfrs_2022-12-31/ReportingLabel</t>
  </si>
  <si>
    <t>ssmt-mfrs-cor_2022-12-31.xsd#ssmt-mfrs_NoncurrentPortionOfUnsecuredIslamicFinancingFacilities@http://xbrl.ssm.com.my/role/ssm/lab_rol_ssmt-fs-mfrs_2022-12-31/ReportingLabel</t>
  </si>
  <si>
    <t>ssmt-mfrs-cor_2022-12-31.xsd#ssmt-mfrs_NoncurrentPortionOfUnsecuredHirePurchaseAndFinanceLeaseLiabilities@http://xbrl.ssm.com.my/role/ssm/lab_rol_ssmt-fs-mfrs_2022-12-31/ReportingLabel</t>
  </si>
  <si>
    <t>ssmt-mfrs-cor_2022-12-31.xsd#ssmt-mfrs_NoncurrentPortionOfUnsecuredIslamicMediumTermNotes</t>
  </si>
  <si>
    <t>ssmt-mfrs-cor_2022-12-31.xsd#ssmt-mfrs_NoncurrentPortionOfUnsecuredSukuk@http://xbrl.ssm.com.my/role/ssm/lab_rol_ssmt-fs-mfrs_2022-12-31/ReportingLabel</t>
  </si>
  <si>
    <t>ssmt-mfrs-cor_2022-12-31.xsd#ssmt-mfrs_NoncurrentPortionOfUnsecuredRevolvingCreditAndOthers</t>
  </si>
  <si>
    <t>ssmt-mfrs-cor_2022-12-31.xsd#ssmt-mfrs_OtherNoncurrentUnsecuredBankLoans@http://xbrl.ssm.com.my/role/ssm/lab_rol_ssmt-fs-mfrs_2022-12-31/ReportingLabel</t>
  </si>
  <si>
    <t>full_ifrs-cor_2022-03-24.xsd#ifrs-full_NoncurrentPortionOfNoncurrentUnsecuredBankLoansReceived@http://xbrl.ssm.com.my/role/ssm/fs/mfrs/lab_rol_ssmt-fs-mfrs_2022-12-31/ReportingTotalLabel</t>
  </si>
  <si>
    <t>ssmt-mfrs-cor_2022-12-31.xsd#ssmt-mfrs_NoncurrentPortionOfSecuredBondsSukukAndLoanStockAbstract</t>
  </si>
  <si>
    <t>ssmt-mfrs-cor_2022-12-31.xsd#ssmt-mfrs_NoncurrentPortionOfSecuredBonds@http://xbrl.ssm.com.my/role/ssm/lab_rol_ssmt-fs-mfrs_2022-12-31/ReportingLabel</t>
  </si>
  <si>
    <t>ssmt-mfrs-cor_2022-12-31.xsd#ssmt-mfrs_NoncurrentPortionOfSecuredSukukAsPerShariahCommittee@http://xbrl.ssm.com.my/role/ssm/lab_rol_ssmt-fs-mfrs_2022-12-31/ReportingLabel</t>
  </si>
  <si>
    <t>ssmt-mfrs-cor_2022-12-31.xsd#ssmt-mfrs_NoncurrentPortionOfSecuredMediumTermNotes@http://xbrl.ssm.com.my/role/ssm/lab_rol_ssmt-fs-mfrs_2022-12-31/ReportingLabel</t>
  </si>
  <si>
    <t>ssmt-mfrs-cor_2022-12-31.xsd#ssmt-mfrs_NoncurrentPortionOfSecuredLoanStocks@http://xbrl.ssm.com.my/role/ssm/lab_rol_ssmt-fs-mfrs_2022-12-31/ReportingLabel</t>
  </si>
  <si>
    <t>ssmt-mfrs-cor_2022-12-31.xsd#ssmt-mfrs_NoncurrentPortionOfSecuredPreferenceShares@http://xbrl.ssm.com.my/role/ssm/lab_rol_ssmt-fs-mfrs_2022-12-31/ReportingLabel</t>
  </si>
  <si>
    <t>ssmt-mfrs-cor_2022-12-31.xsd#ssmt-mfrs_NoncurrentPortionOfSecuredBondsSukukAndLoanStock@http://xbrl.ssm.com.my/role/ssm/fs/mfrs/lab_rol_ssmt-fs-mfrs_2022-12-31/ReportingTotalLabel</t>
  </si>
  <si>
    <t>ssmt-mfrs-cor_2022-12-31.xsd#ssmt-mfrs_NoncurrentPortionOfUnsecuredBondsSukukAndLoanStockAbstract</t>
  </si>
  <si>
    <t>ssmt-mfrs-cor_2022-12-31.xsd#ssmt-mfrs_NoncurrentPortionOfUnsecuredBonds@http://xbrl.ssm.com.my/role/ssm/lab_rol_ssmt-fs-mfrs_2022-12-31/ReportingLabel</t>
  </si>
  <si>
    <t>ssmt-mfrs-cor_2022-12-31.xsd#ssmt-mfrs_NoncurrentPortionOfUnsecuredSukukAsPerShariahCommittee@http://xbrl.ssm.com.my/role/ssm/lab_rol_ssmt-fs-mfrs_2022-12-31/ReportingLabel</t>
  </si>
  <si>
    <t>ssmt-mfrs-cor_2022-12-31.xsd#ssmt-mfrs_NoncurrentPortionOfUnsecuredMediumTermNotes@http://xbrl.ssm.com.my/role/ssm/lab_rol_ssmt-fs-mfrs_2022-12-31/ReportingLabel</t>
  </si>
  <si>
    <t>ssmt-mfrs-cor_2022-12-31.xsd#ssmt-mfrs_NoncurrentPortionOfUnsecuredLoanStocks@http://xbrl.ssm.com.my/role/ssm/lab_rol_ssmt-fs-mfrs_2022-12-31/ReportingLabel</t>
  </si>
  <si>
    <t>ssmt-mfrs-cor_2022-12-31.xsd#ssmt-mfrs_NoncurrentPortionOfUnsecuredPreferenceShares@http://xbrl.ssm.com.my/role/ssm/lab_rol_ssmt-fs-mfrs_2022-12-31/ReportingLabel</t>
  </si>
  <si>
    <t>ssmt-mfrs-cor_2022-12-31.xsd#ssmt-mfrs_NoncurrentPortionOfUnsecuredBondsSukukAndLoanStock@http://xbrl.ssm.com.my/role/ssm/fs/mfrs/lab_rol_ssmt-fs-mfrs_2022-12-31/ReportingTotalLabel</t>
  </si>
  <si>
    <t>ssmt-mfrs-cor_2022-12-31.xsd#ssmt-mfrs_NoncurrentPortionOfOtherNoncurrentBorrowingsAbstract</t>
  </si>
  <si>
    <t>ssmt-mfrs-cor_2022-12-31.xsd#ssmt-mfrs_OtherNoncurrentPortionOfLoanFromSubsidiaries@http://xbrl.ssm.com.my/role/ssm/lab_rol_ssmt-fs-mfrs_2022-12-31/ReportingLabel</t>
  </si>
  <si>
    <t>ssmt-mfrs-cor_2022-12-31.xsd#ssmt-mfrs_OtherNoncurrentPortionOfLoanFromAssociates@http://xbrl.ssm.com.my/role/ssm/lab_rol_ssmt-fs-mfrs_2022-12-31/ReportingLabel</t>
  </si>
  <si>
    <t>ssmt-mfrs-cor_2022-12-31.xsd#ssmt-mfrs_OtherNoncurrentPortionOfLoanFromJointVentures@http://xbrl.ssm.com.my/role/ssm/lab_rol_ssmt-fs-mfrs_2022-12-31/ReportingLabel</t>
  </si>
  <si>
    <t>ssmt-mfrs-cor_2022-12-31.xsd#ssmt-mfrs_OtherNoncurrentPortionOfRedeemablePreferenceShares@http://xbrl.ssm.com.my/role/ssm/lab_rol_ssmt-fs-mfrs_2022-12-31/ReportingLabel</t>
  </si>
  <si>
    <t>ssmt-mfrs-cor_2022-12-31.xsd#ssmt-mfrs_OtherNoncurrentPortionOfMiscellaneousBorrowings@http://xbrl.ssm.com.my/role/ssm/lab_rol_ssmt-fs-mfrs_2022-12-31/ReportingLabel</t>
  </si>
  <si>
    <t>full_ifrs-cor_2022-03-24.xsd#ifrs-full_NoncurrentPortionOfOtherNoncurrentBorrowings@http://xbrl.ssm.com.my/role/ssm/fs/mfrs/lab_rol_ssmt-fs-mfrs_2022-12-31/ReportingTotalLabel</t>
  </si>
  <si>
    <t>full_ifrs-cor_2022-03-24.xsd#ifrs-full_LongtermBorrowings@http://xbrl.ssm.com.my/role/ssm/fs/mfrs/lab_rol_ssmt-fs-mfrs_2022-12-31/ReportingTotalLabel</t>
  </si>
  <si>
    <t>ssmt-mfrs-cor_2022-12-31.xsd#ssmt-mfrs_NoncurrentEmployeeBenefitLiabilitiesAbstract</t>
  </si>
  <si>
    <t>ssmt-mfrs-cor_2022-12-31.xsd#ssmt-mfrs_NoncurrentCashSettledShareBasedPaymentLiability@http://xbrl.ssm.com.my/role/ssm/lab_rol_ssmt-fs-mfrs_2022-12-31/ReportingLabel</t>
  </si>
  <si>
    <t>ssmt-mfrs-cor_2022-12-31.xsd#ssmt-mfrs_NoncurrentRetirementBenefits@http://xbrl.ssm.com.my/role/ssm/lab_rol_ssmt-fs-mfrs_2022-12-31/ReportingLabel</t>
  </si>
  <si>
    <t>ssmt-mfrs-cor_2022-12-31.xsd#ssmt-mfrs_NoncurrentEmploymentTerminationBenefits@http://xbrl.ssm.com.my/role/ssm/lab_rol_ssmt-fs-mfrs_2022-12-31/ReportingLabel</t>
  </si>
  <si>
    <t>ssmt-mfrs-cor_2022-12-31.xsd#ssmt-mfrs_NoncurrentProvisionForConsumedLeave@http://xbrl.ssm.com.my/role/ssm/lab_rol_ssmt-fs-mfrs_2022-12-31/ReportingLabel</t>
  </si>
  <si>
    <t>ssmt-mfrs-cor_2022-12-31.xsd#ssmt-mfrs_NoncurrentDefinedContributionPlan@http://xbrl.ssm.com.my/role/ssm/lab_rol_ssmt-fs-mfrs_2022-12-31/ReportingLabel</t>
  </si>
  <si>
    <t>ssmt-mfrs-cor_2022-12-31.xsd#ssmt-mfrs_NoncurrentDefinedBenefitPlan@http://xbrl.ssm.com.my/role/ssm/lab_rol_ssmt-fs-mfrs_2022-12-31/ReportingLabel</t>
  </si>
  <si>
    <t>ssmt-mfrs-cor_2022-12-31.xsd#ssmt-mfrs_NoncurrentOtherEmployeeBenefitLiabilities</t>
  </si>
  <si>
    <t>full_ifrs-cor_2022-03-24.xsd#ifrs-full_NoncurrentProvisionsForEmployeeBenefits@http://xbrl.ssm.com.my/role/ssm/fs/mfrs/lab_rol_ssmt-fs-mfrs_2022-12-31/ReportingTotalLabel</t>
  </si>
  <si>
    <t>full_ifrs-cor_2022-03-24.xsd#ifrs-full_NoncurrentProvisionsAbstract</t>
  </si>
  <si>
    <t>full_ifrs-cor_2022-03-24.xsd#ifrs-full_LongtermWarrantyProvision@http://xbrl.ssm.com.my/role/ssm/lab_rol_ssmt-fs-mfrs_2022-12-31/ReportingLabel</t>
  </si>
  <si>
    <t>full_ifrs-cor_2022-03-24.xsd#ifrs-full_LongtermRestructuringProvision@http://xbrl.ssm.com.my/role/ssm/lab_rol_ssmt-fs-mfrs_2022-12-31/ReportingLabel</t>
  </si>
  <si>
    <t>full_ifrs-cor_2022-03-24.xsd#ifrs-full_LongtermLegalProceedingsProvision@http://xbrl.ssm.com.my/role/ssm/lab_rol_ssmt-fs-mfrs_2022-12-31/ReportingLabel</t>
  </si>
  <si>
    <t>full_ifrs-cor_2022-03-24.xsd#ifrs-full_NoncurrentRefundsProvision@http://xbrl.ssm.com.my/role/ssm/lab_rol_ssmt-fs-mfrs_2022-12-31/ReportingLabel</t>
  </si>
  <si>
    <t>full_ifrs-cor_2022-03-24.xsd#ifrs-full_LongtermOnerousContractsProvision@http://xbrl.ssm.com.my/role/ssm/lab_rol_ssmt-fs-mfrs_2022-12-31/ReportingLabel</t>
  </si>
  <si>
    <t>full_ifrs-cor_2022-03-24.xsd#ifrs-full_LongtermProvisionForDecommissioningRestorationAndRehabilitationCosts@http://xbrl.ssm.com.my/role/ssm/lab_rol_ssmt-fs-mfrs_2022-12-31/ReportingLabel</t>
  </si>
  <si>
    <t>full_ifrs-cor_2022-03-24.xsd#ifrs-full_OtherLongtermProvisions</t>
  </si>
  <si>
    <t>full_ifrs-cor_2022-03-24.xsd#ifrs-full_NoncurrentProvisions@http://www.xbrl.org/2003/role/totalLabel</t>
  </si>
  <si>
    <t>full_ifrs-cor_2022-03-24.xsd#ifrs-full_NoncurrentPayablesAbstract</t>
  </si>
  <si>
    <t>ssmt-mfrs-cor_2022-12-31.xsd#ssmt-mfrs_NoncurrentTradePayablesAbstract</t>
  </si>
  <si>
    <t>ssmt-mfrs-cor_2022-12-31.xsd#ssmt-mfrs_NoncurrentTradePayablesDueToCustomers@http://xbrl.ssm.com.my/role/ssm/lab_rol_ssmt-fs-mfrs_2022-12-31/ReportingLabel</t>
  </si>
  <si>
    <t>ssmt-mfrs-cor_2022-12-31.xsd#ssmt-mfrs_NoncurrentTradePayablesDueToHoldingCompany@http://xbrl.ssm.com.my/role/ssm/lab_rol_ssmt-fs-mfrs_2022-12-31/ReportingLabel</t>
  </si>
  <si>
    <t>ssmt-mfrs-cor_2022-12-31.xsd#ssmt-mfrs_NoncurrentTradePayablesDueToSubsidiaries@http://xbrl.ssm.com.my/role/ssm/lab_rol_ssmt-fs-mfrs_2022-12-31/ReportingLabel</t>
  </si>
  <si>
    <t>ssmt-mfrs-cor_2022-12-31.xsd#ssmt-mfrs_NoncurrentTradePayablesDueToAssociates@http://xbrl.ssm.com.my/role/ssm/lab_rol_ssmt-fs-mfrs_2022-12-31/ReportingLabel</t>
  </si>
  <si>
    <t>ssmt-mfrs-cor_2022-12-31.xsd#ssmt-mfrs_NoncurrentTradePayablesDueToJointVentures@http://xbrl.ssm.com.my/role/ssm/lab_rol_ssmt-fs-mfrs_2022-12-31/ReportingLabel</t>
  </si>
  <si>
    <t>ssmt-mfrs-cor_2022-12-31.xsd#ssmt-mfrs_NoncurrentTradePayablesDueToOtherRelatedParties</t>
  </si>
  <si>
    <t>ssmt-mfrs-cor_2022-12-31.xsd#ssmt-mfrs_OtherNoncurrentTradePayables</t>
  </si>
  <si>
    <t>full_ifrs-cor_2022-03-24.xsd#ifrs-full_NoncurrentPayablesToTradeSuppliers@http://xbrl.ssm.com.my/role/ssm/fs/mfrs/lab_rol_ssmt-fs-mfrs_2022-12-31/ReportingTotalLabel</t>
  </si>
  <si>
    <t>ssmt-mfrs-cor_2022-12-31.xsd#ssmt-mfrs_OtherNoncurrentTradePayablesAbstract</t>
  </si>
  <si>
    <t>ssmt-mfrs-cor_2022-12-31.xsd#ssmt-mfrs_OtherNoncurrentPayablesDueToRelatedPartiesAbstract</t>
  </si>
  <si>
    <t>ssmt-mfrs-cor_2022-12-31.xsd#ssmt-mfrs_OtherNoncurrentTradePayablesDueToHoldingCompany@http://xbrl.ssm.com.my/role/ssm/lab_rol_ssmt-fs-mfrs_2022-12-31/ReportingLabel</t>
  </si>
  <si>
    <t>ssmt-mfrs-cor_2022-12-31.xsd#ssmt-mfrs_OtherNoncurrentTradePayablesDueToSubsidiaries@http://xbrl.ssm.com.my/role/ssm/lab_rol_ssmt-fs-mfrs_2022-12-31/ReportingLabel</t>
  </si>
  <si>
    <t>ssmt-mfrs-cor_2022-12-31.xsd#ssmt-mfrs_OtherNoncurrentTradePayablesDueToAssociates@http://xbrl.ssm.com.my/role/ssm/lab_rol_ssmt-fs-mfrs_2022-12-31/ReportingLabel</t>
  </si>
  <si>
    <t>ssmt-mfrs-cor_2022-12-31.xsd#ssmt-mfrs_OtherNoncurrentTradePayablesDueToJointVentures@http://xbrl.ssm.com.my/role/ssm/lab_rol_ssmt-fs-mfrs_2022-12-31/ReportingLabel</t>
  </si>
  <si>
    <t>ssmt-mfrs-cor_2022-12-31.xsd#ssmt-mfrs_OtherNoncurrentPayablesDueToRelatedCompanies@http://xbrl.ssm.com.my/role/ssm/lab_rol_ssmt-fs-mfrs_2022-12-31/ReportingLabel</t>
  </si>
  <si>
    <t>ssmt-mfrs-cor_2022-12-31.xsd#ssmt-mfrs_OtherNoncurrentPayablesDueToRelatedParties@http://xbrl.ssm.com.my/role/ssm/fs/mfrs/lab_rol_ssmt-fs-mfrs_2022-12-31/ReportingTotalLabel</t>
  </si>
  <si>
    <t>ssmt-mfrs-cor_2022-12-31.xsd#ssmt-mfrs_OtherNoncurrentPayablesDueToNoncontrollingInterestAbstract</t>
  </si>
  <si>
    <t>ssmt-mfrs-cor_2022-12-31.xsd#ssmt-mfrs_OtherNoncurrentDividendPayablesDueToNoncontrollingInterests@http://xbrl.ssm.com.my/role/ssm/lab_rol_ssmt-fs-mfrs_2022-12-31/ReportingLabel</t>
  </si>
  <si>
    <t>ssmt-mfrs-cor_2022-12-31.xsd#ssmt-mfrs_OtherNoncurrentLoansFromNoncontrollingInterests@http://xbrl.ssm.com.my/role/ssm/lab_rol_ssmt-fs-mfrs_2022-12-31/ReportingLabel</t>
  </si>
  <si>
    <t>ssmt-mfrs-cor_2022-12-31.xsd#ssmt-mfrs_OtherNoncurrentMiscellaneousPayablesDueToNoncontrollingInterests@http://xbrl.ssm.com.my/role/ssm/lab_rol_ssmt-fs-mfrs_2022-12-31/ReportingLabel</t>
  </si>
  <si>
    <t>ssmt-mfrs-cor_2022-12-31.xsd#ssmt-mfrs_OtherNoncurrentPayablesDueToNoncontrollingInterests@http://xbrl.ssm.com.my/role/ssm/fs/mfrs/lab_rol_ssmt-fs-mfrs_2022-12-31/ReportingTotalLabel</t>
  </si>
  <si>
    <t>ssmt-mfrs-cor_2022-12-31.xsd#ssmt-mfrs_NoncurrentNontradePayablesAbstract</t>
  </si>
  <si>
    <t>ssmt-mfrs-cor_2022-12-31.xsd#ssmt-mfrs_NoncurrentNontradeDeferredIncome</t>
  </si>
  <si>
    <t>ssmt-mfrs-cor_2022-12-31.xsd#ssmt-mfrs_NoncurrentNontradeAccruals</t>
  </si>
  <si>
    <t>ssmt-mfrs-cor_2022-12-31.xsd#ssmt-mfrs_NoncurrentNontradeRetentionPayables</t>
  </si>
  <si>
    <t>ssmt-mfrs-cor_2022-12-31.xsd#ssmt-mfrs_NoncurrentNontradeDepositsAndAdvancedBillings@http://xbrl.ssm.com.my/role/ssm/lab_rol_ssmt-fs-mfrs_2022-12-31/ReportingLabel</t>
  </si>
  <si>
    <t>ssmt-mfrs-cor_2022-12-31.xsd#ssmt-mfrs_OtherNoncurrentNontradePayables</t>
  </si>
  <si>
    <t>ssmt-mfrs-cor_2022-12-31.xsd#ssmt-mfrs_NoncurrentNontradePayables@http://xbrl.ssm.com.my/role/ssm/fs/mfrs/lab_rol_ssmt-fs-mfrs_2022-12-31/ReportingTotalLabel</t>
  </si>
  <si>
    <t>full_ifrs-cor_2022-03-24.xsd#ifrs-full_OtherNoncurrentPayables</t>
  </si>
  <si>
    <t>full_ifrs-cor_2022-03-24.xsd#ifrs-full_NoncurrentPayables@http://www.xbrl.org/2003/role/totalLabel</t>
  </si>
  <si>
    <t>ssmt-mfrs-cor_2022-12-31.xsd#ssmt-mfrs_NoncurrentDerivativeFinancialLiabilitiesAbstract</t>
  </si>
  <si>
    <t>ssmt-mfrs-cor_2022-12-31.xsd#ssmt-mfrs_NoncurrentDerivativeFinancialLiabilitiesAtFairValueThroughProfitOrLossAbstract</t>
  </si>
  <si>
    <t>ssmt-mfrs-cor_2022-12-31.xsd#ssmt-mfrs_NoncurrentDerivativeFinancialLiabilitiesForwardContract@http://xbrl.ssm.com.my/role/ssm/lab_rol_ssmt-fs-mfrs_2022-12-31/ReportingLabel</t>
  </si>
  <si>
    <t>ssmt-mfrs-cor_2022-12-31.xsd#ssmt-mfrs_NoncurrentDerivativeFinancialLiabilitiesOptions@http://xbrl.ssm.com.my/role/ssm/lab_rol_ssmt-fs-mfrs_2022-12-31/ReportingLabel</t>
  </si>
  <si>
    <t>ssmt-mfrs-cor_2022-12-31.xsd#ssmt-mfrs_NoncurrentDerivativeFinancialLiabilitiesSwaps@http://xbrl.ssm.com.my/role/ssm/lab_rol_ssmt-fs-mfrs_2022-12-31/ReportingLabel</t>
  </si>
  <si>
    <t>ssmt-mfrs-cor_2022-12-31.xsd#ssmt-mfrs_NoncurrentDerivativeFinancialLiabilitiesOtherDerivatives@http://xbrl.ssm.com.my/role/ssm/lab_rol_ssmt-fs-mfrs_2022-12-31/ReportingLabel</t>
  </si>
  <si>
    <t>ssmt-mfrs-cor_2022-12-31.xsd#ssmt-mfrs_NoncurrentDerivativeFinancialLiabilitiesAtFairValueThroughProfitOrLoss@http://xbrl.ssm.com.my/role/ssm/fs/mfrs/lab_rol_ssmt-fs-mfrs_2022-12-31/ReportingTotalLabel</t>
  </si>
  <si>
    <t>ssmt-mfrs-cor_2022-12-31.xsd#ssmt-mfrs_NoncurrentDerivativeFinancialLiabilitiesUsedForHedgingAbstract</t>
  </si>
  <si>
    <t>ssmt-mfrs-cor_2022-12-31.xsd#ssmt-mfrs_NoncurrentDerivativeFinancialLiabilitiesForwardContractUsedForHedging@http://xbrl.ssm.com.my/role/ssm/lab_rol_ssmt-fs-mfrs_2022-12-31/ReportingLabel</t>
  </si>
  <si>
    <t>ssmt-mfrs-cor_2022-12-31.xsd#ssmt-mfrs_NoncurrentDerivativeFinancialLiabilitesOptionsUsedForHedging@http://xbrl.ssm.com.my/role/ssm/lab_rol_ssmt-fs-mfrs_2022-12-31/ReportingLabel</t>
  </si>
  <si>
    <t>ssmt-mfrs-cor_2022-12-31.xsd#ssmt-mfrs_NoncurrentDerivativeFinancialLiabilitiesSwapUsedForHedging@http://xbrl.ssm.com.my/role/ssm/lab_rol_ssmt-fs-mfrs_2022-12-31/ReportingLabel</t>
  </si>
  <si>
    <t>ssmt-mfrs-cor_2022-12-31.xsd#ssmt-mfrs_NoncurrentDerivativeFinancialLiabilitiesOtherDerivativesUsedForHedging@http://xbrl.ssm.com.my/role/ssm/lab_rol_ssmt-fs-mfrs_2022-12-31/ReportingLabel</t>
  </si>
  <si>
    <t>ssmt-mfrs-cor_2022-12-31.xsd#ssmt-mfrs_NoncurrentDerivativeFinancialLiabilitiesUsedForHedging@http://xbrl.ssm.com.my/role/ssm/fs/mfrs/lab_rol_ssmt-fs-mfrs_2022-12-31/ReportingTotalLabel</t>
  </si>
  <si>
    <t>ssmt-mfrs-cor_2022-12-31.xsd#ssmt-mfrs_OtherNoncurrentDerivativeFinancialLiabilities</t>
  </si>
  <si>
    <t>full_ifrs-cor_2022-03-24.xsd#ifrs-full_NoncurrentDerivativeFinancialLiabilities@http://xbrl.ssm.com.my/role/ssm/fs/mfrs/lab_rol_ssmt-fs-mfrs_2022-12-31/ReportingTotalLabel</t>
  </si>
  <si>
    <t>ssmt-mfrs-cor_2022-12-31.xsd#ssmt-mfrs_CurrentBorrowingsAbstract</t>
  </si>
  <si>
    <t>ssmt-mfrs-cor_2022-12-31.xsd#ssmt-mfrs_CurrentSecuredBankLoansReceivedAndCurrentPortionOfNoncurrentSecuredBankLoansReceivedAbstract</t>
  </si>
  <si>
    <t>ssmt-mfrs-cor_2022-12-31.xsd#ssmt-mfrs_CurrentPortionOfNoncurrentSecuredBankersAcceptance@http://xbrl.ssm.com.my/role/ssm/lab_rol_ssmt-fs-mfrs_2022-12-31/ReportingLabel</t>
  </si>
  <si>
    <t>ssmt-mfrs-cor_2022-12-31.xsd#ssmt-mfrs_CurrentPortionOfNoncurrentSecuredBankOverdrafts@http://xbrl.ssm.com.my/role/ssm/lab_rol_ssmt-fs-mfrs_2022-12-31/ReportingLabel</t>
  </si>
  <si>
    <t>ssmt-mfrs-cor_2022-12-31.xsd#ssmt-mfrs_CurrentPortionOfNoncurrentSecuredTradeFinancingFacilities@http://xbrl.ssm.com.my/role/ssm/lab_rol_ssmt-fs-mfrs_2022-12-31/ReportingLabel</t>
  </si>
  <si>
    <t>ssmt-mfrs-cor_2022-12-31.xsd#ssmt-mfrs_CurrentPortionOfNoncurrentSecuredTermLoans@http://xbrl.ssm.com.my/role/ssm/lab_rol_ssmt-fs-mfrs_2022-12-31/ReportingLabel</t>
  </si>
  <si>
    <t>ssmt-mfrs-cor_2022-12-31.xsd#ssmt-mfrs_CurrentPortionOfNoncurrentSecuredIslamicFinancingFacilities@http://xbrl.ssm.com.my/role/ssm/lab_rol_ssmt-fs-mfrs_2022-12-31/ReportingLabel</t>
  </si>
  <si>
    <t>ssmt-mfrs-cor_2022-12-31.xsd#ssmt-mfrs_CurrentPortionOfNoncurrentSecuredHirePurchaseAndFinanceLeaseLiabilities@http://xbrl.ssm.com.my/role/ssm/lab_rol_ssmt-fs-mfrs_2022-12-31/ReportingLabel</t>
  </si>
  <si>
    <t>ssmt-mfrs-cor_2022-12-31.xsd#ssmt-mfrs_CurrentPortionOfNoncurrentSecuredIslamicMediumTermNotes</t>
  </si>
  <si>
    <t>ssmt-mfrs-cor_2022-12-31.xsd#ssmt-mfrs_CurrentPortionOfNoncurrentSecuredSukuk@http://xbrl.ssm.com.my/role/ssm/lab_rol_ssmt-fs-mfrs_2022-12-31/ReportingLabel</t>
  </si>
  <si>
    <t>ssmt-mfrs-cor_2022-12-31.xsd#ssmt-mfrs_CurrentPortionOfNoncurrentSecuredRevolvingCreditAndOthers</t>
  </si>
  <si>
    <t>ssmt-mfrs-cor_2022-12-31.xsd#ssmt-mfrs_CurrentPortionOfNoncurrentSecuredOtherBankLoanReceived</t>
  </si>
  <si>
    <t>full_ifrs-cor_2022-03-24.xsd#ifrs-full_CurrentSecuredBankLoansReceivedAndCurrentPortionOfNoncurrentSecuredBankLoansReceived@http://xbrl.ssm.com.my/role/ssm/fs/mfrs/lab_rol_ssmt-fs-mfrs_2022-12-31/ReportingTotalLabel</t>
  </si>
  <si>
    <t>ssmt-mfrs-cor_2022-12-31.xsd#ssmt-mfrs_CurrentUnsecuredBankLoansReceivedAndCurrentPortionOfNoncurrentUnsecuredBankLoansReceivedAbstract</t>
  </si>
  <si>
    <t>ssmt-mfrs-cor_2022-12-31.xsd#ssmt-mfrs_CurrentPortionOfNoncurrentUnsecuredBlockDiscountingPayables@http://xbrl.ssm.com.my/role/ssm/lab_rol_ssmt-fs-mfrs_2022-12-31/ReportingLabel</t>
  </si>
  <si>
    <t>ssmt-mfrs-cor_2022-12-31.xsd#ssmt-mfrs_CurrentPortionOfNoncurrentUnsecuredTermLoans@http://xbrl.ssm.com.my/role/ssm/lab_rol_ssmt-fs-mfrs_2022-12-31/ReportingLabel</t>
  </si>
  <si>
    <t>ssmt-mfrs-cor_2022-12-31.xsd#ssmt-mfrs_CurrentPortionOfNoncurrentUnsecuredIrredeemableConvertibleUnsecuredLoanStocks@http://xbrl.ssm.com.my/role/ssm/lab_rol_ssmt-fs-mfrs_2022-12-31/ReportingLabel</t>
  </si>
  <si>
    <t>ssmt-mfrs-cor_2022-12-31.xsd#ssmt-mfrs_CurrentPortionOfNoncurrentUnsecuredIslamicFinancingFacilities@http://xbrl.ssm.com.my/role/ssm/lab_rol_ssmt-fs-mfrs_2022-12-31/ReportingLabel</t>
  </si>
  <si>
    <t>ssmt-mfrs-cor_2022-12-31.xsd#ssmt-mfrs_CurrentPortionOfNoncurrentUnsecuredHirePurchaseAndFinanceLeaseLiabilities@http://xbrl.ssm.com.my/role/ssm/lab_rol_ssmt-fs-mfrs_2022-12-31/ReportingLabel</t>
  </si>
  <si>
    <t>ssmt-mfrs-cor_2022-12-31.xsd#ssmt-mfrs_CurrentPortionOfNoncurrentUnsecuredIslamicMediumTermNotes</t>
  </si>
  <si>
    <t>ssmt-mfrs-cor_2022-12-31.xsd#ssmt-mfrs_CurrentPortionOfNoncurrentUnsecuredSukuk@http://xbrl.ssm.com.my/role/ssm/lab_rol_ssmt-fs-mfrs_2022-12-31/ReportingLabel</t>
  </si>
  <si>
    <t>ssmt-mfrs-cor_2022-12-31.xsd#ssmt-mfrs_CurrentPortionOfNoncurrentUnsecuredRevolvingCreditAndOthers</t>
  </si>
  <si>
    <t>ssmt-mfrs-cor_2022-12-31.xsd#ssmt-mfrs_CurrentPortionOfNoncurrentUnsecuredOtherBankLoansReceived</t>
  </si>
  <si>
    <t>full_ifrs-cor_2022-03-24.xsd#ifrs-full_CurrentUnsecuredBankLoansReceivedAndCurrentPortionOfNoncurrentUnsecuredBankLoansReceived@http://xbrl.ssm.com.my/role/ssm/fs/mfrs/lab_rol_ssmt-fs-mfrs_2022-12-31/ReportingTotalLabel</t>
  </si>
  <si>
    <t>ssmt-mfrs-cor_2022-12-31.xsd#ssmt-mfrs_CurrentPortionOfSecuredBondsSukukAndLoanStocksAbstract</t>
  </si>
  <si>
    <t>ssmt-mfrs-cor_2022-12-31.xsd#ssmt-mfrs_CurrentPortionOfSecuredBonds@http://xbrl.ssm.com.my/role/ssm/lab_rol_ssmt-fs-mfrs_2022-12-31/ReportingLabel</t>
  </si>
  <si>
    <t>ssmt-mfrs-cor_2022-12-31.xsd#ssmt-mfrs_CurrentPortionOfSecuredSukukAsPerShariahCommittee@http://xbrl.ssm.com.my/role/ssm/lab_rol_ssmt-fs-mfrs_2022-12-31/ReportingLabel</t>
  </si>
  <si>
    <t>ssmt-mfrs-cor_2022-12-31.xsd#ssmt-mfrs_CurrentPortionOfSecuredMediumTermNotes@http://xbrl.ssm.com.my/role/ssm/lab_rol_ssmt-fs-mfrs_2022-12-31/ReportingLabel</t>
  </si>
  <si>
    <t>ssmt-mfrs-cor_2022-12-31.xsd#ssmt-mfrs_CurrentPortionOfSecuredLoanStocks@http://xbrl.ssm.com.my/role/ssm/lab_rol_ssmt-fs-mfrs_2022-12-31/ReportingLabel</t>
  </si>
  <si>
    <t>ssmt-mfrs-cor_2022-12-31.xsd#ssmt-mfrs_CurrentPortionOfSecuredPreferenceShares@http://xbrl.ssm.com.my/role/ssm/lab_rol_ssmt-fs-mfrs_2022-12-31/ReportingLabel</t>
  </si>
  <si>
    <t>ssmt-mfrs-cor_2022-12-31.xsd#ssmt-mfrs_CurrentPortionOfSecuredBondsSukukAndLoanStocks@http://xbrl.ssm.com.my/role/ssm/fs/mfrs/lab_rol_ssmt-fs-mfrs_2022-12-31/ReportingTotalLabel</t>
  </si>
  <si>
    <t>ssmt-mfrs-cor_2022-12-31.xsd#ssmt-mfrs_CurrentPortionOfUnsecuredBondsSukukAndLoanStocksAbstract</t>
  </si>
  <si>
    <t>ssmt-mfrs-cor_2022-12-31.xsd#ssmt-mfrs_CurrentPortionOfUnsecuredBonds@http://xbrl.ssm.com.my/role/ssm/lab_rol_ssmt-fs-mfrs_2022-12-31/ReportingLabel</t>
  </si>
  <si>
    <t>ssmt-mfrs-cor_2022-12-31.xsd#ssmt-mfrs_CurrentPortionOfUnsecuredSukukAsPerShariahCommittee@http://xbrl.ssm.com.my/role/ssm/lab_rol_ssmt-fs-mfrs_2022-12-31/ReportingLabel</t>
  </si>
  <si>
    <t>ssmt-mfrs-cor_2022-12-31.xsd#ssmt-mfrs_CurrentPortionOfUnsecuredMediumTermNotes@http://xbrl.ssm.com.my/role/ssm/lab_rol_ssmt-fs-mfrs_2022-12-31/ReportingLabel</t>
  </si>
  <si>
    <t>ssmt-mfrs-cor_2022-12-31.xsd#ssmt-mfrs_CurrentPortionOfUnsecuredLoanStocks@http://xbrl.ssm.com.my/role/ssm/lab_rol_ssmt-fs-mfrs_2022-12-31/ReportingLabel</t>
  </si>
  <si>
    <t>ssmt-mfrs-cor_2022-12-31.xsd#ssmt-mfrs_CurrentPortionOfUnsecuredPreferenceShares@http://xbrl.ssm.com.my/role/ssm/lab_rol_ssmt-fs-mfrs_2022-12-31/ReportingLabel</t>
  </si>
  <si>
    <t>ssmt-mfrs-cor_2022-12-31.xsd#ssmt-mfrs_CurrentPortionOfUnsecuredBondsSukukAndLoanStock@http://xbrl.ssm.com.my/role/ssm/fs/mfrs/lab_rol_ssmt-fs-mfrs_2022-12-31/ReportingTotalLabel</t>
  </si>
  <si>
    <t>ssmt-mfrs-cor_2022-12-31.xsd#ssmt-mfrs_OtherCurrentBorrowingsAbstract</t>
  </si>
  <si>
    <t>ssmt-mfrs-cor_2022-12-31.xsd#ssmt-mfrs_OtherCurrentPortionOfTradeLoans@http://xbrl.ssm.com.my/role/ssm/lab_rol_ssmt-fs-mfrs_2022-12-31/ReportingLabel</t>
  </si>
  <si>
    <t>ssmt-mfrs-cor_2022-12-31.xsd#ssmt-mfrs_OtherCurrentPortionOfLoanFromSubsidiaries@http://xbrl.ssm.com.my/role/ssm/lab_rol_ssmt-fs-mfrs_2022-12-31/ReportingLabel</t>
  </si>
  <si>
    <t>ssmt-mfrs-cor_2022-12-31.xsd#ssmt-mfrs_OtherCurrentPortionOfLoanFromAssociates@http://xbrl.ssm.com.my/role/ssm/lab_rol_ssmt-fs-mfrs_2022-12-31/ReportingLabel</t>
  </si>
  <si>
    <t>ssmt-mfrs-cor_2022-12-31.xsd#ssmt-mfrs_OtherCurrentPortionOfLoanFromJointVentures@http://xbrl.ssm.com.my/role/ssm/lab_rol_ssmt-fs-mfrs_2022-12-31/ReportingLabel</t>
  </si>
  <si>
    <t>ssmt-mfrs-cor_2022-12-31.xsd#ssmt-mfrs_OtherCurrentPortionOfRedeemablePreferenceShares@http://xbrl.ssm.com.my/role/ssm/lab_rol_ssmt-fs-mfrs_2022-12-31/ReportingLabel</t>
  </si>
  <si>
    <t>ssmt-mfrs-cor_2022-12-31.xsd#ssmt-mfrs_OtherCurrentPortionOfMiscellaneousBorrowings@http://xbrl.ssm.com.my/role/ssm/lab_rol_ssmt-fs-mfrs_2022-12-31/ReportingLabel</t>
  </si>
  <si>
    <t>full_ifrs-cor_2022-03-24.xsd#ifrs-full_OtherCurrentBorrowingsAndCurrentPortionOfOtherNoncurrentBorrowings@http://xbrl.ssm.com.my/role/ssm/fs/mfrs/lab_rol_ssmt-fs-mfrs_2022-12-31/ReportingTotalLabel</t>
  </si>
  <si>
    <t>full_ifrs-cor_2022-03-24.xsd#ifrs-full_ShorttermBorrowings@http://xbrl.ssm.com.my/role/ssm/fs/mfrs/lab_rol_ssmt-fs-mfrs_2022-12-31/ReportingTotalLabel</t>
  </si>
  <si>
    <t>ssmt-mfrs-cor_2022-12-31.xsd#ssmt-mfrs_CurrentEmployeeBenefitLiabilitiesAbstract</t>
  </si>
  <si>
    <t>ssmt-mfrs-cor_2022-12-31.xsd#ssmt-mfrs_CurrentCashSettledShareBasedPaymentLiability@http://xbrl.ssm.com.my/role/ssm/lab_rol_ssmt-fs-mfrs_2022-12-31/ReportingLabel</t>
  </si>
  <si>
    <t>ssmt-mfrs-cor_2022-12-31.xsd#ssmt-mfrs_CurrentRetirementBenefits@http://xbrl.ssm.com.my/role/ssm/lab_rol_ssmt-fs-mfrs_2022-12-31/ReportingLabel</t>
  </si>
  <si>
    <t>ssmt-mfrs-cor_2022-12-31.xsd#ssmt-mfrs_CurrentEmploymentTerminationBenefits@http://xbrl.ssm.com.my/role/ssm/lab_rol_ssmt-fs-mfrs_2022-12-31/ReportingLabel</t>
  </si>
  <si>
    <t>ssmt-mfrs-cor_2022-12-31.xsd#ssmt-mfrs_CurrentProvisionForUnconsumedLeave@http://xbrl.ssm.com.my/role/ssm/lab_rol_ssmt-fs-mfrs_2022-12-31/ReportingLabel</t>
  </si>
  <si>
    <t>ssmt-mfrs-cor_2022-12-31.xsd#ssmt-mfrs_CurrentDefinedContributionPlan@http://xbrl.ssm.com.my/role/ssm/lab_rol_ssmt-fs-mfrs_2022-12-31/ReportingLabel</t>
  </si>
  <si>
    <t>ssmt-mfrs-cor_2022-12-31.xsd#ssmt-mfrs_CurrentDefinedBenefitPlan@http://xbrl.ssm.com.my/role/ssm/lab_rol_ssmt-fs-mfrs_2022-12-31/ReportingLabel</t>
  </si>
  <si>
    <t>ssmt-mfrs-cor_2022-12-31.xsd#ssmt-mfrs_CurrentOtherEmployeeBenefitLiabilities</t>
  </si>
  <si>
    <t>full_ifrs-cor_2022-03-24.xsd#ifrs-full_CurrentProvisionsForEmployeeBenefits@http://xbrl.ssm.com.my/role/ssm/fs/mfrs/lab_rol_ssmt-fs-mfrs_2022-12-31/ReportingTotalLabel</t>
  </si>
  <si>
    <t>full_ifrs-cor_2022-03-24.xsd#ifrs-full_CurrentProvisionsAbstract</t>
  </si>
  <si>
    <t>full_ifrs-cor_2022-03-24.xsd#ifrs-full_ShorttermWarrantyProvision@http://xbrl.ssm.com.my/role/ssm/lab_rol_ssmt-fs-mfrs_2022-12-31/ReportingLabel</t>
  </si>
  <si>
    <t>full_ifrs-cor_2022-03-24.xsd#ifrs-full_ShorttermRestructuringProvision@http://xbrl.ssm.com.my/role/ssm/lab_rol_ssmt-fs-mfrs_2022-12-31/ReportingLabel</t>
  </si>
  <si>
    <t>full_ifrs-cor_2022-03-24.xsd#ifrs-full_ShorttermLegalProceedingsProvision@http://xbrl.ssm.com.my/role/ssm/lab_rol_ssmt-fs-mfrs_2022-12-31/ReportingLabel</t>
  </si>
  <si>
    <t>full_ifrs-cor_2022-03-24.xsd#ifrs-full_CurrentRefundsProvision@http://xbrl.ssm.com.my/role/ssm/lab_rol_ssmt-fs-mfrs_2022-12-31/ReportingLabel</t>
  </si>
  <si>
    <t>full_ifrs-cor_2022-03-24.xsd#ifrs-full_ShorttermOnerousContractsProvision@http://xbrl.ssm.com.my/role/ssm/lab_rol_ssmt-fs-mfrs_2022-12-31/ReportingLabel</t>
  </si>
  <si>
    <t>full_ifrs-cor_2022-03-24.xsd#ifrs-full_ShorttermProvisionForDecommissioningRestorationAndRehabilitationCosts@http://xbrl.ssm.com.my/role/ssm/lab_rol_ssmt-fs-mfrs_2022-12-31/ReportingLabel</t>
  </si>
  <si>
    <t>full_ifrs-cor_2022-03-24.xsd#ifrs-full_OtherShorttermProvisions</t>
  </si>
  <si>
    <t>full_ifrs-cor_2022-03-24.xsd#ifrs-full_CurrentProvisions@http://www.xbrl.org/2003/role/totalLabel</t>
  </si>
  <si>
    <t>full_ifrs-cor_2022-03-24.xsd#ifrs-full_TradeAndOtherCurrentPayablesAbstract</t>
  </si>
  <si>
    <t>ssmt-mfrs-cor_2022-12-31.xsd#ssmt-mfrs_CurrentTradePayablesAbstract</t>
  </si>
  <si>
    <t>ssmt-mfrs-cor_2022-12-31.xsd#ssmt-mfrs_CurrentTradePayablesDueToCustomers@http://xbrl.ssm.com.my/role/ssm/lab_rol_ssmt-fs-mfrs_2022-12-31/ReportingLabel</t>
  </si>
  <si>
    <t>ssmt-mfrs-cor_2022-12-31.xsd#ssmt-mfrs_CurrentTradePayableDueToContractCustomer@http://xbrl.ssm.com.my/role/ssm/lab_rol_ssmt-fs-mfrs_2022-12-31/ReportingLabel</t>
  </si>
  <si>
    <t>ssmt-mfrs-cor_2022-12-31.xsd#ssmt-mfrs_CurrentTradePayablesDueToHoldingCompany@http://xbrl.ssm.com.my/role/ssm/lab_rol_ssmt-fs-mfrs_2022-12-31/ReportingLabel</t>
  </si>
  <si>
    <t>ssmt-mfrs-cor_2022-12-31.xsd#ssmt-mfrs_CurrentTradePayablesDueToSubsidiaries@http://xbrl.ssm.com.my/role/ssm/lab_rol_ssmt-fs-mfrs_2022-12-31/ReportingLabel</t>
  </si>
  <si>
    <t>ssmt-mfrs-cor_2022-12-31.xsd#ssmt-mfrs_CurrentTradePayablesDueToAssociates@http://xbrl.ssm.com.my/role/ssm/lab_rol_ssmt-fs-mfrs_2022-12-31/ReportingLabel</t>
  </si>
  <si>
    <t>ssmt-mfrs-cor_2022-12-31.xsd#ssmt-mfrs_CurrentTradePayablesDueToJointVentures@http://xbrl.ssm.com.my/role/ssm/lab_rol_ssmt-fs-mfrs_2022-12-31/ReportingLabel</t>
  </si>
  <si>
    <t>ssmt-mfrs-cor_2022-12-31.xsd#ssmt-mfrs_CurrentTradePayablesDueToRelatedCompanies</t>
  </si>
  <si>
    <t>ssmt-mfrs-cor_2022-12-31.xsd#ssmt-mfrs_OtherCurrentTradePayables</t>
  </si>
  <si>
    <t>full_ifrs-cor_2022-03-24.xsd#ifrs-full_TradeAndOtherCurrentPayablesToTradeSuppliers@http://xbrl.ssm.com.my/role/ssm/fs/mfrs/lab_rol_ssmt-fs-mfrs_2022-12-31/ReportingTotalLabel</t>
  </si>
  <si>
    <t>ssmt-mfrs-cor_2022-12-31.xsd#ssmt-mfrs_OtherCurrentPayablesAbstract</t>
  </si>
  <si>
    <t>ssmt-mfrs-cor_2022-12-31.xsd#ssmt-mfrs_OtherCurrentPayablesDueToRelatedPartiesAbstract</t>
  </si>
  <si>
    <t>ssmt-mfrs-cor_2022-12-31.xsd#ssmt-mfrs_OtherCurrentPayablesDueToHoldingCompany@http://xbrl.ssm.com.my/role/ssm/lab_rol_ssmt-fs-mfrs_2022-12-31/ReportingLabel</t>
  </si>
  <si>
    <t>ssmt-mfrs-cor_2022-12-31.xsd#ssmt-mfrs_OtherCurrentPayablesDueToSubsidiaries@http://xbrl.ssm.com.my/role/ssm/lab_rol_ssmt-fs-mfrs_2022-12-31/ReportingLabel</t>
  </si>
  <si>
    <t>ssmt-mfrs-cor_2022-12-31.xsd#ssmt-mfrs_OtherCurrentPayablesDueToAssociates@http://xbrl.ssm.com.my/role/ssm/lab_rol_ssmt-fs-mfrs_2022-12-31/ReportingLabel</t>
  </si>
  <si>
    <t>ssmt-mfrs-cor_2022-12-31.xsd#ssmt-mfrs_OtherCurrentPayablesDueToJointVentures@http://xbrl.ssm.com.my/role/ssm/lab_rol_ssmt-fs-mfrs_2022-12-31/ReportingLabel</t>
  </si>
  <si>
    <t>ssmt-mfrs-cor_2022-12-31.xsd#ssmt-mfrs_OtherCurrentPayablesDueToOtherRelatedParties@http://xbrl.ssm.com.my/role/ssm/lab_rol_ssmt-fs-mfrs_2022-12-31/ReportingLabel</t>
  </si>
  <si>
    <t>ssmt-mfrs-cor_2022-12-31.xsd#ssmt-mfrs_OtherCurrentPayablesDueToRelatedParties@http://xbrl.ssm.com.my/role/ssm/fs/mfrs/lab_rol_ssmt-fs-mfrs_2022-12-31/ReportingTotalLabel</t>
  </si>
  <si>
    <t>ssmt-mfrs-cor_2022-12-31.xsd#ssmt-mfrs_OtherCurrentPayablesDueToNoncontrollingInterestsAbstract</t>
  </si>
  <si>
    <t>ssmt-mfrs-cor_2022-12-31.xsd#ssmt-mfrs_OtherCurrentDividendPayableToNoncontrollingInterest@http://xbrl.ssm.com.my/role/ssm/lab_rol_ssmt-fs-mfrs_2022-12-31/ReportingLabel</t>
  </si>
  <si>
    <t>ssmt-mfrs-cor_2022-12-31.xsd#ssmt-mfrs_OtherCurrentLoansFromNoncontrollingInterest@http://xbrl.ssm.com.my/role/ssm/lab_rol_ssmt-fs-mfrs_2022-12-31/ReportingLabel</t>
  </si>
  <si>
    <t>ssmt-mfrs-cor_2022-12-31.xsd#ssmt-mfrs_OtherCurrentMiscellaneousPayableDueToNoncontrollingInterest@http://xbrl.ssm.com.my/role/ssm/lab_rol_ssmt-fs-mfrs_2022-12-31/ReportingLabel</t>
  </si>
  <si>
    <t>ssmt-mfrs-cor_2022-12-31.xsd#ssmt-mfrs_OtherCurrentPayablesDueToNoncontrollingInterests@http://xbrl.ssm.com.my/role/ssm/fs/mfrs/lab_rol_ssmt-fs-mfrs_2022-12-31/ReportingTotalLabel</t>
  </si>
  <si>
    <t>ssmt-mfrs-cor_2022-12-31.xsd#ssmt-mfrs_CurrentNontradePayablesAbstract</t>
  </si>
  <si>
    <t>ssmt-mfrs-cor_2022-12-31.xsd#ssmt-mfrs_CurrentNontradeAccruals</t>
  </si>
  <si>
    <t>ssmt-mfrs-cor_2022-12-31.xsd#ssmt-mfrs_CurrentNontradeRetentionPayable</t>
  </si>
  <si>
    <t>ssmt-mfrs-cor_2022-12-31.xsd#ssmt-mfrs_CurrentNontradeDeferredIncome</t>
  </si>
  <si>
    <t>ssmt-mfrs-cor_2022-12-31.xsd#ssmt-mfrs_CurrentNontradeDepositsAndAdvancedBillings</t>
  </si>
  <si>
    <t>ssmt-mfrs-cor_2022-12-31.xsd#ssmt-mfrs_CurrentNontradeFinancingCosts@http://xbrl.ssm.com.my/role/ssm/lab_rol_ssmt-fs-mfrs_2022-12-31/ReportingLabel</t>
  </si>
  <si>
    <t>ssmt-mfrs-cor_2022-12-31.xsd#ssmt-mfrs_CurrentNontradeDividendPayable</t>
  </si>
  <si>
    <t>ssmt-mfrs-cor_2022-12-31.xsd#ssmt-mfrs_CurrentNontradeInterestPayable</t>
  </si>
  <si>
    <t>ssmt-mfrs-cor_2022-12-31.xsd#ssmt-mfrs_OtherCurrentNontradePayables</t>
  </si>
  <si>
    <t>ssmt-mfrs-cor_2022-12-31.xsd#ssmt-mfrs_CurrentNontradePayables@http://xbrl.ssm.com.my/role/ssm/fs/mfrs/lab_rol_ssmt-fs-mfrs_2022-12-31/ReportingTotalLabel</t>
  </si>
  <si>
    <t>full_ifrs-cor_2022-03-24.xsd#ifrs-full_OtherCurrentPayables@http://xbrl.ssm.com.my/role/ssm/fs/mfrs/lab_rol_ssmt-fs-mfrs_2022-12-31/ReportingTotalLabel</t>
  </si>
  <si>
    <t>full_ifrs-cor_2022-03-24.xsd#ifrs-full_TradeAndOtherCurrentPayables@http://www.xbrl.org/2003/role/totalLabel</t>
  </si>
  <si>
    <t>ssmt-mfrs-cor_2022-12-31.xsd#ssmt-mfrs_CurrentDerivativeFinancialLiabilitesAbstract</t>
  </si>
  <si>
    <t>ssmt-mfrs-cor_2022-12-31.xsd#ssmt-mfrs_CurrentDerivativeFinancialLiabilitiesAtFairValueThroughProfitOrLossAbstract</t>
  </si>
  <si>
    <t>ssmt-mfrs-cor_2022-12-31.xsd#ssmt-mfrs_CurrentDerivativeFinancialLiabilitiesForwardContract@http://xbrl.ssm.com.my/role/ssm/lab_rol_ssmt-fs-mfrs_2022-12-31/ReportingLabel</t>
  </si>
  <si>
    <t>ssmt-mfrs-cor_2022-12-31.xsd#ssmt-mfrs_CurrentDerivativeFinancialLiabilitiesOptions@http://xbrl.ssm.com.my/role/ssm/lab_rol_ssmt-fs-mfrs_2022-12-31/ReportingLabel</t>
  </si>
  <si>
    <t>ssmt-mfrs-cor_2022-12-31.xsd#ssmt-mfrs_CurrentDerivativeFinancialLiabilitiesSwap@http://xbrl.ssm.com.my/role/ssm/lab_rol_ssmt-fs-mfrs_2022-12-31/ReportingLabel</t>
  </si>
  <si>
    <t>ssmt-mfrs-cor_2022-12-31.xsd#ssmt-mfrs_CurrentDerivativeFinancialLiabilitiesOthers@http://xbrl.ssm.com.my/role/ssm/lab_rol_ssmt-fs-mfrs_2022-12-31/ReportingLabel</t>
  </si>
  <si>
    <t>ssmt-mfrs-cor_2022-12-31.xsd#ssmt-mfrs_CurrentDerivativeFinancialLiabilitiesAtFairValueThroughProfitOrLoss@http://xbrl.ssm.com.my/role/ssm/fs/mfrs/lab_rol_ssmt-fs-mfrs_2022-12-31/ReportingTotalLabel</t>
  </si>
  <si>
    <t>ssmt-mfrs-cor_2022-12-31.xsd#ssmt-mfrs_CurrentDerivativeFinancialLiabilitiesUsedForHedgingAbstract</t>
  </si>
  <si>
    <t>ssmt-mfrs-cor_2022-12-31.xsd#ssmt-mfrs_CurrentDerivativeFinancialLiabilitiesForwardContractUsedForHedging@http://xbrl.ssm.com.my/role/ssm/lab_rol_ssmt-fs-mfrs_2022-12-31/ReportingLabel</t>
  </si>
  <si>
    <t>ssmt-mfrs-cor_2022-12-31.xsd#ssmt-mfrs_CurrentDerivativeFinancialLiabilitiesOptionsUsedForHedging@http://xbrl.ssm.com.my/role/ssm/lab_rol_ssmt-fs-mfrs_2022-12-31/ReportingLabel</t>
  </si>
  <si>
    <t>ssmt-mfrs-cor_2022-12-31.xsd#ssmt-mfrs_CurrentDerivativeFinancialLiabilitiesSwapUsedForHedging@http://xbrl.ssm.com.my/role/ssm/lab_rol_ssmt-fs-mfrs_2022-12-31/ReportingLabel</t>
  </si>
  <si>
    <t>ssmt-mfrs-cor_2022-12-31.xsd#ssmt-mfrs_CurrentDerivativeFinancialLiabilitiesOthersUsedForHedging@http://xbrl.ssm.com.my/role/ssm/lab_rol_ssmt-fs-mfrs_2022-12-31/ReportingLabel</t>
  </si>
  <si>
    <t>ssmt-mfrs-cor_2022-12-31.xsd#ssmt-mfrs_CurrentDerivativeFinancialLiabilitiesUsedForHedging@http://xbrl.ssm.com.my/role/ssm/fs/mfrs/lab_rol_ssmt-fs-mfrs_2022-12-31/ReportingTotalLabel</t>
  </si>
  <si>
    <t>ssmt-mfrs-cor_2022-12-31.xsd#ssmt-mfrs_OtherCurrentDerivativeFinancialLiabilities</t>
  </si>
  <si>
    <t>full_ifrs-cor_2022-03-24.xsd#ifrs-full_CurrentDerivativeFinancialLiabilities@http://xbrl.ssm.com.my/role/ssm/fs/mfrs/lab_rol_ssmt-fs-mfrs_2022-12-31/ReportingTotalLabel</t>
  </si>
  <si>
    <t>Statement on sub-classification of assets, liabilities and equity</t>
  </si>
  <si>
    <t>Sub-classification of assets, liabilities and equity</t>
  </si>
  <si>
    <t>Property, plant and equipment</t>
  </si>
  <si>
    <t>Land and buildings</t>
  </si>
  <si>
    <t>Land</t>
  </si>
  <si>
    <t>Freehold land</t>
  </si>
  <si>
    <t>Long term leasehold land</t>
  </si>
  <si>
    <t>Short term leasehold land</t>
  </si>
  <si>
    <t>Total land</t>
  </si>
  <si>
    <t>Buildings</t>
  </si>
  <si>
    <t>Building on freehold land</t>
  </si>
  <si>
    <t>Building on long term leasehold land</t>
  </si>
  <si>
    <t>Building on short term leasehold land</t>
  </si>
  <si>
    <t>Leased properties</t>
  </si>
  <si>
    <t>Total buildings</t>
  </si>
  <si>
    <t>Total land and buildings</t>
  </si>
  <si>
    <t>Vehicles</t>
  </si>
  <si>
    <t>Vessels</t>
  </si>
  <si>
    <t>Aircraft</t>
  </si>
  <si>
    <t>Motor vehicles</t>
  </si>
  <si>
    <t>Other vehicles</t>
  </si>
  <si>
    <t>Total vehicles</t>
  </si>
  <si>
    <t>Machinery</t>
  </si>
  <si>
    <t>Plant and equipment</t>
  </si>
  <si>
    <t>Office equipment, fixture and fittings</t>
  </si>
  <si>
    <t>Computer software and hardware</t>
  </si>
  <si>
    <t>Bearer plants</t>
  </si>
  <si>
    <t>Infrastructure and site facilities</t>
  </si>
  <si>
    <t>Mining assets</t>
  </si>
  <si>
    <t>Oil and gas assets</t>
  </si>
  <si>
    <t>Tangible exploration and evaluation assets</t>
  </si>
  <si>
    <t>Telecommunication equipments</t>
  </si>
  <si>
    <t>Construction in progress/Asset work-in progress</t>
  </si>
  <si>
    <t>Other property, plant and equipment</t>
  </si>
  <si>
    <t>Investment property</t>
  </si>
  <si>
    <t>Investment properties completed, at carrying value</t>
  </si>
  <si>
    <t>Freehold land and building</t>
  </si>
  <si>
    <t>Leasehold land and building</t>
  </si>
  <si>
    <t>Total investment properties completed, at carrying value</t>
  </si>
  <si>
    <t>Investment properties under construction or development, at cost</t>
  </si>
  <si>
    <t>Building under construction</t>
  </si>
  <si>
    <t>Total investment properties under construction or development, at cost</t>
  </si>
  <si>
    <t>Other investment property</t>
  </si>
  <si>
    <t>Consumable biological assets</t>
  </si>
  <si>
    <t>Bearer biological assets</t>
  </si>
  <si>
    <t>Total biological assets</t>
  </si>
  <si>
    <t>Intangible assets and goodwill</t>
  </si>
  <si>
    <t>Intangible assets other than goodwill</t>
  </si>
  <si>
    <t>Customer acquisition costs</t>
  </si>
  <si>
    <t>Brand names</t>
  </si>
  <si>
    <t>Customer relationships</t>
  </si>
  <si>
    <t>Copyrights, patents and other industrial property rights, service and operating rights</t>
  </si>
  <si>
    <t>Intangible assets under development</t>
  </si>
  <si>
    <t>Intangible exploration and evaluation assets</t>
  </si>
  <si>
    <t>Licences and franchises</t>
  </si>
  <si>
    <t>Recipes, formulae, models, designs and prototypes</t>
  </si>
  <si>
    <t>Computer software</t>
  </si>
  <si>
    <t>Small holder relationship</t>
  </si>
  <si>
    <t>Other intangible assets</t>
  </si>
  <si>
    <t>Total intangible assets other than goodwill</t>
  </si>
  <si>
    <t>Goodwill</t>
  </si>
  <si>
    <t>Investments in subsidiaries</t>
  </si>
  <si>
    <t>Unquoted shares, net of impairment losses</t>
  </si>
  <si>
    <t>Quoted shares in Malaysia</t>
  </si>
  <si>
    <t>Quoted shares outside Malaysia</t>
  </si>
  <si>
    <t>Fair value adjustments on loans and advances and financial guarantee</t>
  </si>
  <si>
    <t>Contributions to subsidiaries, net of impairment losses</t>
  </si>
  <si>
    <t>Other investments in subsidiaries</t>
  </si>
  <si>
    <t>Investments in associates</t>
  </si>
  <si>
    <t>Share of post-acquisition profits and reserves</t>
  </si>
  <si>
    <t>Unrealised profit on transactions with associates</t>
  </si>
  <si>
    <t>Other investments in associates</t>
  </si>
  <si>
    <t>Investments in joint ventures</t>
  </si>
  <si>
    <t>Unrealised profit on transactions with joint ventures</t>
  </si>
  <si>
    <t>Other investments in joint ventures</t>
  </si>
  <si>
    <t>Trade and other non-current receivables</t>
  </si>
  <si>
    <t>Non-current trade receivables</t>
  </si>
  <si>
    <t>Trade receivables</t>
  </si>
  <si>
    <t>Trade receivables due from holding company</t>
  </si>
  <si>
    <t>Trade receivables due from subsidiaries</t>
  </si>
  <si>
    <t>Trade receivables from associates</t>
  </si>
  <si>
    <t>Trade receivables due from joint ventures</t>
  </si>
  <si>
    <t>Trade receivables due from other related parties</t>
  </si>
  <si>
    <t>Other non-current trade receivables</t>
  </si>
  <si>
    <t>Total non-current trade receivables</t>
  </si>
  <si>
    <t>Other non-current receivables</t>
  </si>
  <si>
    <t>Other non-current receivables due from related parties</t>
  </si>
  <si>
    <t>Other receivables due from holding company</t>
  </si>
  <si>
    <t>Other receivables due from subsidiaries</t>
  </si>
  <si>
    <t>Other receivables due from associates</t>
  </si>
  <si>
    <t>Other receivables due from joint ventures</t>
  </si>
  <si>
    <t>Other receivables due from other related companies</t>
  </si>
  <si>
    <t>Total other non-current receivables due from related parties</t>
  </si>
  <si>
    <t>Non-current non-trade receivables</t>
  </si>
  <si>
    <t>Accrued income</t>
  </si>
  <si>
    <t>Lease and hire purchase receivables</t>
  </si>
  <si>
    <t>Other non-current non-trade receivables</t>
  </si>
  <si>
    <t>Total non-current non-trade receivables</t>
  </si>
  <si>
    <t>Total other non-current receivables</t>
  </si>
  <si>
    <t>Non-current derivative financial assets</t>
  </si>
  <si>
    <t>Non-current derivatives at fair value through profit or loss</t>
  </si>
  <si>
    <t>Forward contract</t>
  </si>
  <si>
    <t>Options</t>
  </si>
  <si>
    <t>Swap</t>
  </si>
  <si>
    <t>Other derivatives</t>
  </si>
  <si>
    <t>Total non-current derivatives at fair value through profit or loss</t>
  </si>
  <si>
    <t>Other non-current derivative financial assets</t>
  </si>
  <si>
    <t>Inventories</t>
  </si>
  <si>
    <t>Raw materials</t>
  </si>
  <si>
    <t>Work in progress</t>
  </si>
  <si>
    <t>Finished goods</t>
  </si>
  <si>
    <t>Spare parts</t>
  </si>
  <si>
    <t>Other inventories</t>
  </si>
  <si>
    <t>Trade and other current receivables</t>
  </si>
  <si>
    <t>Current trade receivables</t>
  </si>
  <si>
    <t>Trade receivables due from contract customers</t>
  </si>
  <si>
    <t>Trade receivables due from associates</t>
  </si>
  <si>
    <t>Unearned current carrying charges</t>
  </si>
  <si>
    <t>Other current trade receivables</t>
  </si>
  <si>
    <t>Total current trade receivables</t>
  </si>
  <si>
    <t>Other current receivables</t>
  </si>
  <si>
    <t>Other current receivables due from related parties</t>
  </si>
  <si>
    <t>Other receivables due from other related parties</t>
  </si>
  <si>
    <t>Total other current receivables due from related parties</t>
  </si>
  <si>
    <t>Current prepayments and current accrued income</t>
  </si>
  <si>
    <t>Prepayments</t>
  </si>
  <si>
    <t>Total current prepayments and current accrued income</t>
  </si>
  <si>
    <t>Current non-trade receivables</t>
  </si>
  <si>
    <t>Interest receivables</t>
  </si>
  <si>
    <t>Deposits</t>
  </si>
  <si>
    <t>Dividend receivables</t>
  </si>
  <si>
    <t>Other current non-trade receivables</t>
  </si>
  <si>
    <t>Total current non-trade receivables</t>
  </si>
  <si>
    <t>Total other current receivables</t>
  </si>
  <si>
    <t>Current derivative financial assets</t>
  </si>
  <si>
    <t>Current derivatives at fair value through profit or loss</t>
  </si>
  <si>
    <t>Total current derivatives at fair value through profit or loss</t>
  </si>
  <si>
    <t>Other current derivative financial assets</t>
  </si>
  <si>
    <t>Cash and cash equivalents</t>
  </si>
  <si>
    <t>Cash</t>
  </si>
  <si>
    <t>Cash in hand</t>
  </si>
  <si>
    <t>Balances with Licensed Banks</t>
  </si>
  <si>
    <t>Total cash</t>
  </si>
  <si>
    <t>Cash equivalents</t>
  </si>
  <si>
    <t>Deposits placed with licensed banks</t>
  </si>
  <si>
    <t>Deposit placed with other corporations</t>
  </si>
  <si>
    <t>Cash equivalents with other financial institutions</t>
  </si>
  <si>
    <t>Short-term deposits</t>
  </si>
  <si>
    <t>Short-term investments</t>
  </si>
  <si>
    <t>Other banking arrangements</t>
  </si>
  <si>
    <t>Total cash equivalents</t>
  </si>
  <si>
    <t>Other cash and cash equivalents</t>
  </si>
  <si>
    <t>Other non-current assets</t>
  </si>
  <si>
    <t>Prepaid rental of buildings and facilities</t>
  </si>
  <si>
    <t>Prepaid land lease</t>
  </si>
  <si>
    <t>Issued capital</t>
  </si>
  <si>
    <t>Capital from ordinary shares</t>
  </si>
  <si>
    <t>Capital from redeemable preference shares</t>
  </si>
  <si>
    <t>Capital from non-redeemable preference shares</t>
  </si>
  <si>
    <t>Reserves</t>
  </si>
  <si>
    <t>Non-distributable</t>
  </si>
  <si>
    <t>Capital reserve</t>
  </si>
  <si>
    <t>Hedging reserve</t>
  </si>
  <si>
    <t>Foreign currency translation reserve</t>
  </si>
  <si>
    <t>Reserve of share-based payments</t>
  </si>
  <si>
    <t>Revaluation surplus</t>
  </si>
  <si>
    <t>Statutory reserve</t>
  </si>
  <si>
    <t>Warrant reserve</t>
  </si>
  <si>
    <t>Other non-distributable reserves</t>
  </si>
  <si>
    <t>Total non-distributable reserves</t>
  </si>
  <si>
    <t>Distributable</t>
  </si>
  <si>
    <t>Fair value reserves</t>
  </si>
  <si>
    <t>Reserve of non-current assets classified as held for sale</t>
  </si>
  <si>
    <t>Consolidation reserve</t>
  </si>
  <si>
    <t>Warranty reserve</t>
  </si>
  <si>
    <t>Other distributable reserves</t>
  </si>
  <si>
    <t>Total distributable reserves</t>
  </si>
  <si>
    <t>Equity - others components</t>
  </si>
  <si>
    <t>Perpetual sukuk</t>
  </si>
  <si>
    <t>Equity component of Irredeemable Convertible Unsecured Loan Stocks (ICULS)</t>
  </si>
  <si>
    <t>Equity component of preference shares</t>
  </si>
  <si>
    <t>Head office accounts</t>
  </si>
  <si>
    <t>Equity components of other financial instruments</t>
  </si>
  <si>
    <t>Non-current borrowings</t>
  </si>
  <si>
    <t>Non-current portion of non-current secured bank loans received</t>
  </si>
  <si>
    <t>Term loans</t>
  </si>
  <si>
    <t>Islamic financing facilities</t>
  </si>
  <si>
    <t>Hire purchase and finance lease liabilities</t>
  </si>
  <si>
    <t>Islamic medium term notes</t>
  </si>
  <si>
    <t>Sukuk</t>
  </si>
  <si>
    <t>Revolving credit and others</t>
  </si>
  <si>
    <t>Other secured bank loans</t>
  </si>
  <si>
    <t>Total non-current portion of non-current secured bank loans received</t>
  </si>
  <si>
    <t>Non-current portion of non-current unsecured bank loans received</t>
  </si>
  <si>
    <t>Irredeemable Convertible Unsecured Loan Stocks (ICULS)</t>
  </si>
  <si>
    <t>Other unsecured bank loans received</t>
  </si>
  <si>
    <t>Total non-current portion of non-current unsecured bank loans received</t>
  </si>
  <si>
    <t>Non-current portion of secured bonds, sukuk and loan stock</t>
  </si>
  <si>
    <t>Bonds</t>
  </si>
  <si>
    <t>Medium term notes</t>
  </si>
  <si>
    <t>Loan stocks</t>
  </si>
  <si>
    <t>Preference shares</t>
  </si>
  <si>
    <t>Total non-current portion of secured bonds/sukuk/loan stocks</t>
  </si>
  <si>
    <t>Non-current portion of unsecured bonds, sukuk and loan stock</t>
  </si>
  <si>
    <t>Total non-current portion of unsecured bonds/sukuk/loan stocks</t>
  </si>
  <si>
    <t>Other non-current borrowings</t>
  </si>
  <si>
    <t>Loan from subsidiaries</t>
  </si>
  <si>
    <t>Loan from associates</t>
  </si>
  <si>
    <t>Loan from joint ventures</t>
  </si>
  <si>
    <t>Redeemable preference shares</t>
  </si>
  <si>
    <t>Total other non-current borrowings</t>
  </si>
  <si>
    <t>Non-current employee benefit liabilities</t>
  </si>
  <si>
    <t>Cash-settled share-based payment liability</t>
  </si>
  <si>
    <t>Retirement benefits</t>
  </si>
  <si>
    <t>Employment termination benefits</t>
  </si>
  <si>
    <t>Provision for unconsumed leave</t>
  </si>
  <si>
    <t>Defined contribution plan</t>
  </si>
  <si>
    <t>Defined benefit plan</t>
  </si>
  <si>
    <t>Other non-current employee benefit liabilities</t>
  </si>
  <si>
    <t>Non-current provisions</t>
  </si>
  <si>
    <t>Warranty provision</t>
  </si>
  <si>
    <t>Restructuring provision</t>
  </si>
  <si>
    <t>Legal proceedings provision</t>
  </si>
  <si>
    <t>Refund provision</t>
  </si>
  <si>
    <t>Onerous contracts provision</t>
  </si>
  <si>
    <t>Provision for decommissioning, restoration and rehabilitation costs</t>
  </si>
  <si>
    <t>Other non-current provisions</t>
  </si>
  <si>
    <t>Trade and other non-current payables</t>
  </si>
  <si>
    <t>Non-current trade payables</t>
  </si>
  <si>
    <t>Trade payables</t>
  </si>
  <si>
    <t>Trade payables due to holding company</t>
  </si>
  <si>
    <t>Trade payables due to subsidiaries</t>
  </si>
  <si>
    <t>Trade payables due to associates</t>
  </si>
  <si>
    <t>Trade payables due to joint ventures</t>
  </si>
  <si>
    <t>Trade payables due to other related parties</t>
  </si>
  <si>
    <t>Other non-current trade payables</t>
  </si>
  <si>
    <t>Total non-current trade payables</t>
  </si>
  <si>
    <t>Other non-current payables</t>
  </si>
  <si>
    <t>Other non-current payables due to related parties</t>
  </si>
  <si>
    <t>Other payables due to holding company</t>
  </si>
  <si>
    <t>Other payables due to subsidiaries</t>
  </si>
  <si>
    <t>Other payables due to associates</t>
  </si>
  <si>
    <t>Other payables due to joint ventures</t>
  </si>
  <si>
    <t>Other payables due to other related parties</t>
  </si>
  <si>
    <t>Total other non-current payables due to related parties</t>
  </si>
  <si>
    <t>Other payables due to non-controlling interests</t>
  </si>
  <si>
    <t>Dividend payable to non-controlling interest</t>
  </si>
  <si>
    <t>Loans from non-controlling interest</t>
  </si>
  <si>
    <t>Miscellaneous payables due to non-controlling interests</t>
  </si>
  <si>
    <t>Total other payables due to non-controlling interests</t>
  </si>
  <si>
    <t>Non-current non-trade payables</t>
  </si>
  <si>
    <t>Deferred income</t>
  </si>
  <si>
    <t>Accruals</t>
  </si>
  <si>
    <t>Retention payable</t>
  </si>
  <si>
    <t>Other non-current non-trade payables</t>
  </si>
  <si>
    <t>Total non-current non-trade payables</t>
  </si>
  <si>
    <t>Non-current derivative financial liabilities</t>
  </si>
  <si>
    <t>Non-current Derivates used for hedging</t>
  </si>
  <si>
    <t>Total non-current derivatives used for hedging</t>
  </si>
  <si>
    <t>Other non-current derivative financial liabilities</t>
  </si>
  <si>
    <t>Current borrowings</t>
  </si>
  <si>
    <t>Current secured bank loans received and current portion of non-current secured bank loans received</t>
  </si>
  <si>
    <t>Bankers' acceptance</t>
  </si>
  <si>
    <t>Bank overdrafts</t>
  </si>
  <si>
    <t>Trade financing facilities</t>
  </si>
  <si>
    <t>Other secured bank loans received</t>
  </si>
  <si>
    <t>Total current secured bank loans received and current portion of non-current secured bank loans received</t>
  </si>
  <si>
    <t>Current unsecured bank loans received and current portion of non-current unsecured bank loans received</t>
  </si>
  <si>
    <t>Block discounting payables</t>
  </si>
  <si>
    <t>Irredeemable convertible unsecured loan stocks (ICULS)</t>
  </si>
  <si>
    <t>Total current unsecured bank loans received and current portion of non-current unsecured bank loans received</t>
  </si>
  <si>
    <t>Current portion of secured bonds/sukuk/loan stocks</t>
  </si>
  <si>
    <t>Total current portion of secured bonds/sukuk/loan stocks</t>
  </si>
  <si>
    <t>Current portion of unsecured bonds/sukuk/loan stocks</t>
  </si>
  <si>
    <t>Total current portion of unsecured bonds/sukuk/loan stocks</t>
  </si>
  <si>
    <t>Other current borrowings</t>
  </si>
  <si>
    <t>Trade loans</t>
  </si>
  <si>
    <t>Total other current borrowings</t>
  </si>
  <si>
    <t>Total current borrowings</t>
  </si>
  <si>
    <t>Current employee benefit liabilities</t>
  </si>
  <si>
    <t>Other current employee benefit liabilities</t>
  </si>
  <si>
    <t>Current provisions</t>
  </si>
  <si>
    <t>Refunds provision</t>
  </si>
  <si>
    <t>Other current provisions</t>
  </si>
  <si>
    <t>Trade and other current payables</t>
  </si>
  <si>
    <t>Current trade payables</t>
  </si>
  <si>
    <t>Trade payable due to contract suppliers</t>
  </si>
  <si>
    <t>Other current trade payables</t>
  </si>
  <si>
    <t>Total current trade payables</t>
  </si>
  <si>
    <t>Other current payables</t>
  </si>
  <si>
    <t xml:space="preserve"> Other current payables due to related parties</t>
  </si>
  <si>
    <t>Total other current payables due to related parties</t>
  </si>
  <si>
    <t>Miscellaneous payable due to non-controlling interests</t>
  </si>
  <si>
    <t>Current non-trade payables</t>
  </si>
  <si>
    <t>Deposits and advanced billings</t>
  </si>
  <si>
    <t>Financing costs</t>
  </si>
  <si>
    <t>Dividend payable</t>
  </si>
  <si>
    <t>Interest payables</t>
  </si>
  <si>
    <t>Other current non-trade payables</t>
  </si>
  <si>
    <t>Total current non-trade payables</t>
  </si>
  <si>
    <t>Total other current payables</t>
  </si>
  <si>
    <t>Current derivative financial liabilities</t>
  </si>
  <si>
    <t>Current derivatives used for hedging</t>
  </si>
  <si>
    <t>Total current derivatives used for hedging</t>
  </si>
  <si>
    <t>Other current derivative financial liabilities</t>
  </si>
  <si>
    <t>bee4d44c-2d67-4d65-9d5f-8f366adca267:~:SOFP-Sub-CuNonCu_2:~:NotMandatory:~:True:~:1:~:True:~:&lt;?xml version="1.0" encoding="utf-16"?&gt;_x000D_
&lt;Customization xmlns:xsi="http://www.w3.org/2001/XMLSchema-instance" xmlns:xsd="http://www.w3.org/2001/XMLSchema" ComparitiveDate="False" LayoutByDate="False" LayoutByCompany="False" ShowAllDomains="False" TotalDomain="True" DefaultDates="2" /&gt;:~:LytHyc:~:ssmt-mfrs-cor_2022-12-31.xsd#ssmt-mfrs_StatementOnSubclassificationOfAssetsLiabilitiesAndEquityTable:~:False:~:True:~:ssmt-mfrs-cor_2022-12-31.xsd#ssmt-mfrs_DisclosureOnSubclassificationOfAssetsLiabilitiesAndEquityAbstract@http://www.xbrl.org/2003/role/label::ssmt-mfrs-cor_2022-12-31.xsd#ssmt-mfrs_StatementOnSubclassificationOfAssetsLiabilitiesAndEquityAbstract@http://www.xbrl.org/2003/role/label::ssmt-mfrs-cor_2022-12-31.xsd#ssmt-mfrs_StatementOnSubclassificationOfAssetsLiabilitiesAndEquityLineItems@http://www.xbrl.org/2003/role/label:~:ssmt-mfrs-cor_2022-12-31.xsd#ssmt-mfrs_StatementOnSubclassificationOfAssetsLiabilitiesAndEquityTable</t>
  </si>
  <si>
    <r>
      <t>*</t>
    </r>
    <r>
      <rPr>
        <b/>
        <sz val="10"/>
        <color indexed="8"/>
        <rFont val="Verdana"/>
        <family val="2"/>
      </rPr>
      <t>Total property, plant and equipment</t>
    </r>
  </si>
  <si>
    <r>
      <t>*</t>
    </r>
    <r>
      <rPr>
        <b/>
        <sz val="10"/>
        <color indexed="8"/>
        <rFont val="Verdana"/>
        <family val="2"/>
      </rPr>
      <t>Total investment properties</t>
    </r>
  </si>
  <si>
    <r>
      <t>*</t>
    </r>
    <r>
      <rPr>
        <b/>
        <sz val="10"/>
        <color indexed="8"/>
        <rFont val="Verdana"/>
        <family val="2"/>
      </rPr>
      <t>Total intangible assets and goodwill</t>
    </r>
  </si>
  <si>
    <r>
      <t>*</t>
    </r>
    <r>
      <rPr>
        <b/>
        <sz val="10"/>
        <color indexed="8"/>
        <rFont val="Verdana"/>
        <family val="2"/>
      </rPr>
      <t>Total investments in subsidiaries</t>
    </r>
  </si>
  <si>
    <r>
      <t>*</t>
    </r>
    <r>
      <rPr>
        <b/>
        <sz val="10"/>
        <color indexed="8"/>
        <rFont val="Verdana"/>
        <family val="2"/>
      </rPr>
      <t>Total investments in associates</t>
    </r>
  </si>
  <si>
    <r>
      <t>*</t>
    </r>
    <r>
      <rPr>
        <b/>
        <sz val="10"/>
        <color indexed="8"/>
        <rFont val="Verdana"/>
        <family val="2"/>
      </rPr>
      <t>Total investments in joint ventures</t>
    </r>
  </si>
  <si>
    <r>
      <t>*</t>
    </r>
    <r>
      <rPr>
        <b/>
        <sz val="10"/>
        <color indexed="8"/>
        <rFont val="Verdana"/>
        <family val="2"/>
      </rPr>
      <t>Total trade and other non-current receivables</t>
    </r>
  </si>
  <si>
    <r>
      <t>*</t>
    </r>
    <r>
      <rPr>
        <b/>
        <sz val="10"/>
        <color indexed="8"/>
        <rFont val="Verdana"/>
        <family val="2"/>
      </rPr>
      <t>Total non-current derivative financial assets</t>
    </r>
  </si>
  <si>
    <r>
      <t>*</t>
    </r>
    <r>
      <rPr>
        <b/>
        <sz val="10"/>
        <color indexed="8"/>
        <rFont val="Verdana"/>
        <family val="2"/>
      </rPr>
      <t>Total inventories</t>
    </r>
  </si>
  <si>
    <r>
      <t>*</t>
    </r>
    <r>
      <rPr>
        <b/>
        <sz val="10"/>
        <color indexed="8"/>
        <rFont val="Verdana"/>
        <family val="2"/>
      </rPr>
      <t>Total trade and other current receivables</t>
    </r>
  </si>
  <si>
    <r>
      <t>*</t>
    </r>
    <r>
      <rPr>
        <b/>
        <sz val="10"/>
        <color indexed="8"/>
        <rFont val="Verdana"/>
        <family val="2"/>
      </rPr>
      <t>Total current derivative financial assets</t>
    </r>
  </si>
  <si>
    <r>
      <t>*</t>
    </r>
    <r>
      <rPr>
        <b/>
        <sz val="10"/>
        <color indexed="8"/>
        <rFont val="Verdana"/>
        <family val="2"/>
      </rPr>
      <t>Total cash and cash equivalents</t>
    </r>
  </si>
  <si>
    <r>
      <t>*</t>
    </r>
    <r>
      <rPr>
        <b/>
        <sz val="10"/>
        <color indexed="8"/>
        <rFont val="Verdana"/>
        <family val="2"/>
      </rPr>
      <t>Total other non-current assets</t>
    </r>
  </si>
  <si>
    <r>
      <t>*</t>
    </r>
    <r>
      <rPr>
        <b/>
        <sz val="10"/>
        <color indexed="8"/>
        <rFont val="Verdana"/>
        <family val="2"/>
      </rPr>
      <t>Total issued capital</t>
    </r>
  </si>
  <si>
    <r>
      <t>*</t>
    </r>
    <r>
      <rPr>
        <b/>
        <sz val="10"/>
        <color indexed="8"/>
        <rFont val="Verdana"/>
        <family val="2"/>
      </rPr>
      <t>Total reserves</t>
    </r>
  </si>
  <si>
    <r>
      <t>*</t>
    </r>
    <r>
      <rPr>
        <b/>
        <sz val="10"/>
        <color indexed="8"/>
        <rFont val="Verdana"/>
        <family val="2"/>
      </rPr>
      <t>Total equity - other components</t>
    </r>
  </si>
  <si>
    <r>
      <t>*</t>
    </r>
    <r>
      <rPr>
        <b/>
        <sz val="10"/>
        <color indexed="8"/>
        <rFont val="Verdana"/>
        <family val="2"/>
      </rPr>
      <t>Total non-current borrowings</t>
    </r>
  </si>
  <si>
    <r>
      <t>*</t>
    </r>
    <r>
      <rPr>
        <b/>
        <sz val="10"/>
        <color indexed="8"/>
        <rFont val="Verdana"/>
        <family val="2"/>
      </rPr>
      <t>Total non-current employee benefit liabilities</t>
    </r>
  </si>
  <si>
    <r>
      <t>*</t>
    </r>
    <r>
      <rPr>
        <b/>
        <sz val="10"/>
        <color indexed="8"/>
        <rFont val="Verdana"/>
        <family val="2"/>
      </rPr>
      <t>Total non-current provisions</t>
    </r>
  </si>
  <si>
    <r>
      <t>*</t>
    </r>
    <r>
      <rPr>
        <b/>
        <sz val="10"/>
        <color indexed="8"/>
        <rFont val="Verdana"/>
        <family val="2"/>
      </rPr>
      <t>Total trade and other non-current payables</t>
    </r>
  </si>
  <si>
    <r>
      <t>*</t>
    </r>
    <r>
      <rPr>
        <b/>
        <sz val="10"/>
        <color indexed="8"/>
        <rFont val="Verdana"/>
        <family val="2"/>
      </rPr>
      <t>Total non-current derivative financial liabilities</t>
    </r>
  </si>
  <si>
    <r>
      <t>*</t>
    </r>
    <r>
      <rPr>
        <b/>
        <sz val="10"/>
        <color indexed="8"/>
        <rFont val="Verdana"/>
        <family val="2"/>
      </rPr>
      <t>Total current employee benefit liabilities</t>
    </r>
  </si>
  <si>
    <r>
      <t>*</t>
    </r>
    <r>
      <rPr>
        <b/>
        <sz val="10"/>
        <color indexed="8"/>
        <rFont val="Verdana"/>
        <family val="2"/>
      </rPr>
      <t>Total current provisions</t>
    </r>
  </si>
  <si>
    <r>
      <t>*</t>
    </r>
    <r>
      <rPr>
        <b/>
        <sz val="10"/>
        <color indexed="8"/>
        <rFont val="Verdana"/>
        <family val="2"/>
      </rPr>
      <t>Total trade and other current payables</t>
    </r>
  </si>
  <si>
    <r>
      <t>*</t>
    </r>
    <r>
      <rPr>
        <b/>
        <sz val="10"/>
        <color indexed="8"/>
        <rFont val="Verdana"/>
        <family val="2"/>
      </rPr>
      <t>Total current derivative financial liabilities</t>
    </r>
  </si>
  <si>
    <t>FS-MFRS  Sub-classification of assets, liabilities and equity, by current/non-current method</t>
  </si>
  <si>
    <t>e626cc5a-923a-4892-95e5-46c3f6ce1818:~:AtleastOneValueInAnyLayout:~:True:~:&lt;?xml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/&gt;:~:http://xbrl.ssm.com.my/role/ssm/rol_ssmt-fs-mfrs_2022-12-31/ssmt-fs-mfrs_2022-12-31_role-300100x:~:None</t>
  </si>
  <si>
    <t>51d9dbc9-4f1f-49fa-bd4a-66bd69bffe70:~:SOPL-Function_1_TBLYT:~:NotMandatory:~:False:~:0:~:True:~:&lt;?xml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/&gt;:~:LytTxb:~::~:False:~:True:~:ssmt-cor_2022-12-31.xsd#ssmt_DisclosureOnStatementOfProfitOrLossAbstract@http://www.xbrl.org/2003/role/label:~:</t>
  </si>
  <si>
    <t>ssmt-cor_2022-12-31.xsd#ssmt_DisclosureOnStatementOfProfitOrLossAbstract</t>
  </si>
  <si>
    <t>Disclosure on statement of profit or loss</t>
  </si>
  <si>
    <t>ssmt-cor_2022-12-31.xsd#ssmt_StatementOfProfitOrLossAbstract</t>
  </si>
  <si>
    <t>ssmt-cor_2022-12-31.xsd#ssmt_StatementOfProfitOrLossLineItems</t>
  </si>
  <si>
    <t>ssmt-mfrs-cor_2022-12-31.xsd#ssmt-mfrs_ContinuingOperationsAbstract</t>
  </si>
  <si>
    <t>full_ifrs-cor_2022-03-24.xsd#ifrs-full_Revenue</t>
  </si>
  <si>
    <t>full_ifrs-cor_2022-03-24.xsd#ifrs-full_CostOfSales</t>
  </si>
  <si>
    <t>full_ifrs-cor_2022-03-24.xsd#ifrs-full_GrossProfit@http://www.xbrl.org/2009/role/netLabel</t>
  </si>
  <si>
    <t>full_ifrs-cor_2022-03-24.xsd#ifrs-full_OtherIncome</t>
  </si>
  <si>
    <t>ssmt-mfrs-cor_2022-12-31.xsd#ssmt-mfrs_SellingAndDistributionExpenses</t>
  </si>
  <si>
    <t>full_ifrs-cor_2022-03-24.xsd#ifrs-full_AdministrativeExpense</t>
  </si>
  <si>
    <t>full_ifrs-cor_2022-03-24.xsd#ifrs-full_ResearchAndDevelopmentExpense</t>
  </si>
  <si>
    <t>full_ifrs-cor_2022-03-24.xsd#ifrs-full_OtherExpenseByFunction@http://xbrl.ssm.com.my/role/ssm/lab_rol_ssmt-fs-mfrs_2022-12-31/ReportingLabel</t>
  </si>
  <si>
    <t>full_ifrs-cor_2022-03-24.xsd#ifrs-full_ProfitLossFromOperatingActivities@http://www.xbrl.org/2003/role/totalLabel</t>
  </si>
  <si>
    <t>full_ifrs-cor_2022-03-24.xsd#ifrs-full_FinanceIncome</t>
  </si>
  <si>
    <t>full_ifrs-cor_2022-03-24.xsd#ifrs-full_FinanceCosts</t>
  </si>
  <si>
    <t>full_ifrs-cor_2022-03-24.xsd#ifrs-full_ShareOfProfitLossOfAssociatesAndJointVenturesAccountedForUsingEquityMethod</t>
  </si>
  <si>
    <t>ssmt-mfrs-cor_2022-12-31.xsd#ssmt-mfrs_FairValuationGainLossArisingFromDistributionOfNoncashAssetsToOwners</t>
  </si>
  <si>
    <t>full_ifrs-cor_2022-03-24.xsd#ifrs-full_ProfitLossBeforeTax@http://www.xbrl.org/2003/role/totalLabel</t>
  </si>
  <si>
    <t>full_ifrs-cor_2022-03-24.xsd#ifrs-full_IncomeTaxExpenseContinuingOperations@http://xbrl.ssm.com.my/role/ssm/lab_rol_ssmt-fs-mfrs_2022-12-31/ReportingLabel</t>
  </si>
  <si>
    <t>ssmt-mfrs-cor_2022-12-31.xsd#ssmt-mfrs_ContributionOfZakat</t>
  </si>
  <si>
    <t>full_ifrs-cor_2022-03-24.xsd#ifrs-full_ProfitLossFromContinuingOperations@http://www.xbrl.org/2003/role/totalLabel</t>
  </si>
  <si>
    <t>ssmt-mfrs-cor_2022-12-31.xsd#ssmt-mfrs_DiscontinuedOperationsAbstract</t>
  </si>
  <si>
    <t>full_ifrs-cor_2022-03-24.xsd#ifrs-full_ProfitLossFromDiscontinuedOperations@http://xbrl.ssm.com.my/role/ssm/lab_rol_ssmt-fs-mfrs_2022-12-31/ReportingLabel</t>
  </si>
  <si>
    <t>full_ifrs-cor_2022-03-24.xsd#ifrs-full_ProfitLoss@http://www.xbrl.org/2003/role/totalLabel</t>
  </si>
  <si>
    <t>full_ifrs-cor_2022-03-24.xsd#ifrs-full_ProfitLossAttributableToAbstract</t>
  </si>
  <si>
    <t>full_ifrs-cor_2022-03-24.xsd#ifrs-full_ProfitLossAttributableToOwnersOfParent</t>
  </si>
  <si>
    <t>ssmt-mfrs-cor_2022-12-31.xsd#ssmt-mfrs_ProfitLossAttributableToOtherComponentsOfEquity</t>
  </si>
  <si>
    <t>full_ifrs-cor_2022-03-24.xsd#ifrs-full_ProfitLossAttributableToNoncontrollingInterests</t>
  </si>
  <si>
    <t>full_ifrs-cor_2022-03-24.xsd#ifrs-full_ProfitLoss@http://xbrl.ssm.com.my/role/ssm/fs/mfrs/lab_rol_ssmt-fs-mfrs_2022-12-31/ReportingTotalLabel</t>
  </si>
  <si>
    <t>full_ifrs-cor_2022-03-24.xsd#ifrs-full_EarningsPerShareAbstract</t>
  </si>
  <si>
    <t>full_ifrs-cor_2022-03-24.xsd#ifrs-full_BasicEarningsPerShareAbstract</t>
  </si>
  <si>
    <t>full_ifrs-cor_2022-03-24.xsd#ifrs-full_BasicEarningsLossPerShareFromContinuingOperations</t>
  </si>
  <si>
    <t>full_ifrs-cor_2022-03-24.xsd#ifrs-full_BasicEarningsLossPerShareFromDiscontinuedOperations</t>
  </si>
  <si>
    <t>full_ifrs-cor_2022-03-24.xsd#ifrs-full_BasicEarningsLossPerShare@http://www.xbrl.org/2003/role/totalLabel</t>
  </si>
  <si>
    <t>full_ifrs-cor_2022-03-24.xsd#ifrs-full_DilutedEarningsPerShareAbstract</t>
  </si>
  <si>
    <t>full_ifrs-cor_2022-03-24.xsd#ifrs-full_DilutedEarningsLossPerShareFromContinuingOperations</t>
  </si>
  <si>
    <t>full_ifrs-cor_2022-03-24.xsd#ifrs-full_DilutedEarningsLossPerShareFromDiscontinuedOperations</t>
  </si>
  <si>
    <t>full_ifrs-cor_2022-03-24.xsd#ifrs-full_DilutedEarningsLossPerShare@http://www.xbrl.org/2003/role/totalLabel</t>
  </si>
  <si>
    <t>Statement of Profit or Loss</t>
  </si>
  <si>
    <t>Statement of profit or loss</t>
  </si>
  <si>
    <t>Continuing operations</t>
  </si>
  <si>
    <t>Selling and distribution expenses</t>
  </si>
  <si>
    <t>Research and development expense</t>
  </si>
  <si>
    <t>Profit (loss) from operating activities</t>
  </si>
  <si>
    <t>Share of profit (loss) of associates and joint ventures accounted for using equity method</t>
  </si>
  <si>
    <t>Fair valuation gain (loss) arising from distribution of non-cash assets to owners</t>
  </si>
  <si>
    <t>Contribution of zakat</t>
  </si>
  <si>
    <t>Discontinued operations</t>
  </si>
  <si>
    <t>Profit (loss) from discontinued operations, net of tax</t>
  </si>
  <si>
    <t>Profit (loss), attributable to</t>
  </si>
  <si>
    <t>Profit (loss), attributable to owners of parent</t>
  </si>
  <si>
    <t>Profit (loss) attributable to equity other components</t>
  </si>
  <si>
    <t>Profit (loss), attributable to non-controlling interests</t>
  </si>
  <si>
    <t>Earnings per share</t>
  </si>
  <si>
    <t>Basic earnings per share</t>
  </si>
  <si>
    <t>Basic earnings (loss) per share from continuing operations</t>
  </si>
  <si>
    <t>Basic earnings (loss) per share from discontinued operations</t>
  </si>
  <si>
    <t>Total basic earnings (loss) per share</t>
  </si>
  <si>
    <t>Diluted earnings per share</t>
  </si>
  <si>
    <t>Diluted earnings (loss) per share from continuing operations</t>
  </si>
  <si>
    <t>Diluted earnings (loss) per share from discontinued operations</t>
  </si>
  <si>
    <t>Total diluted earnings (loss) per share</t>
  </si>
  <si>
    <t>1dd880d0-8b74-4382-a51d-a00d3dbba064:~:SOPL-Function_2:~:NotMandatory:~:True:~:1:~:True:~:&lt;?xml version="1.0" encoding="utf-16"?&gt;_x000D_
&lt;Customization xmlns:xsi="http://www.w3.org/2001/XMLSchema-instance" xmlns:xsd="http://www.w3.org/2001/XMLSchema" ComparitiveDate="False" LayoutByDate="False" LayoutByCompany="False" ShowAllDomains="False" TotalDomain="True" DefaultDates="2" /&gt;:~:LytHyc:~:ssmt-cor_2022-12-31.xsd#ssmt_StatementOfProfitOrLossTable:~:False:~:True:~:ssmt-cor_2022-12-31.xsd#ssmt_DisclosureOnStatementOfProfitOrLossAbstract@http://www.xbrl.org/2003/role/label::ssmt-cor_2022-12-31.xsd#ssmt_StatementOfProfitOrLossAbstract@http://www.xbrl.org/2003/role/label::ssmt-cor_2022-12-31.xsd#ssmt_StatementOfProfitOrLossLineItems@http://www.xbrl.org/2003/role/label:~:ssmt-cor_2022-12-31.xsd#ssmt_StatementOfProfitOrLossTable</t>
  </si>
  <si>
    <r>
      <t>*</t>
    </r>
    <r>
      <rPr>
        <sz val="10"/>
        <color indexed="8"/>
        <rFont val="Verdana"/>
        <family val="2"/>
      </rPr>
      <t>Revenue</t>
    </r>
  </si>
  <si>
    <r>
      <t>*</t>
    </r>
    <r>
      <rPr>
        <sz val="10"/>
        <color indexed="8"/>
        <rFont val="Verdana"/>
        <family val="2"/>
      </rPr>
      <t>Cost of sales</t>
    </r>
  </si>
  <si>
    <r>
      <t>*</t>
    </r>
    <r>
      <rPr>
        <b/>
        <sz val="10"/>
        <color indexed="8"/>
        <rFont val="Verdana"/>
        <family val="2"/>
      </rPr>
      <t>Gross profit</t>
    </r>
  </si>
  <si>
    <r>
      <t>*</t>
    </r>
    <r>
      <rPr>
        <sz val="10"/>
        <color indexed="8"/>
        <rFont val="Verdana"/>
        <family val="2"/>
      </rPr>
      <t>Other income</t>
    </r>
  </si>
  <si>
    <r>
      <t>*</t>
    </r>
    <r>
      <rPr>
        <sz val="10"/>
        <color indexed="8"/>
        <rFont val="Verdana"/>
        <family val="2"/>
      </rPr>
      <t>Administrative expenses</t>
    </r>
  </si>
  <si>
    <r>
      <t>*</t>
    </r>
    <r>
      <rPr>
        <sz val="10"/>
        <color indexed="8"/>
        <rFont val="Verdana"/>
        <family val="2"/>
      </rPr>
      <t>Other expenses</t>
    </r>
  </si>
  <si>
    <r>
      <t>*</t>
    </r>
    <r>
      <rPr>
        <sz val="10"/>
        <color indexed="8"/>
        <rFont val="Verdana"/>
        <family val="2"/>
      </rPr>
      <t>Finance income</t>
    </r>
  </si>
  <si>
    <r>
      <t>*</t>
    </r>
    <r>
      <rPr>
        <sz val="10"/>
        <color indexed="8"/>
        <rFont val="Verdana"/>
        <family val="2"/>
      </rPr>
      <t>Finance costs</t>
    </r>
  </si>
  <si>
    <r>
      <t>*</t>
    </r>
    <r>
      <rPr>
        <b/>
        <sz val="10"/>
        <color indexed="8"/>
        <rFont val="Verdana"/>
        <family val="2"/>
      </rPr>
      <t>Profit (loss) before tax</t>
    </r>
  </si>
  <si>
    <r>
      <t>*</t>
    </r>
    <r>
      <rPr>
        <sz val="10"/>
        <color indexed="8"/>
        <rFont val="Verdana"/>
        <family val="2"/>
      </rPr>
      <t>Tax expense</t>
    </r>
  </si>
  <si>
    <r>
      <t>*</t>
    </r>
    <r>
      <rPr>
        <b/>
        <sz val="10"/>
        <color indexed="8"/>
        <rFont val="Verdana"/>
        <family val="2"/>
      </rPr>
      <t>Profit (loss) from continuing operations</t>
    </r>
  </si>
  <si>
    <r>
      <t>*</t>
    </r>
    <r>
      <rPr>
        <b/>
        <sz val="10"/>
        <color indexed="8"/>
        <rFont val="Verdana"/>
        <family val="2"/>
      </rPr>
      <t>Profit (loss)</t>
    </r>
  </si>
  <si>
    <r>
      <t>*</t>
    </r>
    <r>
      <rPr>
        <b/>
        <sz val="10"/>
        <color indexed="8"/>
        <rFont val="Verdana"/>
        <family val="2"/>
      </rPr>
      <t>Total profit (loss)</t>
    </r>
  </si>
  <si>
    <t>FS-MFRS  Statement of profit or loss, by function of expense</t>
  </si>
  <si>
    <t>eadafe3e-14c4-402f-a1ac-c5a41983981f:~:AtleastOneValueInAnyLayout:~:True:~:&lt;?xml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/&gt;:~:http://xbrl.ssm.com.my/role/ssm/rol_ssmt-fs-mfrs_2022-12-31/ssmt-fs-mfrs_2022-12-31_role-300200x:~:None</t>
  </si>
  <si>
    <t>d9ddaf2b-8017-4ca0-abda-c2a797dc7ff4:~:SOPL-Analysis-Function_1_TBLYT:~:NotMandatory:~:False:~:0:~:True:~:&lt;?xml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/&gt;:~:LytTxb:~::~:False:~:True:~:ssmt-mfrs-cor_2022-12-31.xsd#ssmt-mfrs_DisclosureOnStatementOfProfitOrLossAbstract@http://www.xbrl.org/2003/role/label:~:</t>
  </si>
  <si>
    <t>ssmt-mfrs-cor_2022-12-31.xsd#ssmt-mfrs_DisclosureOnStatementOfProfitOrLossAbstract</t>
  </si>
  <si>
    <t>ssmt-mfrs-cor_2022-12-31.xsd#ssmt-mfrs_AnalysisOfProfitOrLossAbstract</t>
  </si>
  <si>
    <t>ssmt-mfrs-cor_2022-12-31.xsd#ssmt-mfrs_StatementOfProfitOrLossLineItems</t>
  </si>
  <si>
    <t>full_ifrs-cor_2022-03-24.xsd#ifrs-full_RevenueAbstract</t>
  </si>
  <si>
    <t>ssmt-mfrs-cor_2022-12-31.xsd#ssmt-mfrs_RevenueFromSaleOfGoodsAbstract</t>
  </si>
  <si>
    <t>full_ifrs-cor_2022-03-24.xsd#ifrs-full_RevenueFromSaleOfTelecommunicationEquipment@http://xbrl.ssm.com.my/role/ssm/lab_rol_ssmt-fs-mfrs_2022-12-31/ReportingLabel</t>
  </si>
  <si>
    <t>ssmt-mfrs-cor_2022-12-31.xsd#ssmt-mfrs_RevenueFromSaleOfProperty@http://xbrl.ssm.com.my/role/ssm/lab_rol_ssmt-fs-mfrs_2022-12-31/ReportingLabel</t>
  </si>
  <si>
    <t>ssmt-mfrs-cor_2022-12-31.xsd#ssmt-mfrs_RevenueFromSaleOfConstructionContracts@http://xbrl.ssm.com.my/role/ssm/lab_rol_ssmt-fs-mfrs_2022-12-31/ReportingLabel</t>
  </si>
  <si>
    <t>ssmt-mfrs-cor_2022-12-31.xsd#ssmt-mfrs_RevenueFromSaleOfCleanWaterTreatmentAndDisposalOfWasteWater@http://xbrl.ssm.com.my/role/ssm/lab_rol_ssmt-fs-mfrs_2022-12-31/ReportingLabel</t>
  </si>
  <si>
    <t>full_ifrs-cor_2022-03-24.xsd#ifrs-full_RevenueFromSaleOfFoodAndBeverage</t>
  </si>
  <si>
    <t>full_ifrs-cor_2022-03-24.xsd#ifrs-full_RevenueFromSaleOfAgriculturalProduce</t>
  </si>
  <si>
    <t>full_ifrs-cor_2022-03-24.xsd#ifrs-full_RevenueFromSaleOfOilAndGasProducts</t>
  </si>
  <si>
    <t>ssmt-mfrs-cor_2022-12-31.xsd#ssmt-mfrs_RevenueFromSaleOfOtherGoods</t>
  </si>
  <si>
    <t>full_ifrs-cor_2022-03-24.xsd#ifrs-full_RevenueFromSaleOfGoods@http://xbrl.ssm.com.my/role/ssm/fs/mfrs/lab_rol_ssmt-fs-mfrs_2022-12-31/ReportingTotalLabel</t>
  </si>
  <si>
    <t>ssmt-mfrs-cor_2022-12-31.xsd#ssmt-mfrs_RevenueFromRenderingOfServicesAbstract</t>
  </si>
  <si>
    <t>ssmt-mfrs-cor_2022-12-31.xsd#ssmt-mfrs_RevenueFromEntertainmentOperations</t>
  </si>
  <si>
    <t>full_ifrs-cor_2022-03-24.xsd#ifrs-full_RevenueFromRenderingOfTelecommunicationServices</t>
  </si>
  <si>
    <t>full_ifrs-cor_2022-03-24.xsd#ifrs-full_RevenueFromRenderingOfTransportServices</t>
  </si>
  <si>
    <t>full_ifrs-cor_2022-03-24.xsd#ifrs-full_RevenueFromRenderingOfInformationTechnologyServices</t>
  </si>
  <si>
    <t>ssmt-mfrs-cor_2022-12-31.xsd#ssmt-mfrs_RevenueFromEducationalServices</t>
  </si>
  <si>
    <t>ssmt-mfrs-cor_2022-12-31.xsd#ssmt-mfrs_RevenueFromHealthcareServices</t>
  </si>
  <si>
    <t>full_ifrs-cor_2022-03-24.xsd#ifrs-full_RevenueFromRenderingOfCargoAndMailTransportServices@http://xbrl.ssm.com.my/role/ssm/lab_rol_ssmt-fs-mfrs_2022-12-31/ReportingLabel</t>
  </si>
  <si>
    <t>ssmt-mfrs-cor_2022-12-31.xsd#ssmt-mfrs_RevenueFromRenderingOfOtherServices</t>
  </si>
  <si>
    <t>full_ifrs-cor_2022-03-24.xsd#ifrs-full_RevenueFromRenderingOfServices@http://xbrl.ssm.com.my/role/ssm/fs/mfrs/lab_rol_ssmt-fs-mfrs_2022-12-31/ReportingTotalLabel</t>
  </si>
  <si>
    <t>ssmt-mfrs-cor_2022-12-31.xsd#ssmt-mfrs_InterestIncomeAbstract</t>
  </si>
  <si>
    <t>full_ifrs-cor_2022-03-24.xsd#ifrs-full_InterestIncomeOnLoansAndReceivables@http://xbrl.ssm.com.my/role/ssm/lab_rol_ssmt-fs-mfrs_2022-12-31/ReportingLabel</t>
  </si>
  <si>
    <t>full_ifrs-cor_2022-03-24.xsd#ifrs-full_InterestIncomeOnOtherFinancialAssets</t>
  </si>
  <si>
    <t>full_ifrs-cor_2022-03-24.xsd#ifrs-full_RevenueFromInterest@http://xbrl.ssm.com.my/role/ssm/fs/mfrs/lab_rol_ssmt-fs-mfrs_2022-12-31/ReportingTotalLabel</t>
  </si>
  <si>
    <t>full_ifrs-cor_2022-03-24.xsd#ifrs-full_FeeAndCommissionIncomeAbstract@http://xbrl.ssm.com.my/role/ssm/lab_rol_ssmt-fs-mfrs_2022-12-31/ReportingLabel</t>
  </si>
  <si>
    <t>full_ifrs-cor_2022-03-24.xsd#ifrs-full_BrokerageFeeIncome@http://xbrl.ssm.com.my/role/ssm/lab_rol_ssmt-fs-mfrs_2022-12-31/ReportingLabel</t>
  </si>
  <si>
    <t>full_ifrs-cor_2022-03-24.xsd#ifrs-full_PortfolioAndOtherManagementFeeIncome@http://xbrl.ssm.com.my/role/ssm/lab_rol_ssmt-fs-mfrs_2022-12-31/ReportingLabel</t>
  </si>
  <si>
    <t>full_ifrs-cor_2022-03-24.xsd#ifrs-full_OtherFeeAndCommissionIncome</t>
  </si>
  <si>
    <t>full_ifrs-cor_2022-03-24.xsd#ifrs-full_FeeAndCommissionIncome@http://xbrl.ssm.com.my/role/ssm/fs/mfrs/lab_rol_ssmt-fs-mfrs_2022-12-31/ReportingTotalLabel</t>
  </si>
  <si>
    <t>full_ifrs-cor_2022-03-24.xsd#ifrs-full_RevenueFromDividends</t>
  </si>
  <si>
    <t>full_ifrs-cor_2022-03-24.xsd#ifrs-full_RentalIncome</t>
  </si>
  <si>
    <t>full_ifrs-cor_2022-03-24.xsd#ifrs-full_RevenueFromRoyalties</t>
  </si>
  <si>
    <t>full_ifrs-cor_2022-03-24.xsd#ifrs-full_OtherRevenue</t>
  </si>
  <si>
    <t>full_ifrs-cor_2022-03-24.xsd#ifrs-full_Revenue@http://www.xbrl.org/2003/role/totalLabel</t>
  </si>
  <si>
    <t>ssmt-mfrs-cor_2022-12-31.xsd#ssmt-mfrs_CostOfSalesAbstract</t>
  </si>
  <si>
    <t>ssmt-mfrs-cor_2022-12-31.xsd#ssmt-mfrs_CostOfInventories</t>
  </si>
  <si>
    <t>ssmt-mfrs-cor_2022-12-31.xsd#ssmt-mfrs_ConstructionContractCost</t>
  </si>
  <si>
    <t>full_ifrs-cor_2022-03-24.xsd#ifrs-full_EnergyExpense@http://xbrl.ssm.com.my/role/ssm/lab_rol_ssmt-fs-mfrs_2022-12-31/ReportingLabel</t>
  </si>
  <si>
    <t>full_ifrs-cor_2022-03-24.xsd#ifrs-full_PropertyDevelopmentAndProjectManagementExpense@http://xbrl.ssm.com.my/role/ssm/lab_rol_ssmt-fs-mfrs_2022-12-31/ReportingLabel</t>
  </si>
  <si>
    <t>ssmt-mfrs-cor_2022-12-31.xsd#ssmt-mfrs_OtherCostOfSales</t>
  </si>
  <si>
    <t>full_ifrs-cor_2022-03-24.xsd#ifrs-full_CostOfSales@http://xbrl.ssm.com.my/role/ssm/fs/mfrs/lab_rol_ssmt-fs-mfrs_2022-12-31/ReportingTotalLabel</t>
  </si>
  <si>
    <t>ssmt-mfrs-cor_2022-12-31.xsd#ssmt-mfrs_OtherIncomeAbstract</t>
  </si>
  <si>
    <t>ssmt-mfrs-cor_2022-12-31.xsd#ssmt-mfrs_AmortisationOfDeferredIncome</t>
  </si>
  <si>
    <t>ssmt-mfrs-cor_2022-12-31.xsd#ssmt-mfrs_BadDebtsRecovered</t>
  </si>
  <si>
    <t>ssmt-mfrs-cor_2022-12-31.xsd#ssmt-mfrs_OtherIncomeDividend@http://xbrl.ssm.com.my/role/ssm/lab_rol_ssmt-fs-mfrs_2022-12-31/ReportingLabel</t>
  </si>
  <si>
    <t>ssmt-mfrs-cor_2022-12-31.xsd#ssmt-mfrs_OtherIncomeRoyaltyAndFranchise@http://xbrl.ssm.com.my/role/ssm/lab_rol_ssmt-fs-mfrs_2022-12-31/ReportingLabel</t>
  </si>
  <si>
    <t>ssmt-mfrs-cor_2022-12-31.xsd#ssmt-mfrs_WriteBackOfFuelCost</t>
  </si>
  <si>
    <t>full_ifrs-cor_2022-03-24.xsd#ifrs-full_IncomeFromReimbursementsUnderInsurancePolicies</t>
  </si>
  <si>
    <t>ssmt-mfrs-cor_2022-12-31.xsd#ssmt-mfrs_GrantsOrIncentivesReceivedByMalaysianGovernmentOrAgencies</t>
  </si>
  <si>
    <t>ssmt-mfrs-cor_2022-12-31.xsd#ssmt-mfrs_GrantsOrIncentivesReceivedByForeignGovernmentOrAgencies</t>
  </si>
  <si>
    <t>ssmt-mfrs-cor_2022-12-31.xsd#ssmt-mfrs_ContributionsReceivedByLocalContributor@http://xbrl.ssm.com.my/role/ssm/lab_rol_ssmt-fs-mfrs_2022-12-31/ReportingLabel</t>
  </si>
  <si>
    <t>ssmt-mfrs-cor_2022-12-31.xsd#ssmt-mfrs_ContributionsReceivedByForeignContributor@http://xbrl.ssm.com.my/role/ssm/lab_rol_ssmt-fs-mfrs_2022-12-31/ReportingLabel</t>
  </si>
  <si>
    <t>ssmt-mfrs-cor_2022-12-31.xsd#ssmt-mfrs_ContributionsReceivedByUnknownContributor@http://xbrl.ssm.com.my/role/ssm/lab_rol_ssmt-fs-mfrs_2022-12-31/ReportingLabel</t>
  </si>
  <si>
    <t>ssmt-mfrs-cor_2022-12-31.xsd#ssmt-mfrs_ForeignExchangeGainAbstract</t>
  </si>
  <si>
    <t>ssmt-mfrs-cor_2022-12-31.xsd#ssmt-mfrs_RealisedGainOnForeignExchange</t>
  </si>
  <si>
    <t>ssmt-mfrs-cor_2022-12-31.xsd#ssmt-mfrs_UnrealisedGainOnForeignExchange</t>
  </si>
  <si>
    <t>ssmt-mfrs-cor_2022-12-31.xsd#ssmt-mfrs_GainsOnForeignExchange@http://xbrl.ssm.com.my/role/ssm/fs/mfrs/lab_rol_ssmt-fs-mfrs_2022-12-31/ReportingTotalLabel</t>
  </si>
  <si>
    <t>ssmt-mfrs-cor_2022-12-31.xsd#ssmt-mfrs_GainsOnDisposalOfSubsidiariesAssociatesAndJointVenturesAbstract</t>
  </si>
  <si>
    <t>ssmt-mfrs-cor_2022-12-31.xsd#ssmt-mfrs_GainsFromDisposalOfSubsidiaries</t>
  </si>
  <si>
    <t>ssmt-mfrs-cor_2022-12-31.xsd#ssmt-mfrs_GainsFromDisposalOfAssociates</t>
  </si>
  <si>
    <t>ssmt-mfrs-cor_2022-12-31.xsd#ssmt-mfrs_GainsFromDisposalOfJointVentures</t>
  </si>
  <si>
    <t>ssmt-mfrs-cor_2022-12-31.xsd#ssmt-mfrs_GainsOnDisposalOfSubsidiaryJointVenturesAndAssociates@http://xbrl.ssm.com.my/role/ssm/fs/mfrs/lab_rol_ssmt-fs-mfrs_2022-12-31/ReportingTotalLabel</t>
  </si>
  <si>
    <t>ssmt-mfrs-cor_2022-12-31.xsd#ssmt-mfrs_GainsOnDisposalOfOtherInvestments</t>
  </si>
  <si>
    <t>full_ifrs-cor_2022-03-24.xsd#ifrs-full_GainsOnDisposalsOfPropertyPlantAndEquipment</t>
  </si>
  <si>
    <t>full_ifrs-cor_2022-03-24.xsd#ifrs-full_GainsOnDisposalsOfNoncurrentAssets@http://xbrl.ssm.com.my/role/ssm/lab_rol_ssmt-fs-mfrs_2022-12-31/ReportingLabel</t>
  </si>
  <si>
    <t>ssmt-mfrs-cor_2022-12-31.xsd#ssmt-mfrs_OtherGainsRecognisedInProfitOrLossFairValueMeasurementAssets</t>
  </si>
  <si>
    <t>ssmt-mfrs-cor_2022-12-31.xsd#ssmt-mfrs_ReversalOfImpairmentLossRecognisedInProfirOrLossAbstract</t>
  </si>
  <si>
    <t>full_ifrs-cor_2022-03-24.xsd#ifrs-full_ReversalOfImpairmentLossRecognisedInProfitOrLossLoansAndAdvances@http://xbrl.ssm.com.my/role/ssm/lab_rol_ssmt-fs-mfrs_2022-12-31/ReportingLabel</t>
  </si>
  <si>
    <t>full_ifrs-cor_2022-03-24.xsd#ifrs-full_ReversalOfImpairmentLossRecognisedInProfitOrLossInvestmentProperty@http://xbrl.ssm.com.my/role/ssm/lab_rol_ssmt-fs-mfrs_2022-12-31/ReportingLabel</t>
  </si>
  <si>
    <t>ssmt-mfrs-cor_2022-12-31.xsd#ssmt-mfrs_ReversalOfImpairmentLossInLandHeldForDevelopment@http://xbrl.ssm.com.my/role/ssm/lab_rol_ssmt-fs-mfrs_2022-12-31/ReportingLabel</t>
  </si>
  <si>
    <t>full_ifrs-cor_2022-03-24.xsd#ifrs-full_ReversalOfImpairmentLossRecognisedInProfitOrLossPropertyPlantAndEquipment@http://xbrl.ssm.com.my/role/ssm/lab_rol_ssmt-fs-mfrs_2022-12-31/ReportingLabel</t>
  </si>
  <si>
    <t>ssmt-mfrs-cor_2022-12-31.xsd#ssmt-mfrs_ReversalOfImpairmentLossForOtherAssets</t>
  </si>
  <si>
    <t>full_ifrs-cor_2022-03-24.xsd#ifrs-full_ReversalOfImpairmentLossRecognisedInProfitOrLoss@http://xbrl.ssm.com.my/role/ssm/fs/mfrs/lab_rol_ssmt-fs-mfrs_2022-12-31/ReportingTotalLabel</t>
  </si>
  <si>
    <t>full_ifrs-cor_2022-03-24.xsd#ifrs-full_ReversalOfInventoryWritedown@http://xbrl.ssm.com.my/role/ssm/lab_rol_ssmt-fs-mfrs_2022-12-31/ReportingLabel</t>
  </si>
  <si>
    <t>ssmt-mfrs-cor_2022-12-31.xsd#ssmt-mfrs_OtherInterestIncome@http://xbrl.ssm.com.my/role/ssm/lab_rol_ssmt-fs-mfrs_2022-12-31/ReportingLabel</t>
  </si>
  <si>
    <t>ssmt-mfrs-cor_2022-12-31.xsd#ssmt-mfrs_IncomeFromManagementFees@http://xbrl.ssm.com.my/role/ssm/lab_rol_ssmt-fs-mfrs_2022-12-31/ReportingLabel</t>
  </si>
  <si>
    <t>ssmt-mfrs-cor_2022-12-31.xsd#ssmt-mfrs_NetDepositsRecognised</t>
  </si>
  <si>
    <t>full_ifrs-cor_2022-03-24.xsd#ifrs-full_GainsOnChangeInFairValueOfDerivatives@http://xbrl.ssm.com.my/role/ssm/lab_rol_ssmt-fs-mfrs_2022-12-31/ReportingLabel</t>
  </si>
  <si>
    <t>ssmt-mfrs-cor_2022-12-31.xsd#ssmt-mfrs_FairValueGainOnRecycleOfForexReserveUponDisposalOfSubsdiaries@http://xbrl.ssm.com.my/role/ssm/lab_rol_ssmt-fs-mfrs_2022-12-31/ReportingLabel</t>
  </si>
  <si>
    <t>ssmt-mfrs-cor_2022-12-31.xsd#ssmt-mfrs_OtherFeesAndCommissionIncome@http://xbrl.ssm.com.my/role/ssm/lab_rol_ssmt-fs-mfrs_2022-12-31/ReportingLabel</t>
  </si>
  <si>
    <t>ssmt-mfrs-cor_2022-12-31.xsd#ssmt-mfrs_OtherRentalIncome@http://xbrl.ssm.com.my/role/ssm/lab_rol_ssmt-fs-mfrs_2022-12-31/ReportingLabel</t>
  </si>
  <si>
    <t>ssmt-mfrs-cor_2022-12-31.xsd#ssmt-mfrs_OtherRentalIncomeOnLandAndBuildings@http://xbrl.ssm.com.my/role/ssm/lab_rol_ssmt-fs-mfrs_2022-12-31/ReportingLabel</t>
  </si>
  <si>
    <t>full_ifrs-cor_2022-03-24.xsd#ifrs-full_MiscellaneousOtherOperatingIncome@http://xbrl.ssm.com.my/role/ssm/lab_rol_ssmt-fs-mfrs_2022-12-31/ReportingLabel</t>
  </si>
  <si>
    <t>full_ifrs-cor_2022-03-24.xsd#ifrs-full_OtherIncome@http://xbrl.ssm.com.my/role/ssm/fs/mfrs/lab_rol_ssmt-fs-mfrs_2022-12-31/ReportingTotalLabel</t>
  </si>
  <si>
    <t>ssmt-mfrs-cor_2022-12-31.xsd#ssmt-mfrs_OtherExpensesAbstract</t>
  </si>
  <si>
    <t>full_ifrs-cor_2022-03-24.xsd#ifrs-full_AuditorsRemunerationAbstract</t>
  </si>
  <si>
    <t>full_ifrs-cor_2022-03-24.xsd#ifrs-full_AuditorsRemunerationForAuditServices</t>
  </si>
  <si>
    <t>full_ifrs-cor_2022-03-24.xsd#ifrs-full_AuditorsRemunerationForOtherServices</t>
  </si>
  <si>
    <t>full_ifrs-cor_2022-03-24.xsd#ifrs-full_AuditorsRemuneration@http://www.xbrl.org/2003/role/totalLabel</t>
  </si>
  <si>
    <t>full_ifrs-cor_2022-03-24.xsd#ifrs-full_AmortisationExpense</t>
  </si>
  <si>
    <t>full_ifrs-cor_2022-03-24.xsd#ifrs-full_DepreciationPropertyPlantAndEquipment</t>
  </si>
  <si>
    <t>ssmt-mfrs-cor_2022-12-31.xsd#ssmt-mfrs_NaturalDisasterRelatedExpenses</t>
  </si>
  <si>
    <t>ssmt-mfrs-cor_2022-12-31.xsd#ssmt-mfrs_LossOnDisposalOfSubsidiariesAssociatesAndJointVenturesAbstract</t>
  </si>
  <si>
    <t>ssmt-mfrs-cor_2022-12-31.xsd#ssmt-mfrs_LossOnDisposalOfSubsidiaries</t>
  </si>
  <si>
    <t>ssmt-mfrs-cor_2022-12-31.xsd#ssmt-mfrs_LossOnDisposalOfAssociates</t>
  </si>
  <si>
    <t>ssmt-mfrs-cor_2022-12-31.xsd#ssmt-mfrs_LossOnDisposalOfJointVentures</t>
  </si>
  <si>
    <t>ssmt-mfrs-cor_2022-12-31.xsd#ssmt-mfrs_LossOnDisposalOfSubsidiariesAssociatesAndJointVentures@http://xbrl.ssm.com.my/role/ssm/fs/mfrs/lab_rol_ssmt-fs-mfrs_2022-12-31/ReportingTotalLabel</t>
  </si>
  <si>
    <t>full_ifrs-cor_2022-03-24.xsd#ifrs-full_LossesOnDisposalsOfInvestments@http://xbrl.ssm.com.my/role/ssm/lab_rol_ssmt-fs-mfrs_2022-12-31/ReportingLabel</t>
  </si>
  <si>
    <t>full_ifrs-cor_2022-03-24.xsd#ifrs-full_LossesOnDisposalsOfPropertyPlantAndEquipment</t>
  </si>
  <si>
    <t>full_ifrs-cor_2022-03-24.xsd#ifrs-full_LossesOnDisposalsOfNoncurrentAssets@http://xbrl.ssm.com.my/role/ssm/lab_rol_ssmt-fs-mfrs_2022-12-31/ReportingLabel</t>
  </si>
  <si>
    <t>ssmt-mfrs-cor_2022-12-31.xsd#ssmt-mfrs_OtherLossesRecognisedInProfitOrLossFairValueMeasurementAssets</t>
  </si>
  <si>
    <t>full_ifrs-cor_2022-03-24.xsd#ifrs-full_RentalExpense</t>
  </si>
  <si>
    <t>full_ifrs-cor_2022-03-24.xsd#ifrs-full_RoyaltyExpense</t>
  </si>
  <si>
    <t>ssmt-mfrs-cor_2022-12-31.xsd#ssmt-mfrs_EmployeeBenefitExpensesAbstract</t>
  </si>
  <si>
    <t>full_ifrs-cor_2022-03-24.xsd#ifrs-full_WagesAndSalaries@http://xbrl.ssm.com.my/role/ssm/lab_rol_ssmt-fs-mfrs_2022-12-31/ReportingLabel</t>
  </si>
  <si>
    <t>ssmt-mfrs-cor_2022-12-31.xsd#ssmt-mfrs_BonusExpenses</t>
  </si>
  <si>
    <t>full_ifrs-cor_2022-03-24.xsd#ifrs-full_ExpenseFromSharebasedPaymentTransactionsWithEmployees@http://xbrl.ssm.com.my/role/ssm/lab_rol_ssmt-fs-mfrs_2022-12-31/ReportingLabel</t>
  </si>
  <si>
    <t>ssmt-mfrs-cor_2022-12-31.xsd#ssmt-mfrs_EmployeeShareBasedPayment@http://xbrl.ssm.com.my/role/ssm/lab_rol_ssmt-fs-mfrs_2022-12-31/ReportingLabel</t>
  </si>
  <si>
    <t>full_ifrs-cor_2022-03-24.xsd#ifrs-full_SocialSecurityContributions</t>
  </si>
  <si>
    <t>full_ifrs-cor_2022-03-24.xsd#ifrs-full_PostemploymentBenefitExpenseDefinedBenefitPlans@http://xbrl.ssm.com.my/role/ssm/lab_rol_ssmt-fs-mfrs_2022-12-31/ReportingLabel</t>
  </si>
  <si>
    <t>full_ifrs-cor_2022-03-24.xsd#ifrs-full_PostemploymentBenefitExpenseDefinedContributionPlans@http://xbrl.ssm.com.my/role/ssm/lab_rol_ssmt-fs-mfrs_2022-12-31/ReportingLabel</t>
  </si>
  <si>
    <t>full_ifrs-cor_2022-03-24.xsd#ifrs-full_OtherLongtermBenefits</t>
  </si>
  <si>
    <t>full_ifrs-cor_2022-03-24.xsd#ifrs-full_OtherShorttermEmployeeBenefits</t>
  </si>
  <si>
    <t>full_ifrs-cor_2022-03-24.xsd#ifrs-full_OtherEmployeeExpense</t>
  </si>
  <si>
    <t>full_ifrs-cor_2022-03-24.xsd#ifrs-full_EmployeeBenefitsExpense@http://www.xbrl.org/2003/role/totalLabel</t>
  </si>
  <si>
    <t>ssmt-mfrs-cor_2022-12-31.xsd#ssmt-mfrs_DirectorsRemunerationAbstract</t>
  </si>
  <si>
    <t>ssmt-mfrs-cor_2022-12-31.xsd#ssmt-mfrs_WagesAndSalariesToDirectors</t>
  </si>
  <si>
    <t>ssmt-mfrs-cor_2022-12-31.xsd#ssmt-mfrs_BonusToDirectors</t>
  </si>
  <si>
    <t>ssmt-mfrs-cor_2022-12-31.xsd#ssmt-mfrs_BenefitsInKindExpenses</t>
  </si>
  <si>
    <t>ssmt-mfrs-cor_2022-12-31.xsd#ssmt-mfrs_DirectorsFees</t>
  </si>
  <si>
    <t>ssmt-mfrs-cor_2022-12-31.xsd#ssmt-mfrs_PerformanceIncentives</t>
  </si>
  <si>
    <t>ssmt-mfrs-cor_2022-12-31.xsd#ssmt-mfrs_RetirementBenefitsDefinedBenefitPlans@http://xbrl.ssm.com.my/role/ssm/lab_rol_ssmt-fs-mfrs_2022-12-31/ReportingLabel</t>
  </si>
  <si>
    <t>ssmt-mfrs-cor_2022-12-31.xsd#ssmt-mfrs_RetirementBenefitsDefinedContributionPlans@http://xbrl.ssm.com.my/role/ssm/lab_rol_ssmt-fs-mfrs_2022-12-31/ReportingLabel</t>
  </si>
  <si>
    <t>full_ifrs-cor_2022-03-24.xsd#ifrs-full_KeyManagementPersonnelCompensationSharebasedPayment@http://xbrl.ssm.com.my/role/ssm/lab_rol_ssmt-fs-mfrs_2022-12-31/ReportingLabel</t>
  </si>
  <si>
    <t>ssmt-mfrs-cor_2022-12-31.xsd#ssmt-mfrs_OtherDirectorsRemuneration</t>
  </si>
  <si>
    <t>ssmt-mfrs-cor_2022-12-31.xsd#ssmt-mfrs_DirectorsRemuneration@http://xbrl.ssm.com.my/role/ssm/fs/mfrs/lab_rol_ssmt-fs-mfrs_2022-12-31/ReportingTotalLabel</t>
  </si>
  <si>
    <t>ssmt-mfrs-cor_2022-12-31.xsd#ssmt-mfrs_OtherMiscellaneousExpenses</t>
  </si>
  <si>
    <t>full_ifrs-cor_2022-03-24.xsd#ifrs-full_OtherExpenseByFunction@http://xbrl.ssm.com.my/role/ssm/fs/mfrs/lab_rol_ssmt-fs-mfrs_2022-12-31/ReportingTotalLabel</t>
  </si>
  <si>
    <t>ssmt-mfrs-cor_2022-12-31.xsd#ssmt-mfrs_FinanceIncomeAbstract</t>
  </si>
  <si>
    <t>ssmt-mfrs-cor_2022-12-31.xsd#ssmt-mfrs_InterestIncomeDueFromRelatedParties@http://xbrl.ssm.com.my/role/ssm/lab_rol_ssmt-fs-mfrs_2022-12-31/ReportingLabel</t>
  </si>
  <si>
    <t>full_ifrs-cor_2022-03-24.xsd#ifrs-full_OtherFinanceIncome</t>
  </si>
  <si>
    <t>full_ifrs-cor_2022-03-24.xsd#ifrs-full_FinanceIncome@http://xbrl.ssm.com.my/role/ssm/fs/mfrs/lab_rol_ssmt-fs-mfrs_2022-12-31/ReportingTotalLabel</t>
  </si>
  <si>
    <t>Analysis of profit or loss</t>
  </si>
  <si>
    <t>Revenue</t>
  </si>
  <si>
    <t>Revenue from sale of goods</t>
  </si>
  <si>
    <t>Revenue from sale of broadband and telecommunication</t>
  </si>
  <si>
    <t>Revenue from property development</t>
  </si>
  <si>
    <t>Revenue from construction contracts</t>
  </si>
  <si>
    <t>Revenue from clean water, treatment and disposal of waste water</t>
  </si>
  <si>
    <t>Revenue from sale of food and beverage</t>
  </si>
  <si>
    <t>Revenue from sale of agricultural produce</t>
  </si>
  <si>
    <t>Revenue from sale of oil and gas products</t>
  </si>
  <si>
    <t>Revenue from sale of other goods</t>
  </si>
  <si>
    <t>Total revenue from sale of goods</t>
  </si>
  <si>
    <t>Revenue from rendering of services</t>
  </si>
  <si>
    <t>Revenue from rendering of entertainment services</t>
  </si>
  <si>
    <t>Revenue from rendering of telecommunication services</t>
  </si>
  <si>
    <t>Revenue from rendering of transport services</t>
  </si>
  <si>
    <t>Revenue from rendering of information technology services</t>
  </si>
  <si>
    <t>Revenue from rendering of educational services</t>
  </si>
  <si>
    <t>Revenue from rendering of healthcare services</t>
  </si>
  <si>
    <t>Revenue from rendering of shipping and shipping related services</t>
  </si>
  <si>
    <t>Revenue from rendering of other services</t>
  </si>
  <si>
    <t>Total revenue from rendering of services</t>
  </si>
  <si>
    <t>Interest income</t>
  </si>
  <si>
    <t>Interest income on loans, advances and financing</t>
  </si>
  <si>
    <t>Interest income on other financial assets</t>
  </si>
  <si>
    <t>Total interest income</t>
  </si>
  <si>
    <t>Other fee and commission income</t>
  </si>
  <si>
    <t>Gross brokerage and other charges</t>
  </si>
  <si>
    <t>Underwriting commissions and fund management income</t>
  </si>
  <si>
    <t>Total other fee and commission income</t>
  </si>
  <si>
    <t>Dividend income</t>
  </si>
  <si>
    <t>Rental income</t>
  </si>
  <si>
    <t>Royalty income</t>
  </si>
  <si>
    <t>Other revenue</t>
  </si>
  <si>
    <t>Cost of sales</t>
  </si>
  <si>
    <t>Cost of inventories</t>
  </si>
  <si>
    <t>Construction contract costs</t>
  </si>
  <si>
    <t>Energy costs</t>
  </si>
  <si>
    <t>Property development costs</t>
  </si>
  <si>
    <t>Other cost of sales</t>
  </si>
  <si>
    <t>Other income</t>
  </si>
  <si>
    <t>Bad debts recovered</t>
  </si>
  <si>
    <t>Royalty/franchise income</t>
  </si>
  <si>
    <t>Write back of fuel cost</t>
  </si>
  <si>
    <t>Income from reimbursements under insurance policies</t>
  </si>
  <si>
    <t>Grant or incentives by Malaysian government or it's agencies</t>
  </si>
  <si>
    <t>Grant or incentives by foreign government or it's agencies</t>
  </si>
  <si>
    <t>Contributions or donations by local contributor</t>
  </si>
  <si>
    <t>Contributions or donations by foreign contributor</t>
  </si>
  <si>
    <t>Contributions or donations by unknown contributor</t>
  </si>
  <si>
    <t>Foreign exchange gain</t>
  </si>
  <si>
    <t>Realised gain on foreign exchange</t>
  </si>
  <si>
    <t>Unrealised gain on foreign exchange</t>
  </si>
  <si>
    <t>Total foreign exchange gain</t>
  </si>
  <si>
    <t>Gain on disposal of subsidiaries, associates and joint ventures</t>
  </si>
  <si>
    <t>Gain on disposal of subsidiaries</t>
  </si>
  <si>
    <t>Gain on disposal of associates</t>
  </si>
  <si>
    <t>Gain on disposal of joint ventures</t>
  </si>
  <si>
    <t>Total gain on disposal of subsidiaries, associates and joint ventures</t>
  </si>
  <si>
    <t>Gain on disposal from other investments</t>
  </si>
  <si>
    <t>Gains on disposals of property, plant and equipment</t>
  </si>
  <si>
    <t>Gains on disposals of other non-current assets</t>
  </si>
  <si>
    <t>Other gains recognised in profit or loss, fair value measurement, assets</t>
  </si>
  <si>
    <t>Reversal of impairment loss recognised in profit or loss</t>
  </si>
  <si>
    <t>Reversal of impairment loss on receivables</t>
  </si>
  <si>
    <t>Reversal of impairment in development expenditure</t>
  </si>
  <si>
    <t>Reversal of impairment in land held for property development</t>
  </si>
  <si>
    <t>Reversal of impairment in property, plant and equipment</t>
  </si>
  <si>
    <t>Reversal of impairment in other assets</t>
  </si>
  <si>
    <t>Total reversal of impairment loss recognised in profit or loss</t>
  </si>
  <si>
    <t>Reversal of inventories written down to net realisable value</t>
  </si>
  <si>
    <t>Management fees</t>
  </si>
  <si>
    <t>Net deposits recognised</t>
  </si>
  <si>
    <t>Net fair value gain on derivatives</t>
  </si>
  <si>
    <t>Net fair value gain on recycle of forex reserve upon disposal of subsidiaries</t>
  </si>
  <si>
    <t>Other fee and commission</t>
  </si>
  <si>
    <t>Other rental income</t>
  </si>
  <si>
    <t>Rental income on land and buildings</t>
  </si>
  <si>
    <t>Other miscellaneous income</t>
  </si>
  <si>
    <t>Other expenses</t>
  </si>
  <si>
    <t>Auditor's remuneration</t>
  </si>
  <si>
    <t>Auditor's remuneration for audit services</t>
  </si>
  <si>
    <t>Auditor's remuneration for other services</t>
  </si>
  <si>
    <t>Total auditor's remuneration</t>
  </si>
  <si>
    <t>Amortisation expense</t>
  </si>
  <si>
    <t>Depreciation, property, plant and equipment</t>
  </si>
  <si>
    <t>Natural disaster related expenses</t>
  </si>
  <si>
    <t>Loss on disposal of subsidiaries, associates and joint ventures</t>
  </si>
  <si>
    <t>Loss on disposal of subsidiaries</t>
  </si>
  <si>
    <t>Loss on disposal of associates</t>
  </si>
  <si>
    <t>Loss on disposal of joint ventures</t>
  </si>
  <si>
    <t>Total loss on disposal of subsidiaries, associates and joint ventures</t>
  </si>
  <si>
    <t>Loss on disposal from other investments</t>
  </si>
  <si>
    <t>Losses on disposals of property, plant and equipment</t>
  </si>
  <si>
    <t>Loss on disposal of other non-current assets</t>
  </si>
  <si>
    <t>Other losses recognised in profit or loss, fair value measurement, assets</t>
  </si>
  <si>
    <t>Rental expense</t>
  </si>
  <si>
    <t>Royalty expense</t>
  </si>
  <si>
    <t>Employee benefits expense</t>
  </si>
  <si>
    <t>Wages, salaries and others</t>
  </si>
  <si>
    <t>Bonus</t>
  </si>
  <si>
    <t>Share-based compensation expense</t>
  </si>
  <si>
    <t>Share option expenses</t>
  </si>
  <si>
    <t>Social security contributions</t>
  </si>
  <si>
    <t>Defined benefit plans</t>
  </si>
  <si>
    <t>Defined contribution plans</t>
  </si>
  <si>
    <t>Other long-term employee benefits</t>
  </si>
  <si>
    <t>Other short-term employee benefits</t>
  </si>
  <si>
    <t>Other employee expense</t>
  </si>
  <si>
    <t>Total employee benefits expense</t>
  </si>
  <si>
    <t>Director's remuneration</t>
  </si>
  <si>
    <t>Salaries and other emoluments</t>
  </si>
  <si>
    <t>Benefits-in-kind</t>
  </si>
  <si>
    <t>Fees</t>
  </si>
  <si>
    <t>Performance incentives</t>
  </si>
  <si>
    <t>Other emoluments</t>
  </si>
  <si>
    <t>Total director's remuneration</t>
  </si>
  <si>
    <t>Other miscellaneous expenses</t>
  </si>
  <si>
    <t>Finance income</t>
  </si>
  <si>
    <t>Finance income due from related parties</t>
  </si>
  <si>
    <t>Other finance income</t>
  </si>
  <si>
    <t>b359ba42-7d42-49c8-a7b7-2e491646c7b4:~:SOPL-Analysis-Function_2:~:NotMandatory:~:True:~:1:~:True:~:&lt;?xml version="1.0" encoding="utf-16"?&gt;_x000D_
&lt;Customization xmlns:xsi="http://www.w3.org/2001/XMLSchema-instance" xmlns:xsd="http://www.w3.org/2001/XMLSchema" ComparitiveDate="False" LayoutByDate="False" LayoutByCompany="False" ShowAllDomains="False" TotalDomain="True" DefaultDates="2" /&gt;:~:LytHyc:~:ssmt-mfrs-cor_2022-12-31.xsd#ssmt-mfrs_StatementOfProfitOrLossTable:~:False:~:True:~:ssmt-mfrs-cor_2022-12-31.xsd#ssmt-mfrs_DisclosureOnStatementOfProfitOrLossAbstract@http://www.xbrl.org/2003/role/label::ssmt-mfrs-cor_2022-12-31.xsd#ssmt-mfrs_AnalysisOfProfitOrLossAbstract@http://www.xbrl.org/2003/role/label::ssmt-mfrs-cor_2022-12-31.xsd#ssmt-mfrs_StatementOfProfitOrLossLineItems@http://www.xbrl.org/2003/role/label:~:ssmt-mfrs-cor_2022-12-31.xsd#ssmt-mfrs_StatementOfProfitOrLossTable</t>
  </si>
  <si>
    <r>
      <t>*</t>
    </r>
    <r>
      <rPr>
        <b/>
        <sz val="10"/>
        <color indexed="8"/>
        <rFont val="Verdana"/>
        <family val="2"/>
      </rPr>
      <t>Total revenue</t>
    </r>
  </si>
  <si>
    <r>
      <t>*</t>
    </r>
    <r>
      <rPr>
        <b/>
        <sz val="10"/>
        <color indexed="8"/>
        <rFont val="Verdana"/>
        <family val="2"/>
      </rPr>
      <t>Total cost of sales</t>
    </r>
  </si>
  <si>
    <r>
      <t>*</t>
    </r>
    <r>
      <rPr>
        <b/>
        <sz val="10"/>
        <color indexed="8"/>
        <rFont val="Verdana"/>
        <family val="2"/>
      </rPr>
      <t>Total other income</t>
    </r>
  </si>
  <si>
    <r>
      <t>*</t>
    </r>
    <r>
      <rPr>
        <b/>
        <sz val="10"/>
        <color indexed="8"/>
        <rFont val="Verdana"/>
        <family val="2"/>
      </rPr>
      <t>Total other expenses</t>
    </r>
  </si>
  <si>
    <r>
      <t>*</t>
    </r>
    <r>
      <rPr>
        <b/>
        <sz val="10"/>
        <color indexed="8"/>
        <rFont val="Verdana"/>
        <family val="2"/>
      </rPr>
      <t>Total finance income</t>
    </r>
  </si>
  <si>
    <t>FS-MFRS  Analysis of profit or loss, by function of expense</t>
  </si>
  <si>
    <t>05e58da4-b2cb-4591-bf01-0861836ec42b:~:AtleastOneValueInAnyLayout:~:True:~:&lt;?xml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/&gt;:~:http://xbrl.ssm.com.my/role/ssm/rol_ssmt-fs-mfrs_2022-12-31/ssmt-fs-mfrs_2022-12-31_role-400100y:~:None</t>
  </si>
  <si>
    <t>18ef8105-8057-4eb5-a37a-ad215e96da10:~:SOCI-BeforeOfTax_1_TBLYT:~:NotMandatory:~:False:~:0:~:True:~:&lt;?xml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/&gt;:~:LytTxb:~::~:False:~:True:~:ssmt-mfrs-cor_2022-12-31.xsd#ssmt-mfrs_DisclosureOnStatementOfComprehensiveIncomeBeforeTax@http://www.xbrl.org/2003/role/label:~:</t>
  </si>
  <si>
    <t>ssmt-mfrs-cor_2022-12-31.xsd#ssmt-mfrs_DisclosureOnStatementOfComprehensiveIncomeBeforeTax</t>
  </si>
  <si>
    <t>Disclosure on statement of comprehensive income before tax</t>
  </si>
  <si>
    <t>ssmt-mfrs-cor_2022-12-31.xsd#ssmt-mfrs_ComprehensiveIncomeBeforeTaxAbstract</t>
  </si>
  <si>
    <t>ssmt-mfrs-cor_2022-12-31.xsd#ssmt-mfrs_StatementOfComprehensiveIncomeBeforeTaxLineItems</t>
  </si>
  <si>
    <t>full_ifrs-cor_2022-03-24.xsd#ifrs-full_StatementOfComprehensiveIncomeAbstract</t>
  </si>
  <si>
    <t>full_ifrs-cor_2022-03-24.xsd#ifrs-full_ProfitLoss</t>
  </si>
  <si>
    <t>full_ifrs-cor_2022-03-24.xsd#ifrs-full_OtherComprehensiveIncomeAbstract@http://www.xbrl.org/2003/role/terseLabel</t>
  </si>
  <si>
    <t>full_ifrs-cor_2022-03-24.xsd#ifrs-full_ComponentsOfOtherComprehensiveIncomeThatWillNotBeReclassifiedToProfitOrLossBeforeTaxAbstract</t>
  </si>
  <si>
    <t>full_ifrs-cor_2022-03-24.xsd#ifrs-full_OtherComprehensiveIncomeBeforeTaxGainsLossesOnRevaluation@http://xbrl.ssm.com.my/role/ssm/lab_rol_ssmt-fs-mfrs_2022-12-31/ReportingLabel</t>
  </si>
  <si>
    <t>full_ifrs-cor_2022-03-24.xsd#ifrs-full_OtherComprehensiveIncomeBeforeTaxGainsLossesOnRemeasurementsOfDefinedBenefitPlans@http://xbrl.ssm.com.my/role/ssm/lab_rol_ssmt-fs-mfrs_2022-12-31/ReportingLabel</t>
  </si>
  <si>
    <t>ssmt-mfrs-cor_2022-12-31.xsd#ssmt-mfrs_OtherComprehensiveIncomeBeforeTaxGainsLossesOnOtherItems</t>
  </si>
  <si>
    <t>full_ifrs-cor_2022-03-24.xsd#ifrs-full_ShareOfOtherComprehensiveIncomeOfAssociatesAndJointVenturesAccountedForUsingEquityMethodThatWillNotBeReclassifiedToProfitOrLossBeforeTax</t>
  </si>
  <si>
    <t>full_ifrs-cor_2022-03-24.xsd#ifrs-full_OtherComprehensiveIncomeThatWillNotBeReclassifiedToProfitOrLossBeforeTax@http://www.xbrl.org/2003/role/totalLabel</t>
  </si>
  <si>
    <t>full_ifrs-cor_2022-03-24.xsd#ifrs-full_ComponentsOfOtherComprehensiveIncomeThatWillBeReclassifiedToProfitOrLossBeforeTaxAbstract</t>
  </si>
  <si>
    <t>full_ifrs-cor_2022-03-24.xsd#ifrs-full_ExchangeDifferencesOnTranslationAbstract</t>
  </si>
  <si>
    <t>full_ifrs-cor_2022-03-24.xsd#ifrs-full_GainsLossesOnExchangeDifferencesOnTranslationBeforeTax@http://xbrl.ssm.com.my/role/ssm/lab_rol_ssmt-fs-mfrs_2022-12-31/ReportingLabel</t>
  </si>
  <si>
    <t>full_ifrs-cor_2022-03-24.xsd#ifrs-full_ReclassificationAdjustmentsOnExchangeDifferencesOnTranslationBeforeTax@http://xbrl.ssm.com.my/role/ssm/lab_rol_ssmt-fs-mfrs_2022-12-31/ReportingNegatedLabel</t>
  </si>
  <si>
    <t>full_ifrs-cor_2022-03-24.xsd#ifrs-full_OtherComprehensiveIncomeBeforeTaxExchangeDifferencesOnTranslation@http://xbrl.ssm.com.my/role/ssm/fs/mfrs/lab_rol_ssmt-fs-mfrs_2022-12-31/ReportingTotalLabel</t>
  </si>
  <si>
    <t>full_ifrs-cor_2022-03-24.xsd#ifrs-full_CashFlowHedgesAbstract</t>
  </si>
  <si>
    <t>full_ifrs-cor_2022-03-24.xsd#ifrs-full_GainsLossesOnCashFlowHedgesBeforeTax</t>
  </si>
  <si>
    <t>full_ifrs-cor_2022-03-24.xsd#ifrs-full_ReclassificationAdjustmentsOnCashFlowHedgesBeforeTax@http://www.xbrl.org/2009/role/negatedLabel</t>
  </si>
  <si>
    <t>full_ifrs-cor_2022-03-24.xsd#ifrs-full_OtherComprehensiveIncomeBeforeTaxCashFlowHedges@http://www.xbrl.org/2003/role/totalLabel</t>
  </si>
  <si>
    <t>full_ifrs-cor_2022-03-24.xsd#ifrs-full_HedgesOfNetInvestmentsInForeignOperationsAbstract</t>
  </si>
  <si>
    <t>full_ifrs-cor_2022-03-24.xsd#ifrs-full_GainsLossesOnHedgesOfNetInvestmentsInForeignOperationsBeforeTax</t>
  </si>
  <si>
    <t>full_ifrs-cor_2022-03-24.xsd#ifrs-full_ReclassificationAdjustmentsOnHedgesOfNetInvestmentsInForeignOperationsBeforeTax@http://www.xbrl.org/2009/role/negatedLabel</t>
  </si>
  <si>
    <t>full_ifrs-cor_2022-03-24.xsd#ifrs-full_OtherComprehensiveIncomeBeforeTaxHedgesOfNetInvestmentsInForeignOperations@http://www.xbrl.org/2003/role/totalLabel</t>
  </si>
  <si>
    <t>full_ifrs-cor_2022-03-24.xsd#ifrs-full_FinancialAssetsMeasuredAtFairValueThroughOtherComprehensiveIncomeAbstract</t>
  </si>
  <si>
    <t>full_ifrs-cor_2022-03-24.xsd#ifrs-full_GainsLossesOnFinancialAssetsMeasuredAtFairValueThroughOtherComprehensiveIncomeBeforeTax</t>
  </si>
  <si>
    <t>full_ifrs-cor_2022-03-24.xsd#ifrs-full_ReclassificationAdjustmentsOnFinancialAssetsMeasuredAtFairValueThroughOtherComprehensiveIncomeBeforeTax@http://www.xbrl.org/2009/role/negatedLabel</t>
  </si>
  <si>
    <t>full_ifrs-cor_2022-03-24.xsd#ifrs-full_AmountsRemovedFromEquityAndAdjustedAgainstFairValueOfFinancialAssetsOnReclassificationOutOfFairValueThroughOtherComprehensiveIncomeMeasurementCategoryBeforeTax@http://www.xbrl.org/2009/role/negatedLabel</t>
  </si>
  <si>
    <t>full_ifrs-cor_2022-03-24.xsd#ifrs-full_OtherComprehensiveIncomeBeforeTaxFinancialAssetsMeasuredAtFairValueThroughOtherComprehensiveIncome@http://www.xbrl.org/2003/role/totalLabel</t>
  </si>
  <si>
    <t>full_ifrs-cor_2022-03-24.xsd#ifrs-full_ShareOfOtherComprehensiveIncomeOfAssociatesAndJointVenturesAccountedForUsingEquityMethodThatWillBeReclassifiedToProfitOrLossBeforeTax</t>
  </si>
  <si>
    <t>ssmt-mfrs-cor_2022-12-31.xsd#ssmt-mfrs_OtherComprehensiveIncomeBeforeTaxGainsLossesOnOtherItemsThatWillBeReclassifiedToProfitOrLoss</t>
  </si>
  <si>
    <t>full_ifrs-cor_2022-03-24.xsd#ifrs-full_OtherComprehensiveIncomeThatWillBeReclassifiedToProfitOrLossBeforeTax@http://www.xbrl.org/2003/role/totalLabel</t>
  </si>
  <si>
    <t>full_ifrs-cor_2022-03-24.xsd#ifrs-full_OtherComprehensiveIncomeBeforeTax@http://www.xbrl.org/2003/role/totalLabel</t>
  </si>
  <si>
    <t>full_ifrs-cor_2022-03-24.xsd#ifrs-full_IncomeTaxRelatingToComponentsOfOtherComprehensiveIncomeThatWillNotBeReclassifiedToProfitOrLossAbstract</t>
  </si>
  <si>
    <t>full_ifrs-cor_2022-03-24.xsd#ifrs-full_IncomeTaxRelatingToRemeasurementsOfDefinedBenefitPlansOfOtherComprehensiveIncome@http://xbrl.ssm.com.my/role/ssm/lab_rol_ssmt-fs-mfrs_2022-12-31/ReportingNegatedLabel</t>
  </si>
  <si>
    <t>full_ifrs-cor_2022-03-24.xsd#ifrs-full_IncomeTaxRelatingToComponentsOfOtherComprehensiveIncomeThatWillNotBeReclassifiedToProfitOrLoss@http://www.xbrl.org/2009/role/negatedTotalLabel</t>
  </si>
  <si>
    <t>full_ifrs-cor_2022-03-24.xsd#ifrs-full_IncomeTaxRelatingToComponentsOfOtherComprehensiveIncomeThatWillBeReclassifiedToProfitOrLossAbstract</t>
  </si>
  <si>
    <t>full_ifrs-cor_2022-03-24.xsd#ifrs-full_IncomeTaxRelatingToComponentsOfOtherComprehensiveIncomeThatWillBeReclassifiedToProfitOrLoss@http://www.xbrl.org/2009/role/negatedTotalLabel</t>
  </si>
  <si>
    <t>full_ifrs-cor_2022-03-24.xsd#ifrs-full_OtherComprehensiveIncome@http://www.xbrl.org/2003/role/totalLabel</t>
  </si>
  <si>
    <t>full_ifrs-cor_2022-03-24.xsd#ifrs-full_ComprehensiveIncome@http://www.xbrl.org/2003/role/totalLabel</t>
  </si>
  <si>
    <t>full_ifrs-cor_2022-03-24.xsd#ifrs-full_ComprehensiveIncomeAttributableToAbstract</t>
  </si>
  <si>
    <t>full_ifrs-cor_2022-03-24.xsd#ifrs-full_ComprehensiveIncomeAttributableToOwnersOfParent</t>
  </si>
  <si>
    <t>full_ifrs-cor_2022-03-24.xsd#ifrs-full_ComprehensiveIncomeAttributableToNoncontrollingInterests</t>
  </si>
  <si>
    <t>Comprehensive income before tax</t>
  </si>
  <si>
    <t>Statement of comprehensive income before tax</t>
  </si>
  <si>
    <t>Statement of comprehensive income</t>
  </si>
  <si>
    <t>Other comprehensive income/(loss), before tax</t>
  </si>
  <si>
    <t>Components of other comprehensive income that will not be reclassified to profit or loss, before tax</t>
  </si>
  <si>
    <t>Other comprehensive income, before tax, gains (losses) on revaluation of property, plant and equipment, right-of-use assets and intangible assets</t>
  </si>
  <si>
    <t>Remeasurement of defined benefit liability</t>
  </si>
  <si>
    <t>Other comprehensive income, before tax, gains (losses) on other items</t>
  </si>
  <si>
    <t>Share of other comprehensive income of associates and joint ventures accounted for using equity method that will not be reclassified to profit or loss, before tax</t>
  </si>
  <si>
    <t>Total other comprehensive income that will not be reclassified to profit or loss, before tax</t>
  </si>
  <si>
    <t>Components of other comprehensive income that will be reclassified to profit or loss, before tax</t>
  </si>
  <si>
    <t>Exchange differences on translation</t>
  </si>
  <si>
    <t>Gains (losses) on exchange differences on translation, before tax</t>
  </si>
  <si>
    <t>Reclassification adjustments on exchange differences on translation, before tax</t>
  </si>
  <si>
    <t>Other comprehensive income, before tax, exchange differences on translation</t>
  </si>
  <si>
    <t>Cash flow hedges</t>
  </si>
  <si>
    <t>Gains (losses) on cash flow hedges, before tax</t>
  </si>
  <si>
    <t>Reclassification adjustments on cash flow hedges, before tax</t>
  </si>
  <si>
    <t>Other comprehensive income, before tax, cash flow hedges</t>
  </si>
  <si>
    <t>Hedges of net investment in foreign operations</t>
  </si>
  <si>
    <t>Gains (losses) on hedges of net investments in foreign operations, before tax</t>
  </si>
  <si>
    <t>Reclassification adjustments on hedges of net investments in foreign operations, before tax</t>
  </si>
  <si>
    <t>Other comprehensive income, before tax, hedges of net investments in foreign operations</t>
  </si>
  <si>
    <t>Financial assets measured at fair value through other comprehensive income</t>
  </si>
  <si>
    <t>Gains (losses) on financial assets measured at fair value through other comprehensive income, before tax</t>
  </si>
  <si>
    <t>Reclassification adjustments on financial assets measured at fair value through other comprehensive income, before tax</t>
  </si>
  <si>
    <t>Amounts removed from equity and adjusted against fair value of financial assets on reclassification out of fair value through other comprehensive income measurement category, before tax</t>
  </si>
  <si>
    <t>Other comprehensive income, before tax, financial assets measured at fair value through other comprehensive income</t>
  </si>
  <si>
    <t>Share of other comprehensive income of associates and joint ventures accounted for using equity method that will be reclassified to profit or loss, before tax</t>
  </si>
  <si>
    <t>Total other comprehensive income that will be reclassified to profit or loss, before tax</t>
  </si>
  <si>
    <t>Total other comprehensive income, before tax</t>
  </si>
  <si>
    <t>Income tax relating to components of other comprehensive income that will not be reclassified to profit or loss</t>
  </si>
  <si>
    <t>Income tax relating to remeasurements of defined benefit plans of other comprehensive income</t>
  </si>
  <si>
    <t>Aggregated income tax relating to components of other comprehensive income that will not be reclassified to profit or loss</t>
  </si>
  <si>
    <t>Income tax relating to components of other comprehensive income that will be reclassified to profit or loss</t>
  </si>
  <si>
    <t>Aggregated income tax relating to components of other comprehensive income that will be reclassified to profit or loss</t>
  </si>
  <si>
    <t>Comprehensive income attributable to</t>
  </si>
  <si>
    <t>Comprehensive income, attributable to owners of parent</t>
  </si>
  <si>
    <t>Comprehensive income, attributable to non-controlling interests</t>
  </si>
  <si>
    <t>da0d7a1d-4bd5-43cd-89a2-c3f3133344fa:~:SOCI-BeforeOfTax_2:~:NotMandatory:~:True:~:1:~:True:~:&lt;?xml version="1.0" encoding="utf-16"?&gt;_x000D_
&lt;Customization xmlns:xsi="http://www.w3.org/2001/XMLSchema-instance" xmlns:xsd="http://www.w3.org/2001/XMLSchema" ComparitiveDate="False" LayoutByDate="False" LayoutByCompany="False" ShowAllDomains="False" TotalDomain="True" DefaultDates="2" /&gt;:~:LytHyc:~:ssmt-mfrs-cor_2022-12-31.xsd#ssmt-mfrs_StatementOfComprehensiveIncomeBeforeTaxTable:~:False:~:True:~:ssmt-mfrs-cor_2022-12-31.xsd#ssmt-mfrs_DisclosureOnStatementOfComprehensiveIncomeBeforeTax@http://www.xbrl.org/2003/role/label::ssmt-mfrs-cor_2022-12-31.xsd#ssmt-mfrs_ComprehensiveIncomeBeforeTaxAbstract@http://www.xbrl.org/2003/role/label::ssmt-mfrs-cor_2022-12-31.xsd#ssmt-mfrs_StatementOfComprehensiveIncomeBeforeTaxLineItems@http://www.xbrl.org/2003/role/label:~:ssmt-mfrs-cor_2022-12-31.xsd#ssmt-mfrs_StatementOfComprehensiveIncomeBeforeTaxTable</t>
  </si>
  <si>
    <r>
      <t>*</t>
    </r>
    <r>
      <rPr>
        <sz val="10"/>
        <color indexed="8"/>
        <rFont val="Verdana"/>
        <family val="2"/>
      </rPr>
      <t>Profit (loss)</t>
    </r>
  </si>
  <si>
    <r>
      <t>*</t>
    </r>
    <r>
      <rPr>
        <b/>
        <sz val="10"/>
        <color indexed="8"/>
        <rFont val="Verdana"/>
        <family val="2"/>
      </rPr>
      <t>Total other comprehensive income</t>
    </r>
  </si>
  <si>
    <r>
      <t>*</t>
    </r>
    <r>
      <rPr>
        <b/>
        <sz val="10"/>
        <color indexed="8"/>
        <rFont val="Verdana"/>
        <family val="2"/>
      </rPr>
      <t>Total comprehensive income</t>
    </r>
  </si>
  <si>
    <t>FS-MFRS  Statement of Comprehensive Income - Before tax</t>
  </si>
  <si>
    <t>503e3356-225d-43e6-92c9-f28e35509980:~:AtleastOneValueInAnyLayout:~:True:~:&lt;?xml version="1.0" encoding="utf-16"?&gt;_x000D_
&lt;Customization xmlns:xsi="http://www.w3.org/2001/XMLSchema-instance" xmlns:xsd="http://www.w3.org/2001/XMLSchema" ComparitiveDate="False" LayoutByDate="False" LayoutByCompany="False" ShowAllDomains="False" TotalDomain="True" DefaultDates="2" /&gt;:~:http://xbrl.ssm.com.my/role/ssm/rol_ssmt-fs-mfrs_2022-12-31/ssmt-fs-mfrs_2022-12-31_role-500100y:~:None</t>
  </si>
  <si>
    <t>e7c7c1ba-63eb-4a98-8169-a1143a6d3bfd:~:SOCF-Indirect_1_TBLYT:~:NotMandatory:~:False:~:0:~:True:~:&lt;?xml version="1.0" encoding="utf-16"?&gt;_x000D_
&lt;Customization xmlns:xsi="http://www.w3.org/2001/XMLSchema-instance" xmlns:xsd="http://www.w3.org/2001/XMLSchema" ComparitiveDate="False" LayoutByDate="False" LayoutByCompany="False" ShowAllDomains="False" TotalDomain="True" DefaultDates="2" /&gt;:~:LytTxb:~::~:False:~:True:~:ssmt-cor_2022-12-31.xsd#ssmt_DisclosureOnStatementOfCashFlowsAbstract@http://www.xbrl.org/2003/role/label:~:</t>
  </si>
  <si>
    <t>ssmt-cor_2022-12-31.xsd#ssmt_DisclosureOnStatementOfCashFlowsAbstract</t>
  </si>
  <si>
    <t>Disclosure on statement of cash flows</t>
  </si>
  <si>
    <t>full_ifrs-cor_2022-03-24.xsd#ifrs-full_StatementOfCashFlowsAbstract</t>
  </si>
  <si>
    <t>ssmt-cor_2022-12-31.xsd#ssmt_StatementOfCashFlowsLineItems</t>
  </si>
  <si>
    <t>ssmt-cor_2022-12-31.xsd#ssmt_StatementOfCashFlowsAbstract</t>
  </si>
  <si>
    <t>full_ifrs-cor_2022-03-24.xsd#ifrs-full_CashFlowsFromUsedInOperatingActivitiesAbstract</t>
  </si>
  <si>
    <t>full_ifrs-cor_2022-03-24.xsd#ifrs-full_ProfitLossBeforeTax</t>
  </si>
  <si>
    <t>ssmt-mfrs-cor_2022-12-31.xsd#ssmt-mfrs_AggregateProfitLossBeforeTax@http://xbrl.ssm.com.my/role/ssm/fs/mfrs/lab_rol_ssmt-fs-mfrs_2022-12-31/ReportingTotalLabel</t>
  </si>
  <si>
    <t>full_ifrs-cor_2022-03-24.xsd#ifrs-full_AdjustmentsForReconcileProfitLossAbstract</t>
  </si>
  <si>
    <t>full_ifrs-cor_2022-03-24.xsd#ifrs-full_AdjustmentsForDepreciationExpense@http://xbrl.ssm.com.my/role/ssm/lab_rol_ssmt-fs-mfrs_2022-12-31/ReportingLabel</t>
  </si>
  <si>
    <t>full_ifrs-cor_2022-03-24.xsd#ifrs-full_AdjustmentsForAmortisationExpense</t>
  </si>
  <si>
    <t>full_ifrs-cor_2022-03-24.xsd#ifrs-full_AdjustmentsForDividendIncome</t>
  </si>
  <si>
    <t>full_ifrs-cor_2022-03-24.xsd#ifrs-full_AdjustmentsForSharebasedPayments@http://xbrl.ssm.com.my/role/ssm/lab_rol_ssmt-fs-mfrs_2022-12-31/ReportingLabel</t>
  </si>
  <si>
    <t>full_ifrs-cor_2022-03-24.xsd#ifrs-full_AdjustmentsForGainsLossesOnFairValueAdjustmentInvestmentProperty@http://xbrl.ssm.com.my/role/ssm/lab_rol_ssmt-fs-mfrs_2022-12-31/ReportingLabel</t>
  </si>
  <si>
    <t>ssmt-mfrs-cor_2022-12-31.xsd#ssmt-mfrs_AdjustmentsForUnrealisedForeignExchangeGainLoss@http://xbrl.ssm.com.my/role/ssm/lab_rol_ssmt-fs-mfrs_2022-12-31/ReportingLabel</t>
  </si>
  <si>
    <t>full_ifrs-cor_2022-03-24.xsd#ifrs-full_AdjustmentsForInterestIncome</t>
  </si>
  <si>
    <t>ssmt-mfrs-cor_2022-12-31.xsd#ssmt-mfrs_AdjustmentsForPerformanceBasedEmployeeShareSchemeAndOtherExpenses</t>
  </si>
  <si>
    <t>ssmt-mfrs-cor_2022-12-31.xsd#ssmt-mfrs_AdjustmentsForShareOfProfitsOfJointVentures@http://xbrl.ssm.com.my/role/ssm/lab_rol_ssmt-fs-mfrs_2022-12-31/ReportingLabel</t>
  </si>
  <si>
    <t>ssmt-mfrs-cor_2022-12-31.xsd#ssmt-mfrs_AdjustmentsForShareOptionExpenses</t>
  </si>
  <si>
    <t>full_ifrs-cor_2022-03-24.xsd#ifrs-full_AdjustmentsForUndistributedProfitsOfAssociates</t>
  </si>
  <si>
    <t>full_ifrs-cor_2022-03-24.xsd#ifrs-full_AdjustmentsForFinanceCosts</t>
  </si>
  <si>
    <t>full_ifrs-cor_2022-03-24.xsd#ifrs-full_AdjustmentsForFinanceIncome</t>
  </si>
  <si>
    <t>ssmt-mfrs-cor_2022-12-31.xsd#ssmt-mfrs_PaymentsForLeasesOfLowValueAssetsAndVariableLeasePaymentsNotIncludedInMeasurementOfLeaseLiability</t>
  </si>
  <si>
    <t>ssmt-mfrs-cor_2022-12-31.xsd#ssmt-mfrs_AdjustmentsForOtherNoncurrentAssets</t>
  </si>
  <si>
    <t>ssmt-mfrs-cor_2022-12-31.xsd#ssmt-mfrs_AdjustmentsForImpairmentLossRecognisedInProfitOrLossAbstract</t>
  </si>
  <si>
    <t>full_ifrs-cor_2022-03-24.xsd#ifrs-full_ImpairmentLossRecognisedInProfitOrLossPropertyPlantAndEquipment@http://xbrl.ssm.com.my/role/ssm/lab_rol_ssmt-fs-mfrs_2022-12-31/ReportingLabel</t>
  </si>
  <si>
    <t>full_ifrs-cor_2022-03-24.xsd#ifrs-full_ImpairmentLossRecognisedInProfitOrLossInvestmentProperty@http://xbrl.ssm.com.my/role/ssm/lab_rol_ssmt-fs-mfrs_2022-12-31/ReportingLabel</t>
  </si>
  <si>
    <t>ssmt-mfrs-cor_2022-12-31.xsd#ssmt-mfrs_ImpairmentLossRecognisedInProfitOrLossOfPrepaidLeaseRental@http://xbrl.ssm.com.my/role/ssm/lab_rol_ssmt-fs-mfrs_2022-12-31/ReportingLabel</t>
  </si>
  <si>
    <t>full_ifrs-cor_2022-03-24.xsd#ifrs-full_ImpairmentLossRecognisedInProfitOrLossIntangibleAssetsOtherThanGoodwill@http://xbrl.ssm.com.my/role/ssm/lab_rol_ssmt-fs-mfrs_2022-12-31/ReportingLabel</t>
  </si>
  <si>
    <t>ssmt-mfrs-cor_2022-12-31.xsd#ssmt-mfrs_ImpairmentLossRecognisedInProfitOrLossOfInvestmentInSubsidiaries@http://xbrl.ssm.com.my/role/ssm/lab_rol_ssmt-fs-mfrs_2022-12-31/ReportingLabel</t>
  </si>
  <si>
    <t>ssmt-mfrs-cor_2022-12-31.xsd#ssmt-mfrs_ImpairmentLossRecognisedInProfitOrLossOfInvestmentsInAssociates@http://xbrl.ssm.com.my/role/ssm/lab_rol_ssmt-fs-mfrs_2022-12-31/ReportingLabel</t>
  </si>
  <si>
    <t>ssmt-mfrs-cor_2022-12-31.xsd#ssmt-mfrs_ImpairmentLossRecognisedInProfitOrLossOfInvestmentsInJointVentures@http://xbrl.ssm.com.my/role/ssm/lab_rol_ssmt-fs-mfrs_2022-12-31/ReportingLabel</t>
  </si>
  <si>
    <t>ssmt-mfrs-cor_2022-12-31.xsd#ssmt-mfrs_ImpairmentLossRecognisedInProfitOrLossOnOtherInvestments@http://xbrl.ssm.com.my/role/ssm/lab_rol_ssmt-fs-mfrs_2022-12-31/ReportingLabel</t>
  </si>
  <si>
    <t>ssmt-mfrs-cor_2022-12-31.xsd#ssmt-mfrs_ImpairmentLossRecognisedInProfitOrLossOnOtherFinancialAssetsOrReceivables@http://xbrl.ssm.com.my/role/ssm/lab_rol_ssmt-fs-mfrs_2022-12-31/ReportingLabel</t>
  </si>
  <si>
    <t>full_ifrs-cor_2022-03-24.xsd#ifrs-full_ImpairmentLossRecognisedInProfitOrLoss@http://xbrl.ssm.com.my/role/ssm/fs/mfrs/lab_rol_ssmt-fs-mfrs_2022-12-31/ReportingTotalLabel</t>
  </si>
  <si>
    <t>full_ifrs-cor_2022-03-24.xsd#ifrs-full_GainsLossesOnDisposalsOfNoncurrentAssetsAbstract@http://xbrl.ssm.com.my/role/ssm/lab_rol_ssmt-fs-mfrs_2022-12-31/ReportingLabel</t>
  </si>
  <si>
    <t>full_ifrs-cor_2022-03-24.xsd#ifrs-full_GainsLossesOnDisposalsOfPropertyPlantAndEquipment@http://xbrl.ssm.com.my/role/ssm/lab_rol_ssmt-fs-mfrs_2022-12-31/ReportingLabel</t>
  </si>
  <si>
    <t>full_ifrs-cor_2022-03-24.xsd#ifrs-full_GainsLossesOnDisposalsOfInvestmentProperties@http://xbrl.ssm.com.my/role/ssm/lab_rol_ssmt-fs-mfrs_2022-12-31/ReportingLabel</t>
  </si>
  <si>
    <t>full_ifrs-cor_2022-03-24.xsd#ifrs-full_GainsLossesOnDisposalsOfNoncurrentAssets@http://xbrl.ssm.com.my/role/ssm/fs/mfrs/lab_rol_ssmt-fs-mfrs_2022-12-31/ReportingTotalLabel</t>
  </si>
  <si>
    <t>ssmt-mfrs-cor_2022-12-31.xsd#ssmt-mfrs_GainsLossesOnDisposalOfSubsidiaries@http://xbrl.ssm.com.my/role/ssm/lab_rol_ssmt-fs-mfrs_2022-12-31/ReportingLabel</t>
  </si>
  <si>
    <t>ssmt-mfrs-cor_2022-12-31.xsd#ssmt-mfrs_GainsLossesOnDisposalOfAssociates@http://xbrl.ssm.com.my/role/ssm/lab_rol_ssmt-fs-mfrs_2022-12-31/ReportingLabel</t>
  </si>
  <si>
    <t>ssmt-mfrs-cor_2022-12-31.xsd#ssmt-mfrs_GainsLossesOnDisposalOfJointVentures@http://xbrl.ssm.com.my/role/ssm/lab_rol_ssmt-fs-mfrs_2022-12-31/ReportingLabel</t>
  </si>
  <si>
    <t>ssmt-mfrs-cor_2022-12-31.xsd#ssmt-mfrs_GainsLossesOnDisposalOfOtherInvestments@http://xbrl.ssm.com.my/role/ssm/lab_rol_ssmt-fs-mfrs_2022-12-31/ReportingLabel</t>
  </si>
  <si>
    <t>ssmt-mfrs-cor_2022-12-31.xsd#ssmt-mfrs_RealisedGainTransferredFromEquityOnForeignCurrencyExchange@http://xbrl.ssm.com.my/role/ssm/lab_rol_ssmt-fs-mfrs_2022-12-31/ReportingLabel</t>
  </si>
  <si>
    <t>full_ifrs-cor_2022-03-24.xsd#ifrs-full_OtherAdjustmentsForNoncashItems</t>
  </si>
  <si>
    <t>ssmt-mfrs-cor_2022-12-31.xsd#ssmt-mfrs_WriteOffOfAssetsAbstract@http://xbrl.ssm.com.my/role/ssm/lab_rol_ssmt-fs-mfrs_2022-12-31/ReportingLabel</t>
  </si>
  <si>
    <t>full_ifrs-cor_2022-03-24.xsd#ifrs-full_WritedownsReversalsOfPropertyPlantAndEquipment@http://www.xbrl.org/2003/role/terseLabel</t>
  </si>
  <si>
    <t>ssmt-mfrs-cor_2022-12-31.xsd#ssmt-mfrs_WritedownsReversalsOfIntangibleAssets@http://xbrl.ssm.com.my/role/ssm/lab_rol_ssmt-fs-mfrs_2022-12-31/ReportingLabel</t>
  </si>
  <si>
    <t>ssmt-mfrs-cor_2022-12-31.xsd#ssmt-mfrs_WritedownsReversalsOfInvestments@http://xbrl.ssm.com.my/role/ssm/lab_rol_ssmt-fs-mfrs_2022-12-31/ReportingLabel</t>
  </si>
  <si>
    <t>full_ifrs-cor_2022-03-24.xsd#ifrs-full_WritedownsReversalsOfInventories@http://xbrl.ssm.com.my/role/ssm/lab_rol_ssmt-fs-mfrs_2022-12-31/ReportingLabel</t>
  </si>
  <si>
    <t>ssmt-mfrs-cor_2022-12-31.xsd#ssmt-mfrs_WritedownsOfTradeAndOtherReceivables@http://xbrl.ssm.com.my/role/ssm/lab_rol_ssmt-fs-mfrs_2022-12-31/ReportingLabel</t>
  </si>
  <si>
    <t>ssmt-mfrs-cor_2022-12-31.xsd#ssmt-mfrs_WritedownsReversalsOfOtherFinancialAssets@http://xbrl.ssm.com.my/role/ssm/lab_rol_ssmt-fs-mfrs_2022-12-31/ReportingLabel</t>
  </si>
  <si>
    <t>ssmt-mfrs-cor_2022-12-31.xsd#ssmt-mfrs_WritedownsReversalsOfAssets@http://xbrl.ssm.com.my/role/ssm/fs/mfrs/lab_rol_ssmt-fs-mfrs_2022-12-31/ReportingTotalLabel</t>
  </si>
  <si>
    <t>ssmt-mfrs-cor_2022-12-31.xsd#ssmt-mfrs_WriteBackOfExpenses</t>
  </si>
  <si>
    <t>full_ifrs-cor_2022-03-24.xsd#ifrs-full_OtherAdjustmentsToReconcileProfitLoss</t>
  </si>
  <si>
    <t>full_ifrs-cor_2022-03-24.xsd#ifrs-full_AdjustmentsForReconcileProfitLoss@http://www.xbrl.org/2003/role/totalLabel</t>
  </si>
  <si>
    <t>full_ifrs-cor_2022-03-24.xsd#ifrs-full_CashFlowsFromUsedInOperationsBeforeChangesInWorkingCapital@http://xbrl.ssm.com.my/role/ssm/lab_rol_ssmt-fs-mfrs_2022-12-31/ReportingLabel</t>
  </si>
  <si>
    <t>ssmt-mfrs-cor_2022-12-31.xsd#ssmt-mfrs_ChangesInWorkingCapitalAbstract</t>
  </si>
  <si>
    <t>full_ifrs-cor_2022-03-24.xsd#ifrs-full_AdjustmentsForDecreaseIncreaseInInventories</t>
  </si>
  <si>
    <t>full_ifrs-cor_2022-03-24.xsd#ifrs-full_AdjustmentsForDecreaseIncreaseInTradeAndOtherReceivables</t>
  </si>
  <si>
    <t>full_ifrs-cor_2022-03-24.xsd#ifrs-full_AdjustmentsForIncreaseDecreaseInTradeAndOtherPayables</t>
  </si>
  <si>
    <t>ssmt-mfrs-cor_2022-12-31.xsd#ssmt-mfrs_AdjustmentsForDecreaseIncreaseInPropertyDevelopmentCosts</t>
  </si>
  <si>
    <t>full_ifrs-cor_2022-03-24.xsd#ifrs-full_AdjustmentsForDecreaseIncreaseInContractAssets</t>
  </si>
  <si>
    <t>ssmt-cor_2022-12-31.xsd#ssmt_AdjustmentsForDecreaseIncreaseInContractLiabilities</t>
  </si>
  <si>
    <t>full_ifrs-cor_2022-03-24.xsd#ifrs-full_IncreaseDecreaseInWorkingCapital@http://xbrl.ssm.com.my/role/ssm/fs/mfrs/lab_rol_ssmt-fs-mfrs_2022-12-31/ReportingTotalLabel</t>
  </si>
  <si>
    <t>full_ifrs-cor_2022-03-24.xsd#ifrs-full_CashFlowsFromUsedInOperations@http://xbrl.ssm.com.my/role/ssm/fs/mfrs/lab_rol_ssmt-fs-mfrs_2022-12-31/ReportingTotalLabel</t>
  </si>
  <si>
    <t>full_ifrs-cor_2022-03-24.xsd#ifrs-full_DividendsReceivedClassifiedAsOperatingActivities@http://www.xbrl.org/2003/role/terseLabel</t>
  </si>
  <si>
    <t>full_ifrs-cor_2022-03-24.xsd#ifrs-full_DividendsPaidClassifiedAsOperatingActivities@http://www.xbrl.org/2009/role/negatedTerseLabel</t>
  </si>
  <si>
    <t>full_ifrs-cor_2022-03-24.xsd#ifrs-full_InterestReceivedClassifiedAsOperatingActivities@http://www.xbrl.org/2003/role/terseLabel</t>
  </si>
  <si>
    <t>full_ifrs-cor_2022-03-24.xsd#ifrs-full_InterestPaidClassifiedAsOperatingActivities@http://www.xbrl.org/2009/role/negatedTerseLabel</t>
  </si>
  <si>
    <t>ssmt-mfrs-cor_2022-12-31.xsd#ssmt-mfrs_PaymentsForRetirementBenefitsScheme</t>
  </si>
  <si>
    <t>full_ifrs-cor_2022-03-24.xsd#ifrs-full_IncomeTaxesPaidRefundClassifiedAsOperatingActivities@http://www.xbrl.org/2009/role/negatedTerseLabel</t>
  </si>
  <si>
    <t>full_ifrs-cor_2022-03-24.xsd#ifrs-full_OtherInflowsOutflowsOfCashClassifiedAsOperatingActivities@http://xbrl.ssm.com.my/role/ssm/lab_rol_ssmt-fs-mfrs_2022-12-31/ReportingLabel</t>
  </si>
  <si>
    <t>full_ifrs-cor_2022-03-24.xsd#ifrs-full_CashFlowsFromUsedInOperatingActivities@http://www.xbrl.org/2009/role/netLabel</t>
  </si>
  <si>
    <t>full_ifrs-cor_2022-03-24.xsd#ifrs-full_CashFlowsFromUsedInInvestingActivitiesAbstract</t>
  </si>
  <si>
    <t>full_ifrs-cor_2022-03-24.xsd#ifrs-full_CashFlowsFromLosingControlOfSubsidiariesOrOtherBusinessesClassifiedAsInvestingActivities@http://xbrl.ssm.com.my/role/ssm/lab_rol_ssmt-fs-mfrs_2022-12-31/ReportingLabel</t>
  </si>
  <si>
    <t>full_ifrs-cor_2022-03-24.xsd#ifrs-full_CashFlowsUsedInObtainingControlOfSubsidiariesOrOtherBusinessesClassifiedAsInvestingActivities@http://www.xbrl.org/2009/role/negatedLabel</t>
  </si>
  <si>
    <t>full_ifrs-cor_2022-03-24.xsd#ifrs-full_ProceedsFromSalesOfInterestsInAssociates@http://xbrl.ssm.com.my/role/ssm/lab_rol_ssmt-fs-mfrs_2022-12-31/ReportingLabel</t>
  </si>
  <si>
    <t>ssmt-mfrs-cor_2022-12-31.xsd#ssmt-mfrs_OtherCashPaymentsToAcquireInterestsInAssociates@http://www.xbrl.org/2009/role/negatedTerseLabel</t>
  </si>
  <si>
    <t>full_ifrs-cor_2022-03-24.xsd#ifrs-full_OtherCashReceiptsFromSalesOfInterestsInJointVenturesClassifiedAsInvestingActivities@http://xbrl.ssm.com.my/role/ssm/lab_rol_ssmt-fs-mfrs_2022-12-31/ReportingLabel</t>
  </si>
  <si>
    <t>full_ifrs-cor_2022-03-24.xsd#ifrs-full_OtherCashPaymentsToAcquireInterestsInJointVenturesClassifiedAsInvestingActivities@http://www.xbrl.org/2009/role/negatedLabel</t>
  </si>
  <si>
    <t>full_ifrs-cor_2022-03-24.xsd#ifrs-full_CashReceiptsFromRepaymentOfAdvancesAndLoansMadeToOtherPartiesClassifiedAsInvestingActivities</t>
  </si>
  <si>
    <t>full_ifrs-cor_2022-03-24.xsd#ifrs-full_CashAdvancesAndLoansMadeToOtherPartiesClassifiedAsInvestingActivities@http://www.xbrl.org/2009/role/negatedTerseLabel</t>
  </si>
  <si>
    <t>ssmt-mfrs-cor_2022-12-31.xsd#ssmt-mfrs_DepositPlacedWithInvestmentBrokers</t>
  </si>
  <si>
    <t>full_ifrs-cor_2022-03-24.xsd#ifrs-full_OtherCashPaymentsToAcquireEquityOrDebtInstrumentsOfOtherEntitiesClassifiedAsInvestingActivities@http://www.xbrl.org/2009/role/negatedTerseLabel</t>
  </si>
  <si>
    <t>full_ifrs-cor_2022-03-24.xsd#ifrs-full_OtherCashReceiptsFromSalesOfEquityOrDebtInstrumentsOfOtherEntitiesClassifiedAsInvestingActivities@http://xbrl.ssm.com.my/role/ssm/lab_rol_ssmt-fs-mfrs_2022-12-31/ReportingLabel</t>
  </si>
  <si>
    <t>ssmt-mfrs-cor_2022-12-31.xsd#ssmt-mfrs_ProceedsFromDisposalOfNetCashAndCashEqivalentsDisposedOffFromDiscontinuingOperatrions@http://xbrl.ssm.com.my/role/ssm/lab_rol_ssmt-fs-mfrs_2022-12-31/ReportingLabel</t>
  </si>
  <si>
    <t>ssmt-mfrs-cor_2022-12-31.xsd#ssmt-mfrs_TaxPaidOnGainOnDisposalFromDiscontinuingOperations@http://xbrl.ssm.com.my/role/ssm/lab_rol_ssmt-fs-mfrs_2022-12-31/ReportingLabel</t>
  </si>
  <si>
    <t>full_ifrs-cor_2022-03-24.xsd#ifrs-full_ProceedsFromGovernmentGrantsClassifiedAsInvestingActivities@http://www.xbrl.org/2003/role/terseLabel</t>
  </si>
  <si>
    <t>full_ifrs-cor_2022-03-24.xsd#ifrs-full_ProceedsFromSalesOfIntangibleAssetsClassifiedAsInvestingActivities@http://www.xbrl.org/2003/role/terseLabel</t>
  </si>
  <si>
    <t>full_ifrs-cor_2022-03-24.xsd#ifrs-full_ProceedsFromOtherLongtermAssetsClassifiedAsInvestingActivities@http://xbrl.ssm.com.my/role/ssm/lab_rol_ssmt-fs-mfrs_2022-12-31/ReportingLabel</t>
  </si>
  <si>
    <t>full_ifrs-cor_2022-03-24.xsd#ifrs-full_ProceedsFromSalesOfPropertyPlantAndEquipmentClassifiedAsInvestingActivities@http://xbrl.ssm.com.my/role/ssm/lab_rol_ssmt-fs-mfrs_2022-12-31/ReportingLabel</t>
  </si>
  <si>
    <t>ssmt-mfrs-cor_2022-12-31.xsd#ssmt-mfrs_ProceedsFromSaleOfPrepaidLeasePayments</t>
  </si>
  <si>
    <t>full_ifrs-cor_2022-03-24.xsd#ifrs-full_PurchaseOfIntangibleAssetsClassifiedAsInvestingActivities@http://www.xbrl.org/2009/role/negatedTerseLabel</t>
  </si>
  <si>
    <t>full_ifrs-cor_2022-03-24.xsd#ifrs-full_PurchaseOfOtherLongtermAssetsClassifiedAsInvestingActivities@http://www.xbrl.org/2009/role/negatedLabel</t>
  </si>
  <si>
    <t>full_ifrs-cor_2022-03-24.xsd#ifrs-full_PurchaseOfPropertyPlantAndEquipmentClassifiedAsInvestingActivities@http://www.xbrl.org/2009/role/negatedTerseLabel</t>
  </si>
  <si>
    <t>full_ifrs-cor_2022-03-24.xsd#ifrs-full_DividendsReceivedClassifiedAsInvestingActivities@http://www.xbrl.org/2003/role/terseLabel</t>
  </si>
  <si>
    <t>full_ifrs-cor_2022-03-24.xsd#ifrs-full_InterestReceivedClassifiedAsInvestingActivities@http://www.xbrl.org/2003/role/terseLabel</t>
  </si>
  <si>
    <t>full_ifrs-cor_2022-03-24.xsd#ifrs-full_ProceedsFromSalesOfInvestmentsOtherThanInvestmentsAccountedForUsingEquityMethod@http://xbrl.ssm.com.my/role/ssm/lab_rol_ssmt-fs-mfrs_2022-12-31/ReportingLabel</t>
  </si>
  <si>
    <t>full_ifrs-cor_2022-03-24.xsd#ifrs-full_PurchaseOfInvestmentsOtherThanInvestmentsAccountedForUsingEquityMethod@http://www.xbrl.org/2009/role/negatedTerseLabel</t>
  </si>
  <si>
    <t>full_ifrs-cor_2022-03-24.xsd#ifrs-full_PaymentsForDevelopmentProjectExpenditure@http://www.xbrl.org/2009/role/negatedLabel</t>
  </si>
  <si>
    <t>ssmt-mfrs-cor_2022-12-31.xsd#ssmt-mfrs_NetRepaymentFromJointVentures</t>
  </si>
  <si>
    <t>ssmt-mfrs-cor_2022-12-31.xsd#ssmt-mfrs_NetRepaymentFromAssociates</t>
  </si>
  <si>
    <t>ssmt-mfrs-cor_2022-12-31.xsd#ssmt-mfrs_CapitalDistributionsFromAssociates</t>
  </si>
  <si>
    <t>full_ifrs-cor_2022-03-24.xsd#ifrs-full_OtherInflowsOutflowsOfCashClassifiedAsInvestingActivities@http://xbrl.ssm.com.my/role/ssm/lab_rol_ssmt-fs-mfrs_2022-12-31/ReportingLabel</t>
  </si>
  <si>
    <t>full_ifrs-cor_2022-03-24.xsd#ifrs-full_CashFlowsFromUsedInInvestingActivities@http://www.xbrl.org/2009/role/netLabel</t>
  </si>
  <si>
    <t>full_ifrs-cor_2022-03-24.xsd#ifrs-full_CashFlowsFromUsedInFinancingActivitiesAbstract</t>
  </si>
  <si>
    <t>ssmt-mfrs-cor_2022-12-31.xsd#ssmt-mfrs_PaymentsForPrincipalPortionOfLeaseLiability@http://xbrl.ssm.com.my/role/ssm/lab_rol_ssmt-fs-mfrs_2022-12-31/ReportingLabel</t>
  </si>
  <si>
    <t>ssmt-mfrs-cor_2022-12-31.xsd#ssmt-mfrs_PaymentsForInterestPortionOfLeaseLiability@http://xbrl.ssm.com.my/role/ssm/lab_rol_ssmt-fs-mfrs_2022-12-31/ReportingLabel</t>
  </si>
  <si>
    <t>full_ifrs-cor_2022-03-24.xsd#ifrs-full_ProceedsFromIssuingShares</t>
  </si>
  <si>
    <t>ssmt-mfrs-cor_2022-12-31.xsd#ssmt-mfrs_ProceedsFromIssueOfSharesInSubsidiaryToNoncontrollingInterests</t>
  </si>
  <si>
    <t>full_ifrs-cor_2022-03-24.xsd#ifrs-full_ProceedsFromIssuingOtherEquityInstruments</t>
  </si>
  <si>
    <t>full_ifrs-cor_2022-03-24.xsd#ifrs-full_ProceedsFromExerciseOfOptions@http://xbrl.ssm.com.my/role/ssm/lab_rol_ssmt-fs-mfrs_2022-12-31/ReportingLabel</t>
  </si>
  <si>
    <t>full_ifrs-cor_2022-03-24.xsd#ifrs-full_PaymentsToAcquireOrRedeemEntitysShares</t>
  </si>
  <si>
    <t>ssmt-mfrs-cor_2022-12-31.xsd#ssmt-mfrs_PaymentsMadeToAcquireNoncontrollingInterest@http://xbrl.ssm.com.my/role/ssm/lab_rol_ssmt-fs-mfrs_2022-12-31/ReportingLabel</t>
  </si>
  <si>
    <t>full_ifrs-cor_2022-03-24.xsd#ifrs-full_PaymentsOfOtherEquityInstruments</t>
  </si>
  <si>
    <t>ssmt-mfrs-cor_2022-12-31.xsd#ssmt-mfrs_CashPaymentsForIssuanceOfPerpetualSukuk@http://xbrl.ssm.com.my/role/ssm/lab_rol_ssmt-fs-mfrs_2022-12-31/ReportingLabel</t>
  </si>
  <si>
    <t>full_ifrs-cor_2022-03-24.xsd#ifrs-full_ProceedsFromIssueOfBondsNotesAndDebentures@http://xbrl.ssm.com.my/role/ssm/lab_rol_ssmt-fs-mfrs_2022-12-31/ReportingLabel</t>
  </si>
  <si>
    <t>full_ifrs-cor_2022-03-24.xsd#ifrs-full_RepaymentsOfBorrowingsClassifiedAsFinancingActivities@http://www.xbrl.org/2009/role/negatedTerseLabel</t>
  </si>
  <si>
    <t>ssmt-mfrs-cor_2022-12-31.xsd#ssmt-mfrs_RepurchaseOfTreasuryShares</t>
  </si>
  <si>
    <t>ssmt-mfrs-cor_2022-12-31.xsd#ssmt-mfrs_WithdrawalOfBankDeposits@http://xbrl.ssm.com.my/role/ssm/lab_rol_ssmt-fs-mfrs_2022-12-31/ReportingLabel</t>
  </si>
  <si>
    <t>ssmt-mfrs-cor_2022-12-31.xsd#ssmt-mfrs_WithdrawalOfSecuritiesPledgedForBorrowings@http://xbrl.ssm.com.my/role/ssm/lab_rol_ssmt-fs-mfrs_2022-12-31/ReportingLabel</t>
  </si>
  <si>
    <t>full_ifrs-cor_2022-03-24.xsd#ifrs-full_DividendsPaidClassifiedAsFinancingActivities@http://www.xbrl.org/2009/role/negatedTerseLabel</t>
  </si>
  <si>
    <t>full_ifrs-cor_2022-03-24.xsd#ifrs-full_InterestPaidClassifiedAsFinancingActivities@http://www.xbrl.org/2009/role/negatedTerseLabel</t>
  </si>
  <si>
    <t>full_ifrs-cor_2022-03-24.xsd#ifrs-full_OtherInflowsOutflowsOfCashClassifiedAsFinancingActivities@http://xbrl.ssm.com.my/role/ssm/lab_rol_ssmt-fs-mfrs_2022-12-31/ReportingLabel</t>
  </si>
  <si>
    <t>full_ifrs-cor_2022-03-24.xsd#ifrs-full_CashFlowsFromUsedInFinancingActivities@http://www.xbrl.org/2009/role/netLabel</t>
  </si>
  <si>
    <t>full_ifrs-cor_2022-03-24.xsd#ifrs-full_IncreaseDecreaseInCashAndCashEquivalentsBeforeEffectOfExchangeRateChanges@http://www.xbrl.org/2009/role/netLabel</t>
  </si>
  <si>
    <t>full_ifrs-cor_2022-03-24.xsd#ifrs-full_EffectOfExchangeRateChangesOnCashAndCashEquivalents</t>
  </si>
  <si>
    <t>full_ifrs-cor_2022-03-24.xsd#ifrs-full_IncreaseDecreaseInCashAndCashEquivalents@http://www.xbrl.org/2009/role/netLabel</t>
  </si>
  <si>
    <t>full_ifrs-cor_2022-03-24.xsd#ifrs-full_CashAndCashEquivalents@http://www.xbrl.org/2003/role/periodStartLabel</t>
  </si>
  <si>
    <t>full_ifrs-cor_2022-03-24.xsd#ifrs-full_CashAndCashEquivalents@http://www.xbrl.org/2003/role/periodEndLabel</t>
  </si>
  <si>
    <t>ssmt-cor_2022-12-31.xsd#ssmt_DetailsOfCashFlowsAbstract</t>
  </si>
  <si>
    <t>ssmt-cor_2022-12-31.xsd#ssmt_CashAndBankBalances</t>
  </si>
  <si>
    <t>full_ifrs-cor_2022-03-24.xsd#ifrs-full_BankOverdraftsClassifiedAsCashEquivalents@http://xbrl.ssm.com.my/role/ssm/lab_rol_ssmt-fs-mfrs_2022-12-31/ReportingLabel</t>
  </si>
  <si>
    <t>ssmt-cor_2022-12-31.xsd#ssmt_OtherAdjustmentsToReconcileCashAndCashEquivalents</t>
  </si>
  <si>
    <t>full_ifrs-cor_2022-03-24.xsd#ifrs-full_CashAndCashEquivalents@http://xbrl.ssm.com.my/role/ssm/fs/mfrs/lab_rol_ssmt-fs-mfrs_2022-12-31/ReportingTotalLabel</t>
  </si>
  <si>
    <t>Statement of cash flows</t>
  </si>
  <si>
    <t>Cash flows from (used in) operating activities</t>
  </si>
  <si>
    <t>Adjustments to reconcile profit (loss)</t>
  </si>
  <si>
    <t>Adjustments for depreciation</t>
  </si>
  <si>
    <t>Adjustments for amortisation expense</t>
  </si>
  <si>
    <t>Adjustments for dividend income</t>
  </si>
  <si>
    <t>Adjustments for equity settled share-based payment transactions</t>
  </si>
  <si>
    <t>Adjustments for changes in fair value of investment properties</t>
  </si>
  <si>
    <t>Adjustments for unrealised foreign exchange losses (gains)</t>
  </si>
  <si>
    <t>Adjustments for interest income</t>
  </si>
  <si>
    <t>Adjustments for performance-based employee share scheme and other expenses</t>
  </si>
  <si>
    <t>Adjustments for share of profits of joint ventures (net of tax)</t>
  </si>
  <si>
    <t>Adjustments for share option expenses</t>
  </si>
  <si>
    <t>Adjustments for undistributed profits of associates</t>
  </si>
  <si>
    <t>Adjustments for finance costs</t>
  </si>
  <si>
    <t>Adjustments for finance income</t>
  </si>
  <si>
    <t>Short-term lease payments, payments for leases of low-value assets and variable lease payments not included in the measurement of the lease liability</t>
  </si>
  <si>
    <t>Adjustments for other non-current assets</t>
  </si>
  <si>
    <t>Adjustments for impairment loss (reversal of impairment loss) recognised in profit or loss</t>
  </si>
  <si>
    <t>Impairment (reversal of impairment) of property, plant and equipment</t>
  </si>
  <si>
    <t>Impairment (reversal of impairment) of investment properties</t>
  </si>
  <si>
    <t>Impairment (reversal of impairment) of prepaid lease rentals</t>
  </si>
  <si>
    <t>Impairment (reversal of impairment) of intangible assets</t>
  </si>
  <si>
    <t>Impairment (reversal of impairment) of investment in subsidiaries</t>
  </si>
  <si>
    <t>Impairment (reversal of impairment) of investment in associates</t>
  </si>
  <si>
    <t>Impairment (reversal of impairment) of investment in joint ventures</t>
  </si>
  <si>
    <t>Impairment (reversal of impairment) of other investments</t>
  </si>
  <si>
    <t>Impairment (reversal of impairment) of other financial assets or receivables</t>
  </si>
  <si>
    <t>Total adjustment for impairment (reversal of impairment)</t>
  </si>
  <si>
    <t>Adjustments for losses (gains) on disposal of non-current assets</t>
  </si>
  <si>
    <t>(Gain) loss on disposal of property, plant and equipment</t>
  </si>
  <si>
    <t>(Gain) loss on disposal of investment properties</t>
  </si>
  <si>
    <t>Total gain (loss) on disposal of non-current assets</t>
  </si>
  <si>
    <t>(Gain) loss on disposal of subsidiaries</t>
  </si>
  <si>
    <t>(Gain) loss on disposal of associates</t>
  </si>
  <si>
    <t>(Gain) loss on disposal of joint ventures</t>
  </si>
  <si>
    <t>Gain on disposal of other investments</t>
  </si>
  <si>
    <t>Realised foreign currencies exchange gain transferred from equity</t>
  </si>
  <si>
    <t>Other adjustments for non-cash items</t>
  </si>
  <si>
    <t>Write–off:</t>
  </si>
  <si>
    <t>Write offs of property, plant and equipment</t>
  </si>
  <si>
    <t>Write offs of intangible assets</t>
  </si>
  <si>
    <t>Write offs of investments</t>
  </si>
  <si>
    <t>Write offs of inventories</t>
  </si>
  <si>
    <t>Write off of trade and other receivables</t>
  </si>
  <si>
    <t>Write offs of other financial assets</t>
  </si>
  <si>
    <t>Total write-off</t>
  </si>
  <si>
    <t>Write back of expenses</t>
  </si>
  <si>
    <t>Other adjustments to reconcile profit (loss)</t>
  </si>
  <si>
    <t>Changes in working capital</t>
  </si>
  <si>
    <t>Adjustments for decrease (increase) in inventories</t>
  </si>
  <si>
    <t>Adjustments for decrease (increase) in trade and other receivables</t>
  </si>
  <si>
    <t>Adjustments for increase (decrease) in trade and other payables</t>
  </si>
  <si>
    <t>Adjustments for decrease (increase) in property development costs</t>
  </si>
  <si>
    <t>Adjustments for decrease (increase) in contract assets</t>
  </si>
  <si>
    <t>Adjustments for decrease (increase) in contract liabilities</t>
  </si>
  <si>
    <t>Dividends received</t>
  </si>
  <si>
    <t>Dividends paid</t>
  </si>
  <si>
    <t>Interest received</t>
  </si>
  <si>
    <t>Interest paid</t>
  </si>
  <si>
    <t>Payment to a retirement benefits scheme</t>
  </si>
  <si>
    <t>Income taxes refund (paid)</t>
  </si>
  <si>
    <t>Other cash inflows (outflows) from operating activities</t>
  </si>
  <si>
    <t>Cash flows from (used in) investing activities</t>
  </si>
  <si>
    <t>Proceeds from disposal of subsidiaries</t>
  </si>
  <si>
    <t>Acquisition and subscription of shares in subsidiaries</t>
  </si>
  <si>
    <t>Proceeds from disposal of associates</t>
  </si>
  <si>
    <t>Acquisition and subscription of shares in associates</t>
  </si>
  <si>
    <t>Proceeds from disposal of joint ventures</t>
  </si>
  <si>
    <t>Acquisition and subscription of shares in joint ventures</t>
  </si>
  <si>
    <t>Cash receipts from repayment of advances and loans made to other parties, classified as investing activities</t>
  </si>
  <si>
    <t>Cash advances and loans made to other parties</t>
  </si>
  <si>
    <t>Deposit placed with investment brokers</t>
  </si>
  <si>
    <t>Other cash payments to acquire equity or debt instruments of other entities</t>
  </si>
  <si>
    <t>Other cash receipts from sales of equity or debt instruments of other entities</t>
  </si>
  <si>
    <t>Disposal of discontinued operation, proceeds from disposal, net of cash and cash equivalents disposed of</t>
  </si>
  <si>
    <t>Disposal of discontinued operation, tax paid on gain on disposal</t>
  </si>
  <si>
    <t>Proceeds from government grants</t>
  </si>
  <si>
    <t>Proceeds from sales of intangible assets</t>
  </si>
  <si>
    <t>Proceeds from sales of other non-current assets</t>
  </si>
  <si>
    <t>Proceeds from sales of property, plant and equipment</t>
  </si>
  <si>
    <t>Proceeds from sale of prepaid lease payments</t>
  </si>
  <si>
    <t>Purchase of intangible assets</t>
  </si>
  <si>
    <t>Purchase of other non-current assets</t>
  </si>
  <si>
    <t>Purchase of property, plant and equipment</t>
  </si>
  <si>
    <t>Proceeds from sale of other investment</t>
  </si>
  <si>
    <t>Purchase of other investment</t>
  </si>
  <si>
    <t>Development expenditure incurred</t>
  </si>
  <si>
    <t>Net repayment from joint ventures</t>
  </si>
  <si>
    <t>Net repayment from associates</t>
  </si>
  <si>
    <t>Capital distributions from associates</t>
  </si>
  <si>
    <t>Other cash inflows (outflows) from investing activities</t>
  </si>
  <si>
    <t>Cash flows from (used in) financing activities</t>
  </si>
  <si>
    <t>Cash payments for the principal portion of the lease liability</t>
  </si>
  <si>
    <t>Cash payments for the interest portion of the lease liability</t>
  </si>
  <si>
    <t>Proceeds from issuing shares</t>
  </si>
  <si>
    <t>Proceeds from issue of shares in subsidiary to non-controlling interests</t>
  </si>
  <si>
    <t>Proceeds from issuing other equity instruments</t>
  </si>
  <si>
    <t>Proceeds from share-based compensation transactions</t>
  </si>
  <si>
    <t>Payments to acquire or redeem entity's shares</t>
  </si>
  <si>
    <t>Acquisition of non-controlling interests</t>
  </si>
  <si>
    <t>Payments of other equity instruments</t>
  </si>
  <si>
    <t>Perpetual sukuk issuance expenses</t>
  </si>
  <si>
    <t>Proceeds from issuing debentures, loans, notes, bonds, mortgages and other short-term and long-term borrowings</t>
  </si>
  <si>
    <t>Repayments of borrowings</t>
  </si>
  <si>
    <t>Repurchase of treasury shares</t>
  </si>
  <si>
    <t>Withdrawal(Placement) of bank deposits</t>
  </si>
  <si>
    <t>Withdrawal(Placement) of securities pledged for borrowings</t>
  </si>
  <si>
    <t>Other cash inflows (outflows) from financing activities</t>
  </si>
  <si>
    <t>Effect of exchange rate changes on cash and cash equivalents</t>
  </si>
  <si>
    <t>Details of cash flows</t>
  </si>
  <si>
    <t>Bank overdraft</t>
  </si>
  <si>
    <t>Other adjustments to reconcile cash and cash equivalents</t>
  </si>
  <si>
    <t>584d4821-1dc9-4561-a354-286c7cf4df43:~:SOCF-Indirect_2:~:NotMandatory:~:True:~:1:~:True:~:&lt;?xml version="1.0" encoding="utf-16"?&gt;_x000D_
&lt;Customization xmlns:xsi="http://www.w3.org/2001/XMLSchema-instance" xmlns:xsd="http://www.w3.org/2001/XMLSchema" ComparitiveDate="False" LayoutByDate="False" LayoutByCompany="False" ShowAllDomains="False" TotalDomain="True" DefaultDates="2" /&gt;:~:LytHyc:~:ssmt-cor_2022-12-31.xsd#ssmt_StatementOfCashFlowsTable:~:False:~:True:~:ssmt-cor_2022-12-31.xsd#ssmt_DisclosureOnStatementOfCashFlowsAbstract@http://www.xbrl.org/2003/role/label::full_ifrs-cor_2022-03-24.xsd#ifrs-full_StatementOfCashFlowsAbstract@http://www.xbrl.org/2003/role/label::ssmt-cor_2022-12-31.xsd#ssmt_StatementOfCashFlowsLineItems@http://www.xbrl.org/2003/role/label:~:ssmt-cor_2022-12-31.xsd#ssmt_StatementOfCashFlowsTable</t>
  </si>
  <si>
    <r>
      <t>*</t>
    </r>
    <r>
      <rPr>
        <sz val="10"/>
        <color indexed="8"/>
        <rFont val="Verdana"/>
        <family val="2"/>
      </rPr>
      <t>Profit (loss) before tax</t>
    </r>
  </si>
  <si>
    <r>
      <t>*</t>
    </r>
    <r>
      <rPr>
        <b/>
        <sz val="10"/>
        <color indexed="8"/>
        <rFont val="Verdana"/>
        <family val="2"/>
      </rPr>
      <t>Total profit(loss) before tax</t>
    </r>
  </si>
  <si>
    <r>
      <t>*</t>
    </r>
    <r>
      <rPr>
        <b/>
        <sz val="10"/>
        <color indexed="8"/>
        <rFont val="Verdana"/>
        <family val="2"/>
      </rPr>
      <t>Total adjustments to reconcile profit (loss)</t>
    </r>
  </si>
  <si>
    <r>
      <t>*</t>
    </r>
    <r>
      <rPr>
        <b/>
        <sz val="10"/>
        <color indexed="8"/>
        <rFont val="Verdana"/>
        <family val="2"/>
      </rPr>
      <t>Operating surplus (deficit) before working capital changes</t>
    </r>
  </si>
  <si>
    <r>
      <t>*</t>
    </r>
    <r>
      <rPr>
        <b/>
        <sz val="10"/>
        <color indexed="8"/>
        <rFont val="Verdana"/>
        <family val="2"/>
      </rPr>
      <t>Total changes in working capital</t>
    </r>
  </si>
  <si>
    <r>
      <t>*</t>
    </r>
    <r>
      <rPr>
        <b/>
        <sz val="10"/>
        <color indexed="8"/>
        <rFont val="Verdana"/>
        <family val="2"/>
      </rPr>
      <t>Cash generated from (used in) operations</t>
    </r>
  </si>
  <si>
    <r>
      <t>*</t>
    </r>
    <r>
      <rPr>
        <b/>
        <sz val="10"/>
        <color indexed="8"/>
        <rFont val="Verdana"/>
        <family val="2"/>
      </rPr>
      <t>Net cash flows from (used in) operating activities</t>
    </r>
  </si>
  <si>
    <r>
      <t>*</t>
    </r>
    <r>
      <rPr>
        <b/>
        <sz val="10"/>
        <color indexed="8"/>
        <rFont val="Verdana"/>
        <family val="2"/>
      </rPr>
      <t>Net cash flows from (used in) investing activities</t>
    </r>
  </si>
  <si>
    <r>
      <t>*</t>
    </r>
    <r>
      <rPr>
        <b/>
        <sz val="10"/>
        <color indexed="8"/>
        <rFont val="Verdana"/>
        <family val="2"/>
      </rPr>
      <t>Net cash flows from (used in) financing activities</t>
    </r>
  </si>
  <si>
    <r>
      <t>*</t>
    </r>
    <r>
      <rPr>
        <b/>
        <sz val="10"/>
        <color indexed="8"/>
        <rFont val="Verdana"/>
        <family val="2"/>
      </rPr>
      <t>Net increase (decrease) in cash and cash equivalents before effect of exchange rate changes</t>
    </r>
  </si>
  <si>
    <r>
      <t>*</t>
    </r>
    <r>
      <rPr>
        <b/>
        <sz val="10"/>
        <color indexed="8"/>
        <rFont val="Verdana"/>
        <family val="2"/>
      </rPr>
      <t>Net increase (decrease) in cash and cash equivalents after effect of exchange rate changes</t>
    </r>
  </si>
  <si>
    <r>
      <t>*</t>
    </r>
    <r>
      <rPr>
        <sz val="10"/>
        <color indexed="8"/>
        <rFont val="Verdana"/>
        <family val="2"/>
      </rPr>
      <t>Cash and cash equivalents at beginning of period</t>
    </r>
  </si>
  <si>
    <r>
      <t>*</t>
    </r>
    <r>
      <rPr>
        <sz val="10"/>
        <color indexed="8"/>
        <rFont val="Verdana"/>
        <family val="2"/>
      </rPr>
      <t>Cash and cash equivalents at end of period</t>
    </r>
  </si>
  <si>
    <r>
      <t>*</t>
    </r>
    <r>
      <rPr>
        <sz val="10"/>
        <color indexed="8"/>
        <rFont val="Verdana"/>
        <family val="2"/>
      </rPr>
      <t>Cash and bank balances</t>
    </r>
  </si>
  <si>
    <r>
      <t>*</t>
    </r>
    <r>
      <rPr>
        <b/>
        <sz val="10"/>
        <color indexed="8"/>
        <rFont val="Verdana"/>
        <family val="2"/>
      </rPr>
      <t>Cash and cash equivalents at end of period</t>
    </r>
  </si>
  <si>
    <t>FS-MFRS  Statement of cash flows, indirect method</t>
  </si>
  <si>
    <t>d3e49dce-3dbf-475f-a3ed-fe19378bfac3:~:AtleastOneValueInAnyLayout:~:True:~:&lt;?xml version="1.0" encoding="utf-16"?&gt;_x000D_
&lt;Customization xmlns:xsi="http://www.w3.org/2001/XMLSchema-instance" xmlns:xsd="http://www.w3.org/2001/XMLSchema" ComparitiveDate="False" LayoutByDate="True" LayoutByCompany="True" ShowAllDomains="True" TotalDomain="True" DefaultDates="2" /&gt;:~:http://xbrl.ssm.com.my/role/ssm/rol_ssmt-fs-mfrs_2022-12-31/ssmt-fs-mfrs_2022-12-31_role-610000:~:None</t>
  </si>
  <si>
    <t>02e045b9-3494-4f53-9efe-596d03fae191:~:SOCIE_1_TBLYT:~:NotMandatory:~:False:~:0:~:True:~:&lt;?xml version="1.0" encoding="utf-16"?&gt;_x000D_
&lt;Customization xmlns:xsi="http://www.w3.org/2001/XMLSchema-instance" xmlns:xsd="http://www.w3.org/2001/XMLSchema" ComparitiveDate="False" LayoutByDate="True" LayoutByCompany="True" ShowAllDomains="True" TotalDomain="True" DefaultDates="2" /&gt;:~:LytTxb:~::~:False:~:True:~:ssmt-mfrs-cor_2022-12-31.xsd#ssmt-mfrs_DisclosureOfChangesInEquityAbstract@http://www.xbrl.org/2003/role/label:~:</t>
  </si>
  <si>
    <t>ssmt-mfrs-cor_2022-12-31.xsd#ssmt-mfrs_DisclosureOfChangesInEquityAbstract</t>
  </si>
  <si>
    <t>Disclosure of changes in equity</t>
  </si>
  <si>
    <t>65fc94ef-75be-44d7-8500-4770799cdca0:~:SOCIE_2:~:NotMandatory:~:False:~:1:~:True:~:&lt;?xml version="1.0" encoding="utf-16"?&gt;_x000D_
&lt;Customization xmlns:xsi="http://www.w3.org/2001/XMLSchema-instance" xmlns:xsd="http://www.w3.org/2001/XMLSchema" ComparitiveDate="False" LayoutByDate="True" LayoutByCompany="True" ShowAllDomains="True" TotalDomain="True" DefaultDates="2" /&gt;:~:LytHyc:~:full_ifrs-cor_2022-03-24.xsd#ifrs-full_StatementOfChangesInEquityTable:~:False:~:True:~:ssmt-mfrs-cor_2022-12-31.xsd#ssmt-mfrs_DisclosureOfChangesInEquityAbstract@http://www.xbrl.org/2003/role/label::full_ifrs-cor_2022-03-24.xsd#ifrs-full_StatementOfChangesInEquityAbstract@http://www.xbrl.org/2003/role/label::full_ifrs-cor_2022-03-24.xsd#ifrs-full_StatementOfChangesInEquityLineItems@http://www.xbrl.org/2003/role/label:~:full_ifrs-cor_2022-03-24.xsd#ifrs-full_StatementOfChangesInEquityTable</t>
  </si>
  <si>
    <t>full_ifrs-cor_2022-03-24.xsd#ifrs-full_StatementOfChangesInEquityAbstract</t>
  </si>
  <si>
    <t>full_ifrs-cor_2022-03-24.xsd#ifrs-full_StatementOfChangesInEquityLineItems</t>
  </si>
  <si>
    <t>full_ifrs-cor_2022-03-24.xsd#ifrs-full_Equity@http://www.xbrl.org/2003/role/periodStartLabel</t>
  </si>
  <si>
    <t>ssmt-mfrs-cor_2022-12-31.xsd#ssmt-mfrs_ImpactOfChangeInAccountingStandards</t>
  </si>
  <si>
    <t>ssmt-mfrs-cor_2022-12-31.xsd#ssmt-mfrs_EquityBalanceRestated@http://xbrl.ssm.com.my/role/ssm/fs/mfrs/lab_rol_ssmt-fs-mfrs_2022-12-31/ReportingPeriodStartLabel</t>
  </si>
  <si>
    <t>full_ifrs-cor_2022-03-24.xsd#ifrs-full_ChangesInEquityAbstract</t>
  </si>
  <si>
    <t>full_ifrs-cor_2022-03-24.xsd#ifrs-full_ComprehensiveIncomeAbstract</t>
  </si>
  <si>
    <t>ssmt-mfrs-cor_2022-12-31.xsd#ssmt-mfrs_ContributionsByAndDistributionsToOwnersAbstract</t>
  </si>
  <si>
    <t>full_ifrs-cor_2022-03-24.xsd#ifrs-full_IncreaseDecreaseThroughAcquisitionOfSubsidiary@http://xbrl.ssm.com.my/role/ssm/lab_rol_ssmt-fs-mfrs_2022-12-31/ReportingLabel</t>
  </si>
  <si>
    <t>full_ifrs-cor_2022-03-24.xsd#ifrs-full_IncreaseDecreaseThroughConversionOfConvertibleInstruments@http://xbrl.ssm.com.my/role/ssm/lab_rol_ssmt-fs-mfrs_2022-12-31/ReportingLabel</t>
  </si>
  <si>
    <t>full_ifrs-cor_2022-03-24.xsd#ifrs-full_DividendsPaid@http://xbrl.ssm.com.my/role/ssm/lab_rol_ssmt-fs-mfrs_2022-12-31/ReportingLabel</t>
  </si>
  <si>
    <t>full_ifrs-cor_2022-03-24.xsd#ifrs-full_IssueOfEquity@http://xbrl.ssm.com.my/role/ssm/lab_rol_ssmt-fs-mfrs_2022-12-31/ReportingLabel</t>
  </si>
  <si>
    <t>full_ifrs-cor_2022-03-24.xsd#ifrs-full_IssueOfConvertibleInstruments@http://xbrl.ssm.com.my/role/ssm/lab_rol_ssmt-fs-mfrs_2022-12-31/ReportingLabel</t>
  </si>
  <si>
    <t>full_ifrs-cor_2022-03-24.xsd#ifrs-full_IncreaseDecreaseThroughSharebasedPaymentTransactions</t>
  </si>
  <si>
    <t>full_ifrs-cor_2022-03-24.xsd#ifrs-full_IncreaseDecreaseThroughTreasuryShareTransactions@http://xbrl.ssm.com.my/role/ssm/lab_rol_ssmt-fs-mfrs_2022-12-31/ReportingLabel</t>
  </si>
  <si>
    <t>full_ifrs-cor_2022-03-24.xsd#ifrs-full_IncreaseDecreaseThroughTransactionsWithOwners@http://xbrl.ssm.com.my/role/ssm/lab_rol_ssmt-fs-mfrs_2022-12-31/ReportingLabel</t>
  </si>
  <si>
    <t>full_ifrs-cor_2022-03-24.xsd#ifrs-full_IncreaseDecreaseThroughTransfersAndOtherChangesEquity</t>
  </si>
  <si>
    <t>full_ifrs-cor_2022-03-24.xsd#ifrs-full_ChangesInEquity@http://www.xbrl.org/2003/role/totalLabel</t>
  </si>
  <si>
    <t>full_ifrs-cor_2022-03-24.xsd#ifrs-full_Equity@http://www.xbrl.org/2003/role/periodEndLabel</t>
  </si>
  <si>
    <t>full_ifrs-cor_2022-03-24.xsd#ifrs-full_StatementOfChangesInEquityTable::full_ifrs-cor_2022-03-24.xsd#ifrs-full_ComponentsOfEquityAxis::full_ifrs-cor_2022-03-24.xsd#ifrs-full_IssuedCapitalMember</t>
  </si>
  <si>
    <t>full_ifrs-cor_2022-03-24.xsd#ifrs-full_StatementOfChangesInEquityTable::full_ifrs-cor_2022-03-24.xsd#ifrs-full_ComponentsOfEquityAxis::full_ifrs-cor_2022-03-24.xsd#ifrs-full_RetainedEarningsMember</t>
  </si>
  <si>
    <t>full_ifrs-cor_2022-03-24.xsd#ifrs-full_StatementOfChangesInEquityTable::full_ifrs-cor_2022-03-24.xsd#ifrs-full_ComponentsOfEquityAxis::full_ifrs-cor_2022-03-24.xsd#ifrs-full_TreasurySharesMember</t>
  </si>
  <si>
    <t>full_ifrs-cor_2022-03-24.xsd#ifrs-full_StatementOfChangesInEquityTable::full_ifrs-cor_2022-03-24.xsd#ifrs-full_ComponentsOfEquityAxis::full_ifrs-cor_2022-03-24.xsd#ifrs-full_CapitalReserveMember</t>
  </si>
  <si>
    <t>full_ifrs-cor_2022-03-24.xsd#ifrs-full_StatementOfChangesInEquityTable::full_ifrs-cor_2022-03-24.xsd#ifrs-full_ComponentsOfEquityAxis::full_ifrs-cor_2022-03-24.xsd#ifrs-full_ReserveOfGainsAndLossesOnHedgingInstrumentsThatHedgeInvestmentsInEquityInstrumentsMember</t>
  </si>
  <si>
    <t>full_ifrs-cor_2022-03-24.xsd#ifrs-full_StatementOfChangesInEquityTable::full_ifrs-cor_2022-03-24.xsd#ifrs-full_ComponentsOfEquityAxis::ssmt-mfrs-cor_2022-12-31.xsd#ssmt-mfrs_ForeignCurrencyTranslationReserveMember</t>
  </si>
  <si>
    <t>full_ifrs-cor_2022-03-24.xsd#ifrs-full_StatementOfChangesInEquityTable::full_ifrs-cor_2022-03-24.xsd#ifrs-full_ComponentsOfEquityAxis::full_ifrs-cor_2022-03-24.xsd#ifrs-full_ReserveOfSharebasedPaymentsMember</t>
  </si>
  <si>
    <t>full_ifrs-cor_2022-03-24.xsd#ifrs-full_StatementOfChangesInEquityTable::full_ifrs-cor_2022-03-24.xsd#ifrs-full_ComponentsOfEquityAxis::full_ifrs-cor_2022-03-24.xsd#ifrs-full_RevaluationSurplusMember</t>
  </si>
  <si>
    <t>full_ifrs-cor_2022-03-24.xsd#ifrs-full_StatementOfChangesInEquityTable::full_ifrs-cor_2022-03-24.xsd#ifrs-full_ComponentsOfEquityAxis::full_ifrs-cor_2022-03-24.xsd#ifrs-full_StatutoryReserveMember</t>
  </si>
  <si>
    <t>full_ifrs-cor_2022-03-24.xsd#ifrs-full_StatementOfChangesInEquityTable::full_ifrs-cor_2022-03-24.xsd#ifrs-full_ComponentsOfEquityAxis::full_ifrs-cor_2022-03-24.xsd#ifrs-full_WarrantReserveMember</t>
  </si>
  <si>
    <t>full_ifrs-cor_2022-03-24.xsd#ifrs-full_StatementOfChangesInEquityTable::full_ifrs-cor_2022-03-24.xsd#ifrs-full_ComponentsOfEquityAxis::ssmt-mfrs-cor_2022-12-31.xsd#ssmt-mfrs_OtherNondistributableReserveMember</t>
  </si>
  <si>
    <t>full_ifrs-cor_2022-03-24.xsd#ifrs-full_StatementOfChangesInEquityTable::full_ifrs-cor_2022-03-24.xsd#ifrs-full_ComponentsOfEquityAxis::ssmt-cor_2022-12-31.xsd#ssmt_NonDistributableReservesMember</t>
  </si>
  <si>
    <t>full_ifrs-cor_2022-03-24.xsd#ifrs-full_StatementOfChangesInEquityTable::full_ifrs-cor_2022-03-24.xsd#ifrs-full_ComponentsOfEquityAxis::ssmt-mfrs-cor_2022-12-31.xsd#ssmt-mfrs_FairValueAdjustmentReserveMember</t>
  </si>
  <si>
    <t>full_ifrs-cor_2022-03-24.xsd#ifrs-full_StatementOfChangesInEquityTable::full_ifrs-cor_2022-03-24.xsd#ifrs-full_ComponentsOfEquityAxis::ssmt-cor_2022-12-31.xsd#ssmt_ReserveOfNoncurrentAssetsClassifiedAsHeldForSaleMember</t>
  </si>
  <si>
    <t>full_ifrs-cor_2022-03-24.xsd#ifrs-full_StatementOfChangesInEquityTable::full_ifrs-cor_2022-03-24.xsd#ifrs-full_ComponentsOfEquityAxis::ssmt-mfrs-cor_2022-12-31.xsd#ssmt-mfrs_ConsolidatedReserveMember</t>
  </si>
  <si>
    <t>full_ifrs-cor_2022-03-24.xsd#ifrs-full_StatementOfChangesInEquityTable::full_ifrs-cor_2022-03-24.xsd#ifrs-full_ComponentsOfEquityAxis::ssmt-mfrs-cor_2022-12-31.xsd#ssmt-mfrs_WarrantyReserveMember</t>
  </si>
  <si>
    <t>full_ifrs-cor_2022-03-24.xsd#ifrs-full_StatementOfChangesInEquityTable::full_ifrs-cor_2022-03-24.xsd#ifrs-full_ComponentsOfEquityAxis::ssmt-mfrs-cor_2022-12-31.xsd#ssmt-mfrs_OtherDistributableReserveMember</t>
  </si>
  <si>
    <t>full_ifrs-cor_2022-03-24.xsd#ifrs-full_StatementOfChangesInEquityTable::full_ifrs-cor_2022-03-24.xsd#ifrs-full_ComponentsOfEquityAxis::ssmt-cor_2022-12-31.xsd#ssmt_DistributableReservesMember</t>
  </si>
  <si>
    <t>full_ifrs-cor_2022-03-24.xsd#ifrs-full_StatementOfChangesInEquityTable::full_ifrs-cor_2022-03-24.xsd#ifrs-full_ComponentsOfEquityAxis::full_ifrs-cor_2022-03-24.xsd#ifrs-full_OtherReservesMember</t>
  </si>
  <si>
    <t>full_ifrs-cor_2022-03-24.xsd#ifrs-full_StatementOfChangesInEquityTable::full_ifrs-cor_2022-03-24.xsd#ifrs-full_ComponentsOfEquityAxis::full_ifrs-cor_2022-03-24.xsd#ifrs-full_EquityAttributableToOwnersOfParentMember</t>
  </si>
  <si>
    <t>full_ifrs-cor_2022-03-24.xsd#ifrs-full_StatementOfChangesInEquityTable::full_ifrs-cor_2022-03-24.xsd#ifrs-full_ComponentsOfEquityAxis::ssmt-mfrs-cor_2022-12-31.xsd#ssmt-mfrs_OtherComponentsOfEquityMember</t>
  </si>
  <si>
    <t>full_ifrs-cor_2022-03-24.xsd#ifrs-full_StatementOfChangesInEquityTable::full_ifrs-cor_2022-03-24.xsd#ifrs-full_ComponentsOfEquityAxis::full_ifrs-cor_2022-03-24.xsd#ifrs-full_NoncontrollingInterestsMember</t>
  </si>
  <si>
    <t>Statement of changes in equity</t>
  </si>
  <si>
    <t>Changes in equity</t>
  </si>
  <si>
    <t>Comprehensive income</t>
  </si>
  <si>
    <t>Contributions by and distributions to owners</t>
  </si>
  <si>
    <t>Acquisition (dilution) of equity interest in subsidiaries</t>
  </si>
  <si>
    <t>Arising from conversion of Irredeemable Convertible Unsecured Loan Stock (ICULS)</t>
  </si>
  <si>
    <t>Issuance of shares</t>
  </si>
  <si>
    <t>Issue of convertible notes, net of tax</t>
  </si>
  <si>
    <t>Increase (decrease) through share-based payment transactions, equity</t>
  </si>
  <si>
    <t>Treasury shares transactions</t>
  </si>
  <si>
    <t>Other transactions with owners</t>
  </si>
  <si>
    <t>Increase (decrease) through other changes, equity</t>
  </si>
  <si>
    <t>Retained earnings</t>
  </si>
  <si>
    <t>Sub-total of non-distributable reserves</t>
  </si>
  <si>
    <t>Fair value reserve</t>
  </si>
  <si>
    <t>Sub-Total of distributable reserves</t>
  </si>
  <si>
    <t>Equity attributable to owners</t>
  </si>
  <si>
    <t>Equity, others components</t>
  </si>
  <si>
    <t>Non-controlling interests</t>
  </si>
  <si>
    <t>Total</t>
  </si>
  <si>
    <t>Edit Components of equity</t>
  </si>
  <si>
    <t>full_ifrs-cor_2022-03-24.xsd#ifrs-full_StatementOfChangesInEquityTable::full_ifrs-cor_2022-03-24.xsd#ifrs-full_ComponentsOfEquityAxis</t>
  </si>
  <si>
    <t>fb9d9c63-bb90-4d43-8d3b-62334f905062:~:SOCIE_2:~:NotMandatory:~:True:~:1:~:True:~:&lt;?xml version="1.0" encoding="utf-16"?&gt;_x000D_
&lt;Customization xmlns:xsi="http://www.w3.org/2001/XMLSchema-instance" xmlns:xsd="http://www.w3.org/2001/XMLSchema" ComparitiveDate="False" LayoutByDate="True" LayoutByCompany="True" ShowAllDomains="True" TotalDomain="True" DefaultDates="2" /&gt;:~:LytHyc:~:full_ifrs-cor_2022-03-24.xsd#ifrs-full_StatementOfChangesInEquityTable:~:False:~:False:~:ssmt-mfrs-cor_2022-12-31.xsd#ssmt-mfrs_DisclosureOfChangesInEquityAbstract@http://www.xbrl.org/2003/role/label::full_ifrs-cor_2022-03-24.xsd#ifrs-full_StatementOfChangesInEquityAbstract@http://www.xbrl.org/2003/role/label::full_ifrs-cor_2022-03-24.xsd#ifrs-full_StatementOfChangesInEquityLineItems@http://www.xbrl.org/2003/role/label:~:full_ifrs-cor_2022-03-24.xsd#ifrs-full_StatementOfChangesInEquityTable</t>
  </si>
  <si>
    <r>
      <t>*</t>
    </r>
    <r>
      <rPr>
        <sz val="10"/>
        <color indexed="8"/>
        <rFont val="Verdana"/>
        <family val="2"/>
      </rPr>
      <t>Equity at beginning of period</t>
    </r>
  </si>
  <si>
    <r>
      <t>*</t>
    </r>
    <r>
      <rPr>
        <sz val="10"/>
        <color indexed="8"/>
        <rFont val="Verdana"/>
        <family val="2"/>
      </rPr>
      <t>Impact of changes in accounting policies</t>
    </r>
  </si>
  <si>
    <r>
      <t>*</t>
    </r>
    <r>
      <rPr>
        <sz val="10"/>
        <color indexed="8"/>
        <rFont val="Verdana"/>
        <family val="2"/>
      </rPr>
      <t>Equity at beginning of period, restated</t>
    </r>
  </si>
  <si>
    <r>
      <t>*</t>
    </r>
    <r>
      <rPr>
        <sz val="10"/>
        <color indexed="8"/>
        <rFont val="Verdana"/>
        <family val="2"/>
      </rPr>
      <t>Total other comprehensive income</t>
    </r>
  </si>
  <si>
    <r>
      <t>*</t>
    </r>
    <r>
      <rPr>
        <b/>
        <sz val="10"/>
        <color indexed="8"/>
        <rFont val="Verdana"/>
        <family val="2"/>
      </rPr>
      <t>Total increase (decrease) in equity</t>
    </r>
  </si>
  <si>
    <r>
      <t>*</t>
    </r>
    <r>
      <rPr>
        <sz val="10"/>
        <color indexed="8"/>
        <rFont val="Verdana"/>
        <family val="2"/>
      </rPr>
      <t>Equity at end of period</t>
    </r>
  </si>
  <si>
    <t>FS-MFRS  Statement of Changes in Equity</t>
  </si>
  <si>
    <t>5069e8ec-c0a1-46eb-94a0-64db788ac3d5:~:AtleastOneValueInAnyLayout:~:True:~:&lt;?xml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/&gt;:~:http://xbrl.ssm.com.my/role/ssm/rol_ssmt-fs-mfrs_2022-12-31/ssmt-fs-mfrs_2022-12-31_role-710000:~:None</t>
  </si>
  <si>
    <t>662ab443-f8d8-452e-874f-2a6740e8439b:~:Notes-CI_1_TBLYT:~:NotMandatory:~:False:~:0:~:True:~:&lt;?xml version="1.0" encoding="utf-16"?&gt;_x000D_
&lt;Customization xmlns:xsi="http://www.w3.org/2001/XMLSchema-instance" xmlns:xsd="http://www.w3.org/2001/XMLSchema" ComparitiveDate="False" LayoutByDate="False" LayoutByCompany="False" ShowAllDomains="False" TotalDomain="True" DefaultDates="1" /&gt;:~:LytTxb:~::~:False:~:True:~:ssmt-mfrs-cor_2022-12-31.xsd#ssmt-mfrs_DisclosureOnCorporateInformationAbstract@http://www.xbrl.org/2003/role/label:~:</t>
  </si>
  <si>
    <t>ssmt-mfrs-cor_2022-12-31.xsd#ssmt-mfrs_DisclosureOnCorporateInformationAbstract</t>
  </si>
  <si>
    <t>ssmt-mfrs-cor_2022-12-31.xsd#ssmt-mfrs_CorporateInformationAbstract</t>
  </si>
  <si>
    <t>ssmt-mfrs-cor_2022-12-31.xsd#ssmt-mfrs_DisclosureOfCorporateInformationExplanatory</t>
  </si>
  <si>
    <t>ssmt-mfrs-cor_2022-12-31.xsd#ssmt-mfrs_FinancialReportingStatusAbstract</t>
  </si>
  <si>
    <t>ssmt-mfrs-cor_2022-12-31.xsd#ssmt-mfrs_ExplanationOfReasonsForRestatementOfPreviousFinancialStatementsFiguresExplanatory</t>
  </si>
  <si>
    <t>ssmt-mfrs-cor_2022-12-31.xsd#ssmt-mfrs_ExplanationOfReasonsForReclassificationOfPreviousFinancialStatementsFiguresExplanatory</t>
  </si>
  <si>
    <t>ssmt-mfrs-cor_2022-12-31.xsd#ssmt-mfrs_ExplanationOfReasonsForUsingLongerOrShorterReportingPeriodExplanatory</t>
  </si>
  <si>
    <t>Disclosure on corporate information</t>
  </si>
  <si>
    <t>Corporate information</t>
  </si>
  <si>
    <t>Financial reporting status</t>
  </si>
  <si>
    <t>Explanation of reasons for the restatement of previous financial statements figures</t>
  </si>
  <si>
    <t>Explanation of reasons for the reclassification of previous financial statements figures</t>
  </si>
  <si>
    <t>Explanation of reasons for using longer or shorter reporting period</t>
  </si>
  <si>
    <r>
      <t>*</t>
    </r>
    <r>
      <rPr>
        <sz val="10"/>
        <color indexed="8"/>
        <rFont val="Verdana"/>
        <family val="2"/>
      </rPr>
      <t>Disclosure of corporate information</t>
    </r>
  </si>
  <si>
    <t>FS-MFRS  Notes - Corporate information</t>
  </si>
  <si>
    <t>a90f1e21-7e3e-42dc-9704-2f963deabe82:~:AtleastOneValueInAnyLayout:~:True:~:&lt;?xml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/&gt;:~:http://xbrl.ssm.com.my/role/ssm/rol_ssmt-fs-mfrs_2022-12-31/ssmt-fs-mfrs_2022-12-31_role-720000:~:None</t>
  </si>
  <si>
    <t>e490abaa-19a8-448a-ac8f-2c875e12833d:~:Notes-SummaryofAccPol_1_TBLYT:~:NotMandatory:~:False:~:0:~:True:~:&lt;?xml version="1.0" encoding="utf-16"?&gt;_x000D_
&lt;Customization xmlns:xsi="http://www.w3.org/2001/XMLSchema-instance" xmlns:xsd="http://www.w3.org/2001/XMLSchema" ComparitiveDate="False" LayoutByDate="False" LayoutByCompany="False" ShowAllDomains="False" TotalDomain="True" DefaultDates="1" /&gt;:~:LytTxb:~::~:False:~:True:~:ssmt-cor_2022-12-31.xsd#ssmt_DisclosureOnSummaryOfMaterialAccountingPoliciesAbstract@http://www.xbrl.org/2003/role/label:~:</t>
  </si>
  <si>
    <t>ssmt-cor_2022-12-31.xsd#ssmt_DisclosureOnSummaryOfMaterialAccountingPoliciesAbstract</t>
  </si>
  <si>
    <t>full_ifrs-cor_2022-03-24.xsd#ifrs-full_DisclosureOfMaterialAccountingPolicyInformationExplanatory</t>
  </si>
  <si>
    <t>full_ifrs-cor_2022-03-24.xsd#ifrs-full_DescriptionOfAccountingPolicyForBiologicalAssetsExplanatory</t>
  </si>
  <si>
    <t>full_ifrs-cor_2022-03-24.xsd#ifrs-full_DescriptionOfAccountingPolicyForBorrowingCostsExplanatory</t>
  </si>
  <si>
    <t>full_ifrs-cor_2022-03-24.xsd#ifrs-full_DescriptionOfAccountingPolicyForBorrowingsExplanatory</t>
  </si>
  <si>
    <t>full_ifrs-cor_2022-03-24.xsd#ifrs-full_DescriptionOfAccountingPolicyForBusinessCombinationsExplanatory</t>
  </si>
  <si>
    <t>full_ifrs-cor_2022-03-24.xsd#ifrs-full_DescriptionOfAccountingPolicyForCashFlowsExplanatory@http://xbrl.ssm.com.my/role/ssm/lab_rol_ssmt-fs-mfrs_2022-12-31/ReportingLabel</t>
  </si>
  <si>
    <t>ssmt-mfrs-cor_2022-12-31.xsd#ssmt-mfrs_DescriptionOfAccountingPolicyForCommodityFutureAndForwardContractsExplanatory</t>
  </si>
  <si>
    <t>ssmt-mfrs-cor_2022-12-31.xsd#ssmt-mfrs_DescriptionOfAccountingPolicyForConstructionContractExplanatory</t>
  </si>
  <si>
    <t>full_ifrs-cor_2022-03-24.xsd#ifrs-full_DescriptionOfAccountingPolicyForConstructionInProgressExplanatory</t>
  </si>
  <si>
    <t>full_ifrs-cor_2022-03-24.xsd#ifrs-full_DescriptionOfAccountingPolicyForContingentLiabilitiesAndContingentAssetsExplanatory</t>
  </si>
  <si>
    <t>full_ifrs-cor_2022-03-24.xsd#ifrs-full_DescriptionOfAccountingPolicyForCustomerLoyaltyProgrammesExplanatory</t>
  </si>
  <si>
    <t>full_ifrs-cor_2022-03-24.xsd#ifrs-full_DescriptionOfAccountingPolicyForDecommissioningRestorationAndRehabilitationProvisionsExplanatory</t>
  </si>
  <si>
    <t>full_ifrs-cor_2022-03-24.xsd#ifrs-full_DescriptionOfAccountingPolicyForDeferredIncomeTaxExplanatory</t>
  </si>
  <si>
    <t>full_ifrs-cor_2022-03-24.xsd#ifrs-full_DescriptionOfAccountingPolicyForDepreciationExpenseExplanatory</t>
  </si>
  <si>
    <t>full_ifrs-cor_2022-03-24.xsd#ifrs-full_DescriptionOfAccountingPolicyForDiscontinuedOperationsExplanatory</t>
  </si>
  <si>
    <t>full_ifrs-cor_2022-03-24.xsd#ifrs-full_DescriptionOfAccountingPolicyForDividendsExplanatory@http://xbrl.ssm.com.my/role/ssm/lab_rol_ssmt-fs-mfrs_2022-12-31/ReportingLabel</t>
  </si>
  <si>
    <t>full_ifrs-cor_2022-03-24.xsd#ifrs-full_DescriptionOfAccountingPolicyForEarningsPerShareExplanatory</t>
  </si>
  <si>
    <t>full_ifrs-cor_2022-03-24.xsd#ifrs-full_DescriptionOfAccountingPolicyForEmissionRightsExplanatory</t>
  </si>
  <si>
    <t>full_ifrs-cor_2022-03-24.xsd#ifrs-full_DescriptionOfAccountingPolicyForEmployeeBenefitsExplanatory</t>
  </si>
  <si>
    <t>ssmt-mfrs-cor_2022-12-31.xsd#ssmt-mfrs_DescriptionOfAccountingPolicyForEquityInstrumentsExplanatory</t>
  </si>
  <si>
    <t>full_ifrs-cor_2022-03-24.xsd#ifrs-full_DescriptionOfAccountingPolicyForExplorationAndEvaluationExpenditures@http://xbrl.ssm.com.my/role/ssm/lab_rol_ssmt-fs-mfrs_2022-12-31/ReportingLabel</t>
  </si>
  <si>
    <t>full_ifrs-cor_2022-03-24.xsd#ifrs-full_DescriptionOfAccountingPolicyForFairValueMeasurementExplanatory</t>
  </si>
  <si>
    <t>full_ifrs-cor_2022-03-24.xsd#ifrs-full_DescriptionOfAccountingPolicyForFinanceIncomeAndCostsExplanatory</t>
  </si>
  <si>
    <t>full_ifrs-cor_2022-03-24.xsd#ifrs-full_DescriptionOfAccountingPolicyForFinancialGuaranteesExplanatory@http://xbrl.ssm.com.my/role/ssm/lab_rol_ssmt-fs-mfrs_2022-12-31/ReportingLabel</t>
  </si>
  <si>
    <t>full_ifrs-cor_2022-03-24.xsd#ifrs-full_DescriptionOfAccountingPolicyForForeignCurrencyTranslationExplanatory@http://xbrl.ssm.com.my/role/ssm/lab_rol_ssmt-fs-mfrs_2022-12-31/ReportingLabel</t>
  </si>
  <si>
    <t>full_ifrs-cor_2022-03-24.xsd#ifrs-full_DescriptionOfAccountingPolicyForGoodwillExplanatory</t>
  </si>
  <si>
    <t>full_ifrs-cor_2022-03-24.xsd#ifrs-full_DescriptionOfAccountingPolicyForGovernmentGrants</t>
  </si>
  <si>
    <t>full_ifrs-cor_2022-03-24.xsd#ifrs-full_DescriptionOfAccountingPolicyForImpairmentOfFinancialAssetsExplanatory</t>
  </si>
  <si>
    <t>full_ifrs-cor_2022-03-24.xsd#ifrs-full_DescriptionOfAccountingPolicyForImpairmentOfNonfinancialAssetsExplanatory@http://xbrl.ssm.com.my/role/ssm/lab_rol_ssmt-fs-mfrs_2022-12-31/ReportingLabel</t>
  </si>
  <si>
    <t>full_ifrs-cor_2022-03-24.xsd#ifrs-full_DescriptionOfAccountingPolicyForIncomeTaxExplanatory</t>
  </si>
  <si>
    <t>full_ifrs-cor_2022-03-24.xsd#ifrs-full_DescriptionOfAccountingPolicyForIntangibleAssetsOtherThanGoodwillExplanatory</t>
  </si>
  <si>
    <t>full_ifrs-cor_2022-03-24.xsd#ifrs-full_DescriptionOfAccountingPolicyForInterestIncomeAndExpenseExplanatory</t>
  </si>
  <si>
    <t>full_ifrs-cor_2022-03-24.xsd#ifrs-full_DescriptionOfAccountingPolicyForMeasuringInventories@http://xbrl.ssm.com.my/role/ssm/lab_rol_ssmt-fs-mfrs_2022-12-31/ReportingLabel</t>
  </si>
  <si>
    <t>full_ifrs-cor_2022-03-24.xsd#ifrs-full_DescriptionOfAccountingPolicyForInvestmentInAssociates</t>
  </si>
  <si>
    <t>full_ifrs-cor_2022-03-24.xsd#ifrs-full_DescriptionOfAccountingPolicyForInvestmentPropertyExplanatory</t>
  </si>
  <si>
    <t>full_ifrs-cor_2022-03-24.xsd#ifrs-full_DescriptionOfAccountingPolicyForInvestmentsInJointVentures@http://xbrl.ssm.com.my/role/ssm/lab_rol_ssmt-fs-mfrs_2022-12-31/ReportingLabel</t>
  </si>
  <si>
    <t>ssmt-mfrs-cor_2022-12-31.xsd#ssmt-mfrs_DescriptionOfAccountingPolicyForInvestmentInSubsidiariesExplanatory</t>
  </si>
  <si>
    <t>ssmt-mfrs-cor_2022-12-31.xsd#ssmt-mfrs_DescriptionOfAccountingPolicyForIrredemableCovertibleUnsecuredLoanStockExplanatory</t>
  </si>
  <si>
    <t>full_ifrs-cor_2022-03-24.xsd#ifrs-full_DescriptionOfAccountingPolicyForLeasesExplanatory</t>
  </si>
  <si>
    <t>ssmt-mfrs-cor_2022-12-31.xsd#ssmt-mfrs_DescriptionOfAccountingPolicyForLossOfControlExplanatory</t>
  </si>
  <si>
    <t>full_ifrs-cor_2022-03-24.xsd#ifrs-full_DescriptionOfAccountingPolicyForNoncurrentAssetsOrDisposalGroupsClassifiedAsHeldForSaleExplanatory</t>
  </si>
  <si>
    <t>full_ifrs-cor_2022-03-24.xsd#ifrs-full_DescriptionOfAccountingPolicyForSegmentReportingExplanatory@http://xbrl.ssm.com.my/role/ssm/lab_rol_ssmt-fs-mfrs_2022-12-31/ReportingLabel</t>
  </si>
  <si>
    <t>full_ifrs-cor_2022-03-24.xsd#ifrs-full_DescriptionOfAccountingPolicyForProvisionsExplanatory@http://xbrl.ssm.com.my/role/ssm/lab_rol_ssmt-fs-mfrs_2022-12-31/ReportingLabel</t>
  </si>
  <si>
    <t>ssmt-mfrs-cor_2022-12-31.xsd#ssmt-mfrs_DescriptionOfAccountingPolicyForPropertyDevelopmentCostsExplanatory</t>
  </si>
  <si>
    <t>full_ifrs-cor_2022-03-24.xsd#ifrs-full_DescriptionOfAccountingPolicyForPropertyPlantAndEquipmentExplanatory</t>
  </si>
  <si>
    <t>full_ifrs-cor_2022-03-24.xsd#ifrs-full_DescriptionOfAccountingPolicyForRecognitionOfRevenue@http://xbrl.ssm.com.my/role/ssm/lab_rol_ssmt-fs-mfrs_2022-12-31/ReportingLabel</t>
  </si>
  <si>
    <t>full_ifrs-cor_2022-03-24.xsd#ifrs-full_DescriptionOfAccountingPolicyForResearchAndDevelopmentExpenseExplanatory</t>
  </si>
  <si>
    <t>full_ifrs-cor_2022-03-24.xsd#ifrs-full_DescriptionOfAccountingPolicyForIssuedCapitalExplanatory@http://xbrl.ssm.com.my/role/ssm/lab_rol_ssmt-fs-mfrs_2022-12-31/ReportingLabel</t>
  </si>
  <si>
    <t>full_ifrs-cor_2022-03-24.xsd#ifrs-full_DescriptionOfAccountingPolicyForSharebasedPaymentTransactionsExplanatory</t>
  </si>
  <si>
    <t>full_ifrs-cor_2022-03-24.xsd#ifrs-full_DescriptionOfAccountingPolicyForTransactionsWithNoncontrollingInterestsExplanatory</t>
  </si>
  <si>
    <t>full_ifrs-cor_2022-03-24.xsd#ifrs-full_DescriptionOfAccountingPolicyForTransactionsWithRelatedPartiesExplanatory</t>
  </si>
  <si>
    <t>full_ifrs-cor_2022-03-24.xsd#ifrs-full_DescriptionOfAccountingPolicyForTreasurySharesExplanatory</t>
  </si>
  <si>
    <t>full_ifrs-cor_2022-03-24.xsd#ifrs-full_DescriptionOfAccountingPolicyForWarrantsExplanatory</t>
  </si>
  <si>
    <t>ssmt-mfrs-cor_2022-12-31.xsd#ssmt-mfrs_DescriptionOfAccountingPolicyForOtherSignificantAccountingPoliciesRelevantToUnderstandingOfFinancialStatementsExplanatory@http://xbrl.ssm.com.my/role/ssm/lab_rol_ssmt-fs-mfrs_2022-12-31/ReportingLabel</t>
  </si>
  <si>
    <t>Disclosure on summary of material accounting policies</t>
  </si>
  <si>
    <t>Description of accounting policy for biological assets</t>
  </si>
  <si>
    <t>Description of accounting policy for borrowing costs</t>
  </si>
  <si>
    <t>Description of accounting policy for borrowings</t>
  </si>
  <si>
    <t>Description of accounting policy for business combinations</t>
  </si>
  <si>
    <t>Description of accounting policy for cash and cash equivalents</t>
  </si>
  <si>
    <t>Description of accounting policy for commodity future and forward contracts</t>
  </si>
  <si>
    <t>Description of accounting policy for construction contracts</t>
  </si>
  <si>
    <t>Description of accounting policy for construction in progress</t>
  </si>
  <si>
    <t>Description of accounting policy for contingent liabilities and contingent assets</t>
  </si>
  <si>
    <t>Description of accounting policy for customer loyalty programmes</t>
  </si>
  <si>
    <t>Description of accounting policy for decommissioning, restoration and rehabilitation provisions</t>
  </si>
  <si>
    <t>Description of accounting policy for deferred income tax</t>
  </si>
  <si>
    <t>Description of accounting policy for depreciation expense</t>
  </si>
  <si>
    <t>Description of accounting policy for discontinued operations</t>
  </si>
  <si>
    <t>Description of accounting policy for dividend income</t>
  </si>
  <si>
    <t>Description of accounting policy for earnings per share</t>
  </si>
  <si>
    <t>Description of accounting policy for emission rights</t>
  </si>
  <si>
    <t>Description of accounting policy for employee benefits</t>
  </si>
  <si>
    <t>Description of accounting policy for equity instruments</t>
  </si>
  <si>
    <t>Description of accounting policy for exploration and development expenditures</t>
  </si>
  <si>
    <t>Description of accounting policy for fair value measurement</t>
  </si>
  <si>
    <t>Description of accounting policy for finance income and costs</t>
  </si>
  <si>
    <t>Description of accounting policy for financial instruments</t>
  </si>
  <si>
    <t>Description of accounting policy for foreign currencies</t>
  </si>
  <si>
    <t>Description of accounting policy for goodwill</t>
  </si>
  <si>
    <t>Description of accounting policy for government grants</t>
  </si>
  <si>
    <t>Description of accounting policy for impairment of financial assets</t>
  </si>
  <si>
    <t>Description of accounting policy for impairment of other assets</t>
  </si>
  <si>
    <t>Description of accounting policy for income tax</t>
  </si>
  <si>
    <t>Description of accounting policy for intangible assets other than goodwill</t>
  </si>
  <si>
    <t>Description of accounting policy for interest income and expense</t>
  </si>
  <si>
    <t>Description of accounting policy for inventories</t>
  </si>
  <si>
    <t>Description of accounting policy for investment in associates</t>
  </si>
  <si>
    <t>Description of accounting policy for investment property</t>
  </si>
  <si>
    <t>Description of accounting policy for investments in joint arrangements</t>
  </si>
  <si>
    <t>Description of accounting policy for investments in subsidiaries</t>
  </si>
  <si>
    <t>Description of accounting policy for irredeemable convertible unsecured loan stocks (“ICULS”)</t>
  </si>
  <si>
    <t>Description of accounting policy for leases</t>
  </si>
  <si>
    <t>Description of accounting policy for loss of control</t>
  </si>
  <si>
    <t>Description of accounting policy for non-current assets or disposal groups classified as held for sale</t>
  </si>
  <si>
    <t>Description of accounting policy for operating segment reporting</t>
  </si>
  <si>
    <t>Description of accounting policy for other provisions</t>
  </si>
  <si>
    <t>Description of accounting policy for property development costs</t>
  </si>
  <si>
    <t>Description of accounting policy for property, plant and equipment</t>
  </si>
  <si>
    <t>Description of accounting policy for recognition of revenue and other income</t>
  </si>
  <si>
    <t>Description of accounting policy for research and development expense</t>
  </si>
  <si>
    <t>Description of accounting policy for share capital</t>
  </si>
  <si>
    <t>Description of accounting policy for share-based payment transactions</t>
  </si>
  <si>
    <t>Description of accounting policy for transactions with non-controlling interests</t>
  </si>
  <si>
    <t>Description of accounting policy for transactions with related parties</t>
  </si>
  <si>
    <t>Description of accounting policy for treasury shares</t>
  </si>
  <si>
    <t>Description of accounting policy for warrants</t>
  </si>
  <si>
    <t>Description of other material accounting policies relevant to understanding of financial statements</t>
  </si>
  <si>
    <r>
      <t>*</t>
    </r>
    <r>
      <rPr>
        <sz val="10"/>
        <color indexed="8"/>
        <rFont val="Verdana"/>
        <family val="2"/>
      </rPr>
      <t>Disclosure of material accounting policy information</t>
    </r>
  </si>
  <si>
    <t>FS-MFRS  Notes - Summary of material accounting policies</t>
  </si>
  <si>
    <t>db14f0c7-814d-4a6c-a41b-3a0a6beb4d4b:~:AtleastOneValueInAnyLayout:~:True:~:&lt;?xml version="1.0" encoding="utf-16"?&gt;_x000D_
&lt;Customization xmlns:xsi="http://www.w3.org/2001/XMLSchema-instance" xmlns:xsd="http://www.w3.org/2001/XMLSchema" ComparitiveDate="False" LayoutByDate="False" LayoutByCompany="False" ShowAllDomains="False" TotalDomain="True" DefaultDates="1" /&gt;:~:http://xbrl.ssm.com.my/role/ssm/rol_ssmt-fs-mfrs_2022-12-31/ssmt-fs-mfrs_2022-12-31_role-730000:~:None</t>
  </si>
  <si>
    <t>e0cebb24-6153-4b96-b15e-e337c57b86b3:~:Notes-Listofnotes_1_TBLYT:~:NotMandatory:~:False:~:0:~:True:~:&lt;?xml version="1.0" encoding="utf-16"?&gt;_x000D_
&lt;Customization xmlns:xsi="http://www.w3.org/2001/XMLSchema-instance" xmlns:xsd="http://www.w3.org/2001/XMLSchema" ComparitiveDate="False" LayoutByDate="False" LayoutByCompany="False" ShowAllDomains="False" TotalDomain="True" DefaultDates="1" /&gt;:~:LytTxb:~::~:False:~:True:~:ssmt-mfrs-cor_2022-12-31.xsd#ssmt-mfrs_DisclosureOfNotesAndOtherExplanatoryInformationAbstract@http://www.xbrl.org/2003/role/label:~:</t>
  </si>
  <si>
    <t>ssmt-mfrs-cor_2022-12-31.xsd#ssmt-mfrs_DisclosureOfNotesAndOtherExplanatoryInformationAbstract</t>
  </si>
  <si>
    <t>full_ifrs-cor_2022-03-24.xsd#ifrs-full_DisclosureOfAccruedExpensesAndOtherLiabilitiesExplanatory</t>
  </si>
  <si>
    <t>ssmt-mfrs-cor_2022-12-31.xsd#ssmt-mfrs_DisclosureOfAcquisitionsAndDisposalsExplanatory</t>
  </si>
  <si>
    <t>full_ifrs-cor_2022-03-24.xsd#ifrs-full_DisclosureOfAllowanceForCreditLossesExplanatory</t>
  </si>
  <si>
    <t>ssmt-mfrs-cor_2022-12-31.xsd#ssmt-mfrs_DisclosureOfAmendmentsToMFRSandPronouncementsIssuedByMASBExplanatory</t>
  </si>
  <si>
    <t>full_ifrs-cor_2022-03-24.xsd#ifrs-full_DisclosureOfAuditorsRemunerationExplanatory</t>
  </si>
  <si>
    <t>full_ifrs-cor_2022-03-24.xsd#ifrs-full_DisclosureOfAuthorisationOfFinancialStatementsExplanatory</t>
  </si>
  <si>
    <t>full_ifrs-cor_2022-03-24.xsd#ifrs-full_DisclosureOfBasisOfPreparationOfFinancialStatementsExplanatory</t>
  </si>
  <si>
    <t>full_ifrs-cor_2022-03-24.xsd#ifrs-full_DisclosureOfBiologicalAssetsAndGovernmentGrantsForAgriculturalActivityExplanatory@http://xbrl.ssm.com.my/role/ssm/lab_rol_ssmt-fs-mfrs_2022-12-31/ReportingLabel</t>
  </si>
  <si>
    <t>ssmt-mfrs-cor_2022-12-31.xsd#ssmt-mfrs_DisclosureOfBondsExplanatory</t>
  </si>
  <si>
    <t>full_ifrs-cor_2022-03-24.xsd#ifrs-full_DisclosureOfBorrowingsExplanatory</t>
  </si>
  <si>
    <t>full_ifrs-cor_2022-03-24.xsd#ifrs-full_DisclosureOfBusinessCombinationsExplanatory</t>
  </si>
  <si>
    <t>ssmt-mfrs-cor_2022-12-31.xsd#ssmt-mfrs_DisclosureOfCapitalCommitmentsExplanatory@http://xbrl.ssm.com.my/role/ssm/lab_rol_ssmt-fs-mfrs_2022-12-31/ReportingLabel</t>
  </si>
  <si>
    <t>ssmt-mfrs-cor_2022-12-31.xsd#ssmt-mfrs_DisclosureOfCapitalRiskManagementExplanatory@http://xbrl.ssm.com.my/role/ssm/lab_rol_ssmt-fs-mfrs_2022-12-31/ReportingLabel</t>
  </si>
  <si>
    <t>full_ifrs-cor_2022-03-24.xsd#ifrs-full_DisclosureOfCashAndBankBalancesAtCentralBanksExplanatory</t>
  </si>
  <si>
    <t>full_ifrs-cor_2022-03-24.xsd#ifrs-full_DisclosureOfCashAndCashEquivalentsExplanatory</t>
  </si>
  <si>
    <t>full_ifrs-cor_2022-03-24.xsd#ifrs-full_DisclosureOfCashFlowStatementExplanatory@http://xbrl.ssm.com.my/role/ssm/lab_rol_ssmt-fs-mfrs_2022-12-31/ReportingLabel</t>
  </si>
  <si>
    <t>ssmt-mfrs-cor_2022-12-31.xsd#ssmt-mfrs_DisclosureOfCashHeldUnderHousingDevelopmentAccountsExplanatory</t>
  </si>
  <si>
    <t>full_ifrs-cor_2022-03-24.xsd#ifrs-full_DisclosureOfChangesInAccountingPoliciesAccountingEstimatesAndErrorsExplanatory</t>
  </si>
  <si>
    <t>full_ifrs-cor_2022-03-24.xsd#ifrs-full_DisclosureOfClaimsAndBenefitsPaidExplanatory</t>
  </si>
  <si>
    <t>full_ifrs-cor_2022-03-24.xsd#ifrs-full_DisclosureOfCollateralExplanatory</t>
  </si>
  <si>
    <t>ssmt-mfrs-cor_2022-12-31.xsd#ssmt-mfrs_DisclosureOfCommodityPriceRiskExplanatory</t>
  </si>
  <si>
    <t>full_ifrs-cor_2022-03-24.xsd#ifrs-full_DisclosureOfComparativeInformationPreparedUnderPreviousGAAPExplanatory@http://xbrl.ssm.com.my/role/ssm/lab_rol_ssmt-fs-mfrs_2022-12-31/ReportingLabel</t>
  </si>
  <si>
    <t>ssmt-mfrs-cor_2022-12-31.xsd#ssmt-mfrs_DisclosureOfConstructionContractsExplanatory</t>
  </si>
  <si>
    <t>ssmt-mfrs-cor_2022-12-31.xsd#ssmt-mfrs_DisclosureOfContingentAssetsAndContingentLiabilitiesExplanatory</t>
  </si>
  <si>
    <t>ssmt-mfrs-cor_2022-12-31.xsd#ssmt-mfrs_DisclosureOfCorporateProposalsExplanatory</t>
  </si>
  <si>
    <t>full_ifrs-cor_2022-03-24.xsd#ifrs-full_DisclosureOfCostOfSalesExplanatory</t>
  </si>
  <si>
    <t>full_ifrs-cor_2022-03-24.xsd#ifrs-full_DisclosureOfCreditRiskExplanatory</t>
  </si>
  <si>
    <t>full_ifrs-cor_2022-03-24.xsd#ifrs-full_DisclosureOfAccountingJudgementsAndEstimatesExplanatory@http://xbrl.ssm.com.my/role/ssm/lab_rol_ssmt-fs-mfrs_2022-12-31/ReportingLabel</t>
  </si>
  <si>
    <t>full_ifrs-cor_2022-03-24.xsd#ifrs-full_DisclosureOfDeferredIncomeExplanatory</t>
  </si>
  <si>
    <t>full_ifrs-cor_2022-03-24.xsd#ifrs-full_DisclosureOfDeferredTaxesExplanatory@http://xbrl.ssm.com.my/role/ssm/lab_rol_ssmt-fs-mfrs_2022-12-31/ReportingLabel</t>
  </si>
  <si>
    <t>full_ifrs-cor_2022-03-24.xsd#ifrs-full_DisclosureOfDepositsFromBanksExplanatory</t>
  </si>
  <si>
    <t>ssmt-mfrs-cor_2022-12-31.xsd#ssmt-mfrs_DisclosureOfDepositsPlacedWithLicensedBanksExplanatory</t>
  </si>
  <si>
    <t>full_ifrs-cor_2022-03-24.xsd#ifrs-full_DisclosureOfDepreciationAndAmortisationExpenseExplanatory</t>
  </si>
  <si>
    <t>full_ifrs-cor_2022-03-24.xsd#ifrs-full_DisclosureOfDerivativeFinancialInstrumentsExplanatory@http://xbrl.ssm.com.my/role/ssm/lab_rol_ssmt-fs-mfrs_2022-12-31/ReportingLabel</t>
  </si>
  <si>
    <t>ssmt-mfrs-cor_2022-12-31.xsd#ssmt-mfrs_DisclosureOfDevelopmentExpenditureExplanatory</t>
  </si>
  <si>
    <t>full_ifrs-cor_2022-03-24.xsd#ifrs-full_DisclosureOfDiscontinuedOperationsExplanatory</t>
  </si>
  <si>
    <t>ssmt-mfrs-cor_2022-12-31.xsd#ssmt-mfrs_DisclosureOfDisposalOfSubsidiariesExplanatory</t>
  </si>
  <si>
    <t>full_ifrs-cor_2022-03-24.xsd#ifrs-full_DisclosureOfDividendsExplanatory</t>
  </si>
  <si>
    <t>full_ifrs-cor_2022-03-24.xsd#ifrs-full_DisclosureOfEarningsPerShareExplanatory@http://xbrl.ssm.com.my/role/ssm/lab_rol_ssmt-fs-mfrs_2022-12-31/ReportingLabel</t>
  </si>
  <si>
    <t>full_ifrs-cor_2022-03-24.xsd#ifrs-full_DisclosureOfEffectOfChangesInForeignExchangeRatesExplanatory</t>
  </si>
  <si>
    <t>full_ifrs-cor_2022-03-24.xsd#ifrs-full_DisclosureOfEmployeeBenefitsExplanatory@http://xbrl.ssm.com.my/role/ssm/lab_rol_ssmt-fs-mfrs_2022-12-31/ReportingLabel</t>
  </si>
  <si>
    <t>ssmt-mfrs-cor_2022-12-31.xsd#ssmt-mfrs_DisclosureOfEmploymentTerminationBenefitsExplanatory</t>
  </si>
  <si>
    <t>full_ifrs-cor_2022-03-24.xsd#ifrs-full_DisclosureOfEntitysReportableSegmentsExplanatory</t>
  </si>
  <si>
    <t>ssmt-mfrs-cor_2022-12-31.xsd#ssmt-mfrs_DisclosureOfEquityPriceRiskExplanatory</t>
  </si>
  <si>
    <t>full_ifrs-cor_2022-03-24.xsd#ifrs-full_DisclosureOfEventsAfterReportingPeriodExplanatory</t>
  </si>
  <si>
    <t>ssmt-mfrs-cor_2022-12-31.xsd#ssmt-mfrs_DisclosureOfFairValueHierarchyExplanatory@http://xbrl.ssm.com.my/role/ssm/lab_rol_ssmt-fs-mfrs_2022-12-31/ReportingLabel</t>
  </si>
  <si>
    <t>full_ifrs-cor_2022-03-24.xsd#ifrs-full_DisclosureOfFairValueMeasurementExplanatory</t>
  </si>
  <si>
    <t>full_ifrs-cor_2022-03-24.xsd#ifrs-full_DisclosureOfFairValueOfFinancialInstrumentsExplanatory</t>
  </si>
  <si>
    <t>full_ifrs-cor_2022-03-24.xsd#ifrs-full_DisclosureOfFeeAndCommissionIncomeExpenseExplanatory</t>
  </si>
  <si>
    <t>ssmt-mfrs-cor_2022-12-31.xsd#ssmt-mfrs_DisclosureOfFeesForNonAuditServicesProvidedByCompanysAuditorAndItsMemberFirmsExplanatory</t>
  </si>
  <si>
    <t>full_ifrs-cor_2022-03-24.xsd#ifrs-full_DisclosureOfFinanceCostExplanatory@http://xbrl.ssm.com.my/role/ssm/lab_rol_ssmt-fs-mfrs_2022-12-31/ReportingLabel</t>
  </si>
  <si>
    <t>full_ifrs-cor_2022-03-24.xsd#ifrs-full_DisclosureOfFinanceIncomeExplanatory</t>
  </si>
  <si>
    <t>ssmt-mfrs-cor_2022-12-31.xsd#ssmt-mfrs_DisclosureOfFinancialAssetsAndLiabilitiesThatAreMeasuredAtFairValueExplanatory@http://xbrl.ssm.com.my/role/ssm/lab_rol_ssmt-fs-mfrs_2022-12-31/ReportingLabel</t>
  </si>
  <si>
    <t>ssmt-mfrs-cor_2022-12-31.xsd#ssmt-mfrs_DisclosureOfFinancialGuaranteeExplanatory</t>
  </si>
  <si>
    <t>ssmt-mfrs-cor_2022-12-31.xsd#ssmt-mfrs_DisclosureOfFinancialInstrumentsMeasuredAtAmortisedCostExplanatory</t>
  </si>
  <si>
    <t>full_ifrs-cor_2022-03-24.xsd#ifrs-full_DisclosureOfFinancialInstrumentsExplanatory</t>
  </si>
  <si>
    <t>full_ifrs-cor_2022-03-24.xsd#ifrs-full_DisclosureOfFinancialInstrumentsAtFairValueThroughProfitOrLossExplanatory</t>
  </si>
  <si>
    <t>full_ifrs-cor_2022-03-24.xsd#ifrs-full_DisclosureOfFinancialInstrumentsHeldForTradingExplanatory</t>
  </si>
  <si>
    <t>ssmt-mfrs-cor_2022-12-31.xsd#ssmt-mfrs_DisclosureOfFinancialLiabilitiesMeasuredAtAmortisedCostExplanatory</t>
  </si>
  <si>
    <t>full_ifrs-cor_2022-03-24.xsd#ifrs-full_DisclosureOfFirstTimeAdoptionExplanatory</t>
  </si>
  <si>
    <t>ssmt-mfrs-cor_2022-12-31.xsd#ssmt-mfrs_DisclosureOfForeignCurrencyTranslationReserveExplanatory</t>
  </si>
  <si>
    <t>full_ifrs-cor_2022-03-24.xsd#ifrs-full_DisclosureOfGeneralInformationAboutFinancialStatementsExplanatory</t>
  </si>
  <si>
    <t>full_ifrs-cor_2022-03-24.xsd#ifrs-full_DisclosureOfGoingConcernExplanatory</t>
  </si>
  <si>
    <t>ssmt-mfrs-cor_2022-12-31.xsd#ssmt-mfrs_DisclosureOfGrantsAndContributionsExplanatory</t>
  </si>
  <si>
    <t>ssmt-mfrs-cor_2022-12-31.xsd#ssmt-mfrs_DisclosureOfGrossProfitExplanatory</t>
  </si>
  <si>
    <t>ssmt-mfrs-cor_2022-12-31.xsd#ssmt-mfrs_DisclosureOfHeldToMaturityInvestmentExplanatory</t>
  </si>
  <si>
    <t>ssmt-mfrs-cor_2022-12-31.xsd#ssmt-mfrs_DisclosureOfHoldingCompaniesExplanatory</t>
  </si>
  <si>
    <t>full_ifrs-cor_2022-03-24.xsd#ifrs-full_DisclosureOfIncomeTaxExplanatory@http://xbrl.ssm.com.my/role/ssm/lab_rol_ssmt-fs-mfrs_2022-12-31/ReportingLabel</t>
  </si>
  <si>
    <t>full_ifrs-cor_2022-03-24.xsd#ifrs-full_DisclosureOfIntangibleAssetsAndGoodwillExplanatory</t>
  </si>
  <si>
    <t>ssmt-mfrs-cor_2022-12-31.xsd#ssmt-mfrs_DisclosureOfInterestInJointOperationsExplanatory</t>
  </si>
  <si>
    <t>full_ifrs-cor_2022-03-24.xsd#ifrs-full_DisclosureOfInterestsInUnconsolidatedStructuredEntitiesExplanatory</t>
  </si>
  <si>
    <t>ssmt-mfrs-cor_2022-12-31.xsd#ssmt-mfrs_DisclosureOfInterestRateRiskExplanatory</t>
  </si>
  <si>
    <t>full_ifrs-cor_2022-03-24.xsd#ifrs-full_DisclosureOfInventoriesExplanatory</t>
  </si>
  <si>
    <t>full_ifrs-cor_2022-03-24.xsd#ifrs-full_DisclosureOfInvestmentPropertyExplanatory</t>
  </si>
  <si>
    <t>ssmt-mfrs-cor_2022-12-31.xsd#ssmt-mfrs_DisclosureOfInvestmentInAssociateExplanatory</t>
  </si>
  <si>
    <t>ssmt-mfrs-cor_2022-12-31.xsd#ssmt-mfrs_DisclosureOfInvestmentInJointVentureExplanatory</t>
  </si>
  <si>
    <t>ssmt-mfrs-cor_2022-12-31.xsd#ssmt-mfrs_DisclosureOfInvestmentInSubsidiaryCompaniesExplanatory</t>
  </si>
  <si>
    <t>ssmt-mfrs-cor_2022-12-31.xsd#ssmt-mfrs_DisclosureOfIrremedableConvertibleUnsecuredLoanStocksExplanatory</t>
  </si>
  <si>
    <t>ssmt-mfrs-cor_2022-12-31.xsd#ssmt-mfrs_DisclosureOfIslamicFinancingFacilitiesExplanatory</t>
  </si>
  <si>
    <t>full_ifrs-cor_2022-03-24.xsd#ifrs-full_DisclosureOfIssuedCapitalExplanatory</t>
  </si>
  <si>
    <t>ssmt-mfrs-cor_2022-12-31.xsd#ssmt-mfrs_DisclosureOfKeyManagementPersonnelCompensationExplanatory</t>
  </si>
  <si>
    <t>ssmt-mfrs-cor_2022-12-31.xsd#ssmt-mfrs_DisclosureOfLandHeldForDevelopmentExplanatory</t>
  </si>
  <si>
    <t>full_ifrs-cor_2022-03-24.xsd#ifrs-full_DisclosureOfLeasePrepaymentsExplanatory</t>
  </si>
  <si>
    <t>full_ifrs-cor_2022-03-24.xsd#ifrs-full_DisclosureOfLeasesExplanatory</t>
  </si>
  <si>
    <t>full_ifrs-cor_2022-03-24.xsd#ifrs-full_DisclosureOfLiquidityRiskExplanatory</t>
  </si>
  <si>
    <t>ssmt-mfrs-cor_2022-12-31.xsd#ssmt-mfrs_DisclosureOfListOfSubsidiariesJointVenturesAndAssociatesExplanatory</t>
  </si>
  <si>
    <t>full_ifrs-cor_2022-03-24.xsd#ifrs-full_DisclosureOfLoansAndAdvancesToBanksExplanatory</t>
  </si>
  <si>
    <t>ssmt-mfrs-cor_2022-12-31.xsd#ssmt-mfrs_DisclosureOfLoansAndReceivablesExplanatory</t>
  </si>
  <si>
    <t>ssmt-mfrs-cor_2022-12-31.xsd#ssmt-mfrs_DisclosureOfLongTermPayablesExplanatory</t>
  </si>
  <si>
    <t>ssmt-mfrs-cor_2022-12-31.xsd#ssmt-mfrs_DisclosureOfLongTermReceivablesExplanatory</t>
  </si>
  <si>
    <t>ssmt-mfrs-cor_2022-12-31.xsd#ssmt-mfrs_DisclosureOfMaturityAnalysisUnderLiquidityRiskExplanatory</t>
  </si>
  <si>
    <t>full_ifrs-cor_2022-03-24.xsd#ifrs-full_DisclosureOfNetAssetValueAttributableToUnitholdersExplanatory</t>
  </si>
  <si>
    <t>ssmt-mfrs-cor_2022-12-31.xsd#ssmt-mfrs_DisclosureOfNetGainsAndLossesArisingFromFinancialInstrumentsExplanatory</t>
  </si>
  <si>
    <t>full_ifrs-cor_2022-03-24.xsd#ifrs-full_DisclosureOfNoncontrollingInterestsExplanatory</t>
  </si>
  <si>
    <t>full_ifrs-cor_2022-03-24.xsd#ifrs-full_DisclosureOfNoncurrentAssetsHeldForSaleAndDiscontinuedOperationsExplanatory@http://xbrl.ssm.com.my/role/ssm/lab_rol_ssmt-fs-mfrs_2022-12-31/ReportingLabel</t>
  </si>
  <si>
    <t>ssmt-mfrs-cor_2022-12-31.xsd#ssmt-mfrs_DisclosureOfNonderivativeFinancialInstrumentsExplanatory</t>
  </si>
  <si>
    <t>ssmt-mfrs-cor_2022-12-31.xsd#ssmt-mfrs_DisclosureOfNonExecutiveDirectorsFeesExplanatory</t>
  </si>
  <si>
    <t>full_ifrs-cor_2022-03-24.xsd#ifrs-full_DisclosureOfOtherCurrentAssetsExplanatory</t>
  </si>
  <si>
    <t>full_ifrs-cor_2022-03-24.xsd#ifrs-full_DisclosureOfOtherCurrentLiabilitiesExplanatory</t>
  </si>
  <si>
    <t>ssmt-mfrs-cor_2022-12-31.xsd#ssmt-mfrs_DisclosureOfOtherFinancialRiskManagementExplanatory</t>
  </si>
  <si>
    <t>ssmt-mfrs-cor_2022-12-31.xsd#ssmt-mfrs_DisclosureOfOtherGainsAndLossesExplanatory</t>
  </si>
  <si>
    <t>ssmt-mfrs-cor_2022-12-31.xsd#ssmt-mfrs_DisclosureOfOtherGuaranteesExplanatory</t>
  </si>
  <si>
    <t>ssmt-mfrs-cor_2022-12-31.xsd#ssmt-mfrs_DisclosureOfOtherIncomeExplanatory</t>
  </si>
  <si>
    <t>ssmt-mfrs-cor_2022-12-31.xsd#ssmt-mfrs_DisclosureOfOtherInvestmentsExplanatory</t>
  </si>
  <si>
    <t>ssmt-mfrs-cor_2022-12-31.xsd#ssmt-mfrs_DisclosureOfOtherLongTermEmploymentBenefitsExplanatory</t>
  </si>
  <si>
    <t>ssmt-mfrs-cor_2022-12-31.xsd#ssmt-mfrs_DisclosureOfOtherMarketRiskExplanatory</t>
  </si>
  <si>
    <t>full_ifrs-cor_2022-03-24.xsd#ifrs-full_DisclosureOfOtherNoncurrentAssetsExplanatory</t>
  </si>
  <si>
    <t>full_ifrs-cor_2022-03-24.xsd#ifrs-full_DisclosureOfOtherNoncurrentLiabilitiesExplanatory</t>
  </si>
  <si>
    <t>ssmt-mfrs-cor_2022-12-31.xsd#ssmt-mfrs_DisclosureOfOtherNotesToAccountsExplanatory</t>
  </si>
  <si>
    <t>full_ifrs-cor_2022-03-24.xsd#ifrs-full_DisclosureOfOtherOperatingExpenseExplanatory@http://xbrl.ssm.com.my/role/ssm/lab_rol_ssmt-fs-mfrs_2022-12-31/ReportingLabel</t>
  </si>
  <si>
    <t>full_ifrs-cor_2022-03-24.xsd#ifrs-full_DisclosureOfOtherOperatingIncomeExplanatory</t>
  </si>
  <si>
    <t>full_ifrs-cor_2022-03-24.xsd#ifrs-full_DisclosureOfOtherProvisionsExplanatory</t>
  </si>
  <si>
    <t>ssmt-mfrs-cor_2022-12-31.xsd#ssmt-mfrs_DisclosureOfOtherReservesExplanatory</t>
  </si>
  <si>
    <t>ssmt-mfrs-cor_2022-12-31.xsd#ssmt-mfrs_DisclosureOfPerpetualSukukExplanatory</t>
  </si>
  <si>
    <t>ssmt-mfrs-cor_2022-12-31.xsd#ssmt-mfrs_DisclosureOfPostEmploymentBenefitObligationsExplanatory</t>
  </si>
  <si>
    <t>ssmt-mfrs-cor_2022-12-31.xsd#ssmt-mfrs_DisclosureOfPriceRiskExplanatory</t>
  </si>
  <si>
    <t>ssmt-mfrs-cor_2022-12-31.xsd#ssmt-mfrs_DisclosureOfPriorPeriodAdjustmentsExplanatory</t>
  </si>
  <si>
    <t>ssmt-mfrs-cor_2022-12-31.xsd#ssmt-mfrs_DisclosureOfProfitAfterTaxExplanatory</t>
  </si>
  <si>
    <t>ssmt-mfrs-cor_2022-12-31.xsd#ssmt-mfrs_DisclosureOfProfitBeforeTaxExplanatory</t>
  </si>
  <si>
    <t>ssmt-mfrs-cor_2022-12-31.xsd#ssmt-mfrs_DisclosureOfProgressBillingAndOthersExplanatory</t>
  </si>
  <si>
    <t>ssmt-mfrs-cor_2022-12-31.xsd#ssmt-mfrs_DisclosureOfPropertyDevelopmentCostsExplanatory</t>
  </si>
  <si>
    <t>full_ifrs-cor_2022-03-24.xsd#ifrs-full_DisclosureOfPropertyPlantAndEquipmentExplanatory</t>
  </si>
  <si>
    <t>full_ifrs-cor_2022-03-24.xsd#ifrs-full_DisclosureOfResearchAndDevelopmentExpenseExplanatory</t>
  </si>
  <si>
    <t>full_ifrs-cor_2022-03-24.xsd#ifrs-full_DisclosureOfRevenueFromContractsWithCustomersExplanatory@http://xbrl.ssm.com.my/role/ssm/lab_rol_ssmt-fs-mfrs_2022-12-31/ReportingLabel</t>
  </si>
  <si>
    <t>full_ifrs-cor_2022-03-24.xsd#ifrs-full_DisclosureOfServiceConcessionArrangementsExplanatory</t>
  </si>
  <si>
    <t>full_ifrs-cor_2022-03-24.xsd#ifrs-full_DisclosureOfShareCapitalReservesAndOtherEquityInterestExplanatory@http://xbrl.ssm.com.my/role/ssm/lab_rol_ssmt-fs-mfrs_2022-12-31/ReportingLabel</t>
  </si>
  <si>
    <t>full_ifrs-cor_2022-03-24.xsd#ifrs-full_DisclosureOfSharebasedPaymentArrangementsExplanatory</t>
  </si>
  <si>
    <t>ssmt-mfrs-cor_2022-12-31.xsd#ssmt-mfrs_DisclosureOfShortTermInvestmentsExplanatory</t>
  </si>
  <si>
    <t>ssmt-mfrs-cor_2022-12-31.xsd#ssmt-mfrs_DisclosureOfSignificantEventsDuringFinancialYearExplanatory</t>
  </si>
  <si>
    <t>ssmt-mfrs-cor_2022-12-31.xsd#ssmt-mfrs_DisclosureOfStatementOfComplianceExplanatory</t>
  </si>
  <si>
    <t>ssmt-mfrs-cor_2022-12-31.xsd#ssmt-mfrs_DisclosureOfSupplementaryFinancialInformationOnBreakdownOfRealisedAndUnrealisedProfitOrLossesExplanatory</t>
  </si>
  <si>
    <t>full_ifrs-cor_2022-03-24.xsd#ifrs-full_DisclosureOfTaxReceivablesAndPayablesExplanatory</t>
  </si>
  <si>
    <t>ssmt-mfrs-cor_2022-12-31.xsd#ssmt-mfrs_DisclosureOfTaxSupplementaryInformationExplanatory</t>
  </si>
  <si>
    <t>ssmt-mfrs-cor_2022-12-31.xsd#ssmt-mfrs_DisclosureOfNewOrRevisedFinancialReportingStandardsNotYetEffectiveExplanatory</t>
  </si>
  <si>
    <t>ssmt-mfrs-cor_2022-12-31.xsd#ssmt-mfrs_DisclosureOfTradeAndOtherInventoriesExplanatory</t>
  </si>
  <si>
    <t>full_ifrs-cor_2022-03-24.xsd#ifrs-full_DisclosureOfTradeAndOtherPayablesExplanatory</t>
  </si>
  <si>
    <t>full_ifrs-cor_2022-03-24.xsd#ifrs-full_DisclosureOfTradeAndOtherReceivablesExplanatory</t>
  </si>
  <si>
    <t>full_ifrs-cor_2022-03-24.xsd#ifrs-full_DisclosureOfTreasurySharesExplanatory</t>
  </si>
  <si>
    <t>Disclosure of notes and other explanatory information</t>
  </si>
  <si>
    <t>Disclosure of accrued expenses and other liabilities</t>
  </si>
  <si>
    <t>Disclosure of acquisitions and disposals</t>
  </si>
  <si>
    <t>Disclosure of allowance for credit losses</t>
  </si>
  <si>
    <t>Disclosure of amendments to MFRS and pronouncements issued by MASB</t>
  </si>
  <si>
    <t>Disclosure of auditors' remuneration</t>
  </si>
  <si>
    <t>Disclosure of authorisation of financial statements</t>
  </si>
  <si>
    <t>Disclosure of basis of preparation of financial statements</t>
  </si>
  <si>
    <t>Disclosure of biological assets</t>
  </si>
  <si>
    <t>Disclosure of bonds</t>
  </si>
  <si>
    <t>Disclosure of borrowings</t>
  </si>
  <si>
    <t>Disclosure of business combinations</t>
  </si>
  <si>
    <t>Disclosure of capital and other commitments</t>
  </si>
  <si>
    <t>Disclosure of capital management</t>
  </si>
  <si>
    <t>Disclosure of cash and bank balances at central banks</t>
  </si>
  <si>
    <t>Disclosure of cash and cash equivalents</t>
  </si>
  <si>
    <t>Disclosure of cash flow reconciliation</t>
  </si>
  <si>
    <t>Disclosure of cash held under housing development accounts</t>
  </si>
  <si>
    <t>Disclosure of changes in accounting policies, accounting estimates and errors</t>
  </si>
  <si>
    <t>Disclosure of claims and benefits paid</t>
  </si>
  <si>
    <t>Disclosure of collateral</t>
  </si>
  <si>
    <t>Disclosure of commodity price risk</t>
  </si>
  <si>
    <t>Disclosure of comparative figures</t>
  </si>
  <si>
    <t>Disclosure of construction contracts</t>
  </si>
  <si>
    <t>Disclosure of contingent assets and contingent liabilities</t>
  </si>
  <si>
    <t>Disclosure of corporate proposals</t>
  </si>
  <si>
    <t>Disclosure of cost of sales</t>
  </si>
  <si>
    <t>Disclosure of credit risk</t>
  </si>
  <si>
    <t>Disclosure of critical accounting estimates and judgements</t>
  </si>
  <si>
    <t>Disclosure of deferred income</t>
  </si>
  <si>
    <t>Disclosure of deferred tax assets/(liabilities)</t>
  </si>
  <si>
    <t>Disclosure of deposits from banks</t>
  </si>
  <si>
    <t>Disclosure of deposits with financial institutions</t>
  </si>
  <si>
    <t>Disclosure of depreciation and amortisation expense</t>
  </si>
  <si>
    <t>Disclosure of derivative financial assets/liabilities</t>
  </si>
  <si>
    <t>Disclosure of development expenditures</t>
  </si>
  <si>
    <t>Disclosure of discontinued operations</t>
  </si>
  <si>
    <t>Disclosure of disposal of subsidiaries</t>
  </si>
  <si>
    <t>Disclosure of dividends</t>
  </si>
  <si>
    <t>Disclosure of earnings (loss) per share</t>
  </si>
  <si>
    <t>Disclosure of effect of changes in foreign exchange rates</t>
  </si>
  <si>
    <t>Disclosure of employee benefits expense</t>
  </si>
  <si>
    <t>Disclosure of employment termination benefits</t>
  </si>
  <si>
    <t>Disclosure of entity's operating segments</t>
  </si>
  <si>
    <t>Disclosure of equity price risk</t>
  </si>
  <si>
    <t>Disclosure of events after reporting period</t>
  </si>
  <si>
    <t>Disclosure of fair value information</t>
  </si>
  <si>
    <t>Disclosure of fair value measurement</t>
  </si>
  <si>
    <t>Disclosure of fair value of financial instruments</t>
  </si>
  <si>
    <t>Disclosure of fee and commission income (expense)</t>
  </si>
  <si>
    <t>Disclosure of fees for non-audit services provided by the Company's auditor and its member firms</t>
  </si>
  <si>
    <t>Disclosure of finance costs</t>
  </si>
  <si>
    <t>Disclosure of finance income</t>
  </si>
  <si>
    <t>Disclosure of financial assets at fair value through other comprehensive income</t>
  </si>
  <si>
    <t>Disclosure of financial guarantees</t>
  </si>
  <si>
    <t>Disclosure of financial instrument measured at amortised cost</t>
  </si>
  <si>
    <t>Disclosure of financial instruments</t>
  </si>
  <si>
    <t>Disclosure of financial instruments at fair value through profit or loss</t>
  </si>
  <si>
    <t>Disclosure of financial instruments held for trading</t>
  </si>
  <si>
    <t>Disclosure of financial liabilities measured at amortised cost</t>
  </si>
  <si>
    <t>Disclosure of first-time adoption</t>
  </si>
  <si>
    <t>Disclosure of foreign currency translation reserve</t>
  </si>
  <si>
    <t>Disclosure of general information about financial statements</t>
  </si>
  <si>
    <t>Disclosure of going concern</t>
  </si>
  <si>
    <t>Disclosure of grants and contributions</t>
  </si>
  <si>
    <t>Disclosure of gross profit</t>
  </si>
  <si>
    <t>Disclosure of held to maturity investment</t>
  </si>
  <si>
    <t>Disclosure of holding companies</t>
  </si>
  <si>
    <t>Disclosure of income tax expense</t>
  </si>
  <si>
    <t>Disclosure of intangible assets and goodwill</t>
  </si>
  <si>
    <t>Disclosure of interest in joint operation</t>
  </si>
  <si>
    <t>Disclosure of interests in unconsolidated structured entities</t>
  </si>
  <si>
    <t>Disclosure of interest rate risk</t>
  </si>
  <si>
    <t>Disclosure of inventories</t>
  </si>
  <si>
    <t>Disclosure of investment property</t>
  </si>
  <si>
    <t>Disclosure of investments in associates</t>
  </si>
  <si>
    <t>Disclosure of investments in joint ventures</t>
  </si>
  <si>
    <t>Disclosure of investments in subsidiary companies</t>
  </si>
  <si>
    <t>Disclosure of irredeemable convertible unsecured loan stocks</t>
  </si>
  <si>
    <t>Disclosure of islamic financing facilities</t>
  </si>
  <si>
    <t>Disclosure of issued capital</t>
  </si>
  <si>
    <t>Disclosure of key management personnel compensation</t>
  </si>
  <si>
    <t>Disclosure of land held for development</t>
  </si>
  <si>
    <t>Disclosure of lease prepayments</t>
  </si>
  <si>
    <t>Disclosure of leases</t>
  </si>
  <si>
    <t>Disclosure of liquidity risk</t>
  </si>
  <si>
    <t>Disclosure of list of subsidiaries, joint ventures and associates</t>
  </si>
  <si>
    <t>Disclosure of loans and advances to banks</t>
  </si>
  <si>
    <t>Disclosure of loans and receivables</t>
  </si>
  <si>
    <t>Disclosure of long term payables</t>
  </si>
  <si>
    <t>Disclosure of long term receivables</t>
  </si>
  <si>
    <t>Disclosure of maturity analysis under liquidity risk</t>
  </si>
  <si>
    <t>Disclosure of net asset value attributable to unit-holders</t>
  </si>
  <si>
    <t>Disclosure of net gains and losses arising from financial instruments</t>
  </si>
  <si>
    <t>Disclosure of non-controlling interests</t>
  </si>
  <si>
    <t>Disclosure of non-current assets or disposal groups classified as held for sale and discontinued operations</t>
  </si>
  <si>
    <t>Disclosure of non-derivative financial instruments</t>
  </si>
  <si>
    <t>Disclosure of non-executive director's fees</t>
  </si>
  <si>
    <t>Disclosure of other current assets</t>
  </si>
  <si>
    <t>Disclosure of other current liabilities</t>
  </si>
  <si>
    <t>Disclosure of other financial risk management</t>
  </si>
  <si>
    <t>Disclosure of other gains and losses</t>
  </si>
  <si>
    <t>Disclosure of other guarantees</t>
  </si>
  <si>
    <t>Disclosure of other income</t>
  </si>
  <si>
    <t>Disclosure of other investments</t>
  </si>
  <si>
    <t>Disclosure of other long term employment benefits</t>
  </si>
  <si>
    <t>Disclosure of other market risk</t>
  </si>
  <si>
    <t>Disclosure of other non-current assets</t>
  </si>
  <si>
    <t>Disclosure of other non-current liabilities</t>
  </si>
  <si>
    <t>Disclosure of other notes to accounts</t>
  </si>
  <si>
    <t>Disclosure of other operating expenses</t>
  </si>
  <si>
    <t>Disclosure of other operating income</t>
  </si>
  <si>
    <t>Disclosure of other provisions</t>
  </si>
  <si>
    <t>Disclosure of other reserves</t>
  </si>
  <si>
    <t>Disclosure of perpetual sukuk</t>
  </si>
  <si>
    <t>Disclosure of post employment benefit obligation</t>
  </si>
  <si>
    <t>Disclosure of price risk</t>
  </si>
  <si>
    <t>Disclosure of prior year adjustments</t>
  </si>
  <si>
    <t>Disclosure of profit after tax</t>
  </si>
  <si>
    <t>Disclosure of profit before tax</t>
  </si>
  <si>
    <t>Disclosure of progress billings and others</t>
  </si>
  <si>
    <t>Disclosure of property development costs</t>
  </si>
  <si>
    <t>Disclosure of property, plant and equipment</t>
  </si>
  <si>
    <t>Disclosure of research and development expense</t>
  </si>
  <si>
    <t>Disclosure of revenue from contract customers</t>
  </si>
  <si>
    <t>Disclosure of service concession arrangements</t>
  </si>
  <si>
    <t>Disclosure of share capital</t>
  </si>
  <si>
    <t>Disclosure of share-based payment arrangements</t>
  </si>
  <si>
    <t>Disclosure of short term investments</t>
  </si>
  <si>
    <t>Disclosure of significant events during the financial year</t>
  </si>
  <si>
    <t>Disclosure of statement of compliance</t>
  </si>
  <si>
    <t>Disclosure of supplementary financial information on the breakdown of realised and unrealised profits or losses</t>
  </si>
  <si>
    <t>Disclosure of tax receivables and payables</t>
  </si>
  <si>
    <t>Disclosure of tax supplementary information</t>
  </si>
  <si>
    <t>Disclosure of the new or revised financial reporting standards not yet effective</t>
  </si>
  <si>
    <t>Disclosure of trade and other inventories</t>
  </si>
  <si>
    <t>Disclosure of trade and other payables</t>
  </si>
  <si>
    <t>Disclosure of trade and other receivables</t>
  </si>
  <si>
    <t>Disclosure of treasury shares</t>
  </si>
  <si>
    <t>FS-MFRS  Notes - List of notes</t>
  </si>
  <si>
    <t>428c7dea-9785-4935-b7d4-66083c5db0a9:~:AtleastOneValueInAnyLayout:~:True:~:&lt;?xml version="1.0" encoding="utf-16"?&gt;_x000D_
&lt;Customization xmlns:xsi="http://www.w3.org/2001/XMLSchema-instance" xmlns:xsd="http://www.w3.org/2001/XMLSchema" ComparitiveDate="False" LayoutByDate="True" LayoutByCompany="True" ShowAllDomains="True" TotalDomain="True" DefaultDates="1" /&gt;:~:http://xbrl.ssm.com.my/role/ssm/rol_ssmt-fs-mfrs_2022-12-31/ssmt-fs-mfrs_2022-12-31_role-740000:~:None</t>
  </si>
  <si>
    <t>adc201c8-3e3c-486f-bcc1-7c5c8dd15610:~:Notes-Issuedcapital_1_TBLYT:~:NotMandatory:~:False:~:0:~:True:~:&lt;?xml version="1.0" encoding="utf-16"?&gt;_x000D_
&lt;Customization xmlns:xsi="http://www.w3.org/2001/XMLSchema-instance" xmlns:xsd="http://www.w3.org/2001/XMLSchema" ComparitiveDate="False" LayoutByDate="True" LayoutByCompany="True" ShowAllDomains="True" TotalDomain="True" DefaultDates="1" /&gt;:~:LytTxb:~::~:False:~:True:~:ssmt-mfrs-cor_2022-12-31.xsd#ssmt-mfrs_DisclosureOnIssuedCapitalAbstract@http://www.xbrl.org/2003/role/label:~:</t>
  </si>
  <si>
    <t>ssmt-mfrs-cor_2022-12-31.xsd#ssmt-mfrs_DisclosureOnIssuedCapitalAbstract</t>
  </si>
  <si>
    <t>full_ifrs-cor_2022-03-24.xsd#ifrs-full_DisclosureOfClassesOfShareCapitalExplanatory</t>
  </si>
  <si>
    <t>Disclosure on issued capital</t>
  </si>
  <si>
    <t>a6d2b091-04ff-4588-a2d9-3dc5fc5fa988:~:Notes-Issuedcapital_2:~:NotMandatory:~:False:~:1:~:True:~:&lt;?xml version="1.0" encoding="utf-16"?&gt;_x000D_
&lt;Customization xmlns:xsi="http://www.w3.org/2001/XMLSchema-instance" xmlns:xsd="http://www.w3.org/2001/XMLSchema" ComparitiveDate="False" LayoutByDate="True" LayoutByCompany="True" ShowAllDomains="True" TotalDomain="True" DefaultDates="1" /&gt;:~:LytHyc:~:full_ifrs-cor_2022-03-24.xsd#ifrs-full_DisclosureOfClassesOfShareCapitalTable:~:False:~:True:~:ssmt-mfrs-cor_2022-12-31.xsd#ssmt-mfrs_DisclosureOnIssuedCapitalAbstract@http://www.xbrl.org/2003/role/label::full_ifrs-cor_2022-03-24.xsd#ifrs-full_DisclosureOfClassesOfShareCapitalAbstract@http://www.xbrl.org/2003/role/label::full_ifrs-cor_2022-03-24.xsd#ifrs-full_DisclosureOfClassesOfShareCapitalLineItems@http://www.xbrl.org/2003/role/label:~:full_ifrs-cor_2022-03-24.xsd#ifrs-full_DisclosureOfClassesOfShareCapitalTable</t>
  </si>
  <si>
    <t>full_ifrs-cor_2022-03-24.xsd#ifrs-full_DisclosureOfClassesOfShareCapitalAbstract</t>
  </si>
  <si>
    <t>full_ifrs-cor_2022-03-24.xsd#ifrs-full_DisclosureOfClassesOfShareCapitalLineItems</t>
  </si>
  <si>
    <t>ssmt-mfrs-cor_2022-12-31.xsd#ssmt-mfrs_SharesIssuedAndFullyPaidAbstract</t>
  </si>
  <si>
    <t>ssmt-mfrs-cor_2022-12-31.xsd#ssmt-mfrs_NumberOfSharessIssuedAndFullyPaidAbstract</t>
  </si>
  <si>
    <t>full_ifrs-cor_2022-03-24.xsd#ifrs-full_NumberOfSharesIssuedAndFullyPaid</t>
  </si>
  <si>
    <t>ssmt-mfrs-cor_2022-12-31.xsd#ssmt-mfrs_OtherChangesInNumberOfSharesIssuedAndFullyPaid</t>
  </si>
  <si>
    <t>ssmt-mfrs-cor_2022-12-31.xsd#ssmt-mfrs_AmountOfSharesIssuedAndFullyPaidAbstract</t>
  </si>
  <si>
    <t>ssmt-mfrs-cor_2022-12-31.xsd#ssmt-mfrs_AmountOfSharesIssuedAndFullyPaidOutstanding@http://xbrl.ssm.com.my/role/ssm/fs/mfrs/lab_rol_ssmt-fs-mfrs_2022-12-31/ReportingPeriodStartLabel</t>
  </si>
  <si>
    <t>ssmt-mfrs-cor_2022-12-31.xsd#ssmt-mfrs_AmountOfSharesIssuedAndFullyPaidDuringPeriod@http://xbrl.ssm.com.my/role/ssm/lab_rol_ssmt-fs-mfrs_2022-12-31/ReportingLabel</t>
  </si>
  <si>
    <t>ssmt-mfrs-cor_2022-12-31.xsd#ssmt-mfrs_AmountOfSharesIssuedForCashUnderESOS@http://xbrl.ssm.com.my/role/ssm/lab_rol_ssmt-fs-mfrs_2022-12-31/ReportingLabel</t>
  </si>
  <si>
    <t>ssmt-mfrs-cor_2022-12-31.xsd#ssmt-mfrs_AmountOfSharesIssuedForCashUnderPrivatePlacement@http://xbrl.ssm.com.my/role/ssm/lab_rol_ssmt-fs-mfrs_2022-12-31/ReportingLabel</t>
  </si>
  <si>
    <t>ssmt-mfrs-cor_2022-12-31.xsd#ssmt-mfrs_AmountOfSharesArisingFromConversionOfICULSBySurrenderOption@http://xbrl.ssm.com.my/role/ssm/lab_rol_ssmt-fs-mfrs_2022-12-31/ReportingLabel</t>
  </si>
  <si>
    <t>ssmt-mfrs-cor_2022-12-31.xsd#ssmt-mfrs_AmountOfSharesArisingFromConversionOfICULSByMandatoryConversion@http://xbrl.ssm.com.my/role/ssm/lab_rol_ssmt-fs-mfrs_2022-12-31/ReportingLabel</t>
  </si>
  <si>
    <t>ssmt-mfrs-cor_2022-12-31.xsd#ssmt-mfrs_AmountOfOtherChangesInSharesIssuedAndFullyPaid@http://xbrl.ssm.com.my/role/ssm/lab_rol_ssmt-fs-mfrs_2022-12-31/ReportingLabel</t>
  </si>
  <si>
    <t>ssmt-mfrs-cor_2022-12-31.xsd#ssmt-mfrs_AmountOfSharesIssuedAndFullyPaidOutstanding@http://xbrl.ssm.com.my/role/ssm/fs/mfrs/lab_rol_ssmt-fs-mfrs_2022-12-31/ReportingPeriodEndLabel</t>
  </si>
  <si>
    <t>ssmt-mfrs-cor_2022-12-31.xsd#ssmt-mfrs_SharesIssedButNotFullyPaidAbstract</t>
  </si>
  <si>
    <t>ssmt-mfrs-cor_2022-12-31.xsd#ssmt-mfrs_NumberOfSharesIssuedButNotFullyPaidAbstract</t>
  </si>
  <si>
    <t>full_ifrs-cor_2022-03-24.xsd#ifrs-full_NumberOfSharesIssuedButNotFullyPaid</t>
  </si>
  <si>
    <t>ssmt-mfrs-cor_2022-12-31.xsd#ssmt-mfrs_OtherChangesInNumberOfSharesIssuedAndNotFullyPaid</t>
  </si>
  <si>
    <t>ssmt-mfrs-cor_2022-12-31.xsd#ssmt-mfrs_AmountOfSharesIssuedAndNotFullyPaidAbstract</t>
  </si>
  <si>
    <t>ssmt-mfrs-cor_2022-12-31.xsd#ssmt-mfrs_AmountOfOtherChangesInSharesIssuedButNotFullyPaid@http://xbrl.ssm.com.my/role/ssm/lab_rol_ssmt-fs-mfrs_2022-12-31/ReportingLabel</t>
  </si>
  <si>
    <t>ssmt-mfrs-cor_2022-12-31.xsd#ssmt-mfrs_SharesOutstandingAbstract</t>
  </si>
  <si>
    <t>ssmt-mfrs-cor_2022-12-31.xsd#ssmt-mfrs_NumberOfSharesOutstandingAbstract</t>
  </si>
  <si>
    <t>full_ifrs-cor_2022-03-24.xsd#ifrs-full_NumberOfSharesOutstanding@http://www.xbrl.org/2003/role/periodStartLabel</t>
  </si>
  <si>
    <t>ssmt-mfrs-cor_2022-12-31.xsd#ssmt-mfrs_NumberOfOutstandingSharesIssuedDuringPeriod</t>
  </si>
  <si>
    <t>ssmt-mfrs-cor_2022-12-31.xsd#ssmt-mfrs_OtherChangesInNumberOfSharesOutstandingDuringPeriod</t>
  </si>
  <si>
    <t>full_ifrs-cor_2022-03-24.xsd#ifrs-full_NumberOfSharesOutstanding@http://www.xbrl.org/2003/role/periodEndLabel</t>
  </si>
  <si>
    <t>ssmt-mfrs-cor_2022-12-31.xsd#ssmt-mfrs_AmountOfSharesOutstandingAbstract</t>
  </si>
  <si>
    <t>ssmt-mfrs-cor_2022-12-31.xsd#ssmt-mfrs_AmountOfSharesOutstanding@http://xbrl.ssm.com.my/role/ssm/fs/mfrs/lab_rol_ssmt-fs-mfrs_2022-12-31/ReportingPeriodStartLabel</t>
  </si>
  <si>
    <t>ssmt-mfrs-cor_2022-12-31.xsd#ssmt-mfrs_AmountOfOutstandingSharesIssuedDuringPeriod</t>
  </si>
  <si>
    <t>ssmt-mfrs-cor_2022-12-31.xsd#ssmt-mfrs_OtherChangesInAmountOfSharesOutstanding</t>
  </si>
  <si>
    <t>ssmt-mfrs-cor_2022-12-31.xsd#ssmt-mfrs_AmountOfSharesOutstanding@http://xbrl.ssm.com.my/role/ssm/fs/mfrs/lab_rol_ssmt-fs-mfrs_2022-12-31/ReportingPeriodEndLabel</t>
  </si>
  <si>
    <t>full_ifrs-cor_2022-03-24.xsd#ifrs-full_DisclosureOfClassesOfShareCapitalTable::full_ifrs-cor_2022-03-24.xsd#ifrs-full_ClassesOfShareCapitalAxis::full_ifrs-cor_2022-03-24.xsd#ifrs-full_OrdinarySharesMember</t>
  </si>
  <si>
    <t>full_ifrs-cor_2022-03-24.xsd#ifrs-full_DisclosureOfClassesOfShareCapitalTable::full_ifrs-cor_2022-03-24.xsd#ifrs-full_ClassesOfShareCapitalAxis::ssmt-mfrs-cor_2022-12-31.xsd#ssmt-mfrs_RedeemablePreferenceSharesMember</t>
  </si>
  <si>
    <t>full_ifrs-cor_2022-03-24.xsd#ifrs-full_DisclosureOfClassesOfShareCapitalTable::full_ifrs-cor_2022-03-24.xsd#ifrs-full_ClassesOfShareCapitalAxis::ssmt-mfrs-cor_2022-12-31.xsd#ssmt-mfrs_NonredeemablePreferenceSharesMember</t>
  </si>
  <si>
    <t>Disclosure of classes of share capital</t>
  </si>
  <si>
    <t>Shares issued and fully paid</t>
  </si>
  <si>
    <t>Number of shares issued and fully paid</t>
  </si>
  <si>
    <t>Amount of shares issued and fully paid</t>
  </si>
  <si>
    <t>Balance at the beginning of period</t>
  </si>
  <si>
    <t>Shares issued during financial year</t>
  </si>
  <si>
    <t>Issued for cash under ESOS</t>
  </si>
  <si>
    <t>Issued for cash under private placement</t>
  </si>
  <si>
    <t>Arising from conversion of ICULS by surrender option</t>
  </si>
  <si>
    <t>Arising from conversion of ICULS by mandatory conversion</t>
  </si>
  <si>
    <t>Other changes in shares issued and fully paid</t>
  </si>
  <si>
    <t>Balance at the end of period</t>
  </si>
  <si>
    <t>Shares issued but not fully paid</t>
  </si>
  <si>
    <t>Number of shares issued but not fully paid</t>
  </si>
  <si>
    <t>Amount of shares issued but not fully paid</t>
  </si>
  <si>
    <t>Shares outstanding</t>
  </si>
  <si>
    <t>Number of shares outstanding</t>
  </si>
  <si>
    <t>Amount of shares outstanding</t>
  </si>
  <si>
    <t>Ordinary shares</t>
  </si>
  <si>
    <t>Non-redeemable preference shares</t>
  </si>
  <si>
    <t>Edit Classes of share capital</t>
  </si>
  <si>
    <t>full_ifrs-cor_2022-03-24.xsd#ifrs-full_DisclosureOfClassesOfShareCapitalTable::full_ifrs-cor_2022-03-24.xsd#ifrs-full_ClassesOfShareCapitalAxis</t>
  </si>
  <si>
    <r>
      <t>*</t>
    </r>
    <r>
      <rPr>
        <sz val="10"/>
        <color indexed="8"/>
        <rFont val="Verdana"/>
        <family val="2"/>
      </rPr>
      <t>Disclosure of classes of share capital</t>
    </r>
  </si>
  <si>
    <r>
      <t>*</t>
    </r>
    <r>
      <rPr>
        <sz val="10"/>
        <color indexed="8"/>
        <rFont val="Verdana"/>
        <family val="2"/>
      </rPr>
      <t>Number of shares issued and fully paid</t>
    </r>
  </si>
  <si>
    <r>
      <t>*</t>
    </r>
    <r>
      <rPr>
        <sz val="10"/>
        <color indexed="8"/>
        <rFont val="Verdana"/>
        <family val="2"/>
      </rPr>
      <t>Other changes in number of shares issued and fully paid</t>
    </r>
  </si>
  <si>
    <r>
      <t>*</t>
    </r>
    <r>
      <rPr>
        <sz val="10"/>
        <color indexed="8"/>
        <rFont val="Verdana"/>
        <family val="2"/>
      </rPr>
      <t>Number of shares issued but not fully paid</t>
    </r>
  </si>
  <si>
    <r>
      <t>*</t>
    </r>
    <r>
      <rPr>
        <sz val="10"/>
        <color indexed="8"/>
        <rFont val="Verdana"/>
        <family val="2"/>
      </rPr>
      <t>Other changes in number of shares issued but not fully paid</t>
    </r>
  </si>
  <si>
    <r>
      <t>*</t>
    </r>
    <r>
      <rPr>
        <sz val="10"/>
        <color indexed="8"/>
        <rFont val="Verdana"/>
        <family val="2"/>
      </rPr>
      <t>Other changes in shares issued but not fully paid</t>
    </r>
  </si>
  <si>
    <r>
      <t>*</t>
    </r>
    <r>
      <rPr>
        <sz val="10"/>
        <color indexed="8"/>
        <rFont val="Verdana"/>
        <family val="2"/>
      </rPr>
      <t>Number of shares outstanding at beginning of period</t>
    </r>
  </si>
  <si>
    <r>
      <t>*</t>
    </r>
    <r>
      <rPr>
        <sz val="10"/>
        <color indexed="8"/>
        <rFont val="Verdana"/>
        <family val="2"/>
      </rPr>
      <t>Number of outstanding shares issued during financial year</t>
    </r>
  </si>
  <si>
    <r>
      <t>*</t>
    </r>
    <r>
      <rPr>
        <sz val="10"/>
        <color indexed="8"/>
        <rFont val="Verdana"/>
        <family val="2"/>
      </rPr>
      <t>Other changes in number of shares outstanding</t>
    </r>
  </si>
  <si>
    <r>
      <t>*</t>
    </r>
    <r>
      <rPr>
        <sz val="10"/>
        <color indexed="8"/>
        <rFont val="Verdana"/>
        <family val="2"/>
      </rPr>
      <t>Number of shares outstanding at end of period</t>
    </r>
  </si>
  <si>
    <r>
      <t>*</t>
    </r>
    <r>
      <rPr>
        <sz val="10"/>
        <color indexed="8"/>
        <rFont val="Verdana"/>
        <family val="2"/>
      </rPr>
      <t>Amount of shares outstanding at beginning of period</t>
    </r>
  </si>
  <si>
    <r>
      <t>*</t>
    </r>
    <r>
      <rPr>
        <sz val="10"/>
        <color indexed="8"/>
        <rFont val="Verdana"/>
        <family val="2"/>
      </rPr>
      <t>Amount of outstanding shares issued during financial year</t>
    </r>
  </si>
  <si>
    <r>
      <t>*</t>
    </r>
    <r>
      <rPr>
        <sz val="10"/>
        <color indexed="8"/>
        <rFont val="Verdana"/>
        <family val="2"/>
      </rPr>
      <t>Other changes in amount of shares outstanding</t>
    </r>
  </si>
  <si>
    <r>
      <t>*</t>
    </r>
    <r>
      <rPr>
        <sz val="10"/>
        <color indexed="8"/>
        <rFont val="Verdana"/>
        <family val="2"/>
      </rPr>
      <t>Amount of shares outstanding at end of period</t>
    </r>
  </si>
  <si>
    <t>FS-MFRS  Notes - Issued capital</t>
  </si>
  <si>
    <t>2e75cab3-4000-4835-bc53-354fa8a4860b:~:AtleastOneValueInAnyLayout:~:True:~:&lt;?xml version="1.0" encoding="utf-16"?&gt;_x000D_
&lt;Customization xmlns:xsi="http://www.w3.org/2001/XMLSchema-instance" xmlns:xsd="http://www.w3.org/2001/XMLSchema" ComparitiveDate="False" LayoutByDate="True" LayoutByCompany="True" ShowAllDomains="True" TotalDomain="True" DefaultDates="1" /&gt;:~:http://xbrl.ssm.com.my/role/ssm/rol_ssmt-fs-mfrs_2022-12-31/ssmt-fs-mfrs_2022-12-31_role-750000:~:None</t>
  </si>
  <si>
    <t>77e4b6cf-a856-4597-b6e2-6a7b717037f9:~:Notes-RelatedPartytran_1_TBLYT:~:NotMandatory:~:False:~:0:~:True:~:&lt;?xml version="1.0" encoding="utf-16"?&gt;_x000D_
&lt;Customization xmlns:xsi="http://www.w3.org/2001/XMLSchema-instance" xmlns:xsd="http://www.w3.org/2001/XMLSchema" ComparitiveDate="False" LayoutByDate="True" LayoutByCompany="True" ShowAllDomains="True" TotalDomain="True" DefaultDates="1" /&gt;:~:LytTxb:~::~:False:~:True:~:ssmt-mfrs-cor_2022-12-31.xsd#ssmt-mfrs_DisclosureOnRelatedPartyTransactionsAbstract@http://www.xbrl.org/2003/role/label:~:</t>
  </si>
  <si>
    <t>ssmt-mfrs-cor_2022-12-31.xsd#ssmt-mfrs_DisclosureOnRelatedPartyTransactionsAbstract</t>
  </si>
  <si>
    <t>full_ifrs-cor_2022-03-24.xsd#ifrs-full_DisclosureOfTransactionsBetweenRelatedPartiesExplanatory</t>
  </si>
  <si>
    <t>Disclosure on related party transactions</t>
  </si>
  <si>
    <t>42cc5ee6-efd5-48b6-a8a4-36b9dadeb1d9:~:Notes-RelatedPartytran_2:~:NotMandatory:~:False:~:1:~:True:~:&lt;?xml version="1.0" encoding="utf-16"?&gt;_x000D_
&lt;Customization xmlns:xsi="http://www.w3.org/2001/XMLSchema-instance" xmlns:xsd="http://www.w3.org/2001/XMLSchema" ComparitiveDate="False" LayoutByDate="True" LayoutByCompany="True" ShowAllDomains="True" TotalDomain="True" DefaultDates="1" /&gt;:~:LytHyc:~:full_ifrs-cor_2022-03-24.xsd#ifrs-full_DisclosureOfTransactionsBetweenRelatedPartiesTable:~:False:~:True:~:ssmt-mfrs-cor_2022-12-31.xsd#ssmt-mfrs_DisclosureOnRelatedPartyTransactionsAbstract@http://www.xbrl.org/2003/role/label::full_ifrs-cor_2022-03-24.xsd#ifrs-full_DisclosureOfTransactionsBetweenRelatedPartiesAbstract@http://www.xbrl.org/2003/role/label::full_ifrs-cor_2022-03-24.xsd#ifrs-full_DisclosureOfTransactionsBetweenRelatedPartiesLineItems@http://www.xbrl.org/2003/role/label:~:full_ifrs-cor_2022-03-24.xsd#ifrs-full_DisclosureOfTransactionsBetweenRelatedPartiesTable</t>
  </si>
  <si>
    <t>full_ifrs-cor_2022-03-24.xsd#ifrs-full_DisclosureOfTransactionsBetweenRelatedPartiesAbstract</t>
  </si>
  <si>
    <t>full_ifrs-cor_2022-03-24.xsd#ifrs-full_DisclosureOfTransactionsBetweenRelatedPartiesLineItems</t>
  </si>
  <si>
    <t>full_ifrs-cor_2022-03-24.xsd#ifrs-full_RelatedPartyTransactionsAbstract</t>
  </si>
  <si>
    <t>ssmt-mfrs-cor_2022-12-31.xsd#ssmt-mfrs_RelatedPartyTransactionsContributionToFund@http://xbrl.ssm.com.my/role/ssm/lab_rol_ssmt-fs-mfrs_2022-12-31/ReportingLabel</t>
  </si>
  <si>
    <t>ssmt-mfrs-cor_2022-12-31.xsd#ssmt-mfrs_RelatedPartyTransactionsDisposalOfSubsidiaries@http://xbrl.ssm.com.my/role/ssm/lab_rol_ssmt-fs-mfrs_2022-12-31/ReportingLabel</t>
  </si>
  <si>
    <t>ssmt-mfrs-cor_2022-12-31.xsd#ssmt-mfrs_DividendIncomeRelatedPartyTransactions@http://xbrl.ssm.com.my/role/ssm/lab_rol_ssmt-fs-mfrs_2022-12-31/ReportingLabel</t>
  </si>
  <si>
    <t>ssmt-mfrs-cor_2022-12-31.xsd#ssmt-mfrs_InterestIncomeRelatedPartyTransactions@http://xbrl.ssm.com.my/role/ssm/lab_rol_ssmt-fs-mfrs_2022-12-31/ReportingLabel</t>
  </si>
  <si>
    <t>ssmt-mfrs-cor_2022-12-31.xsd#ssmt-mfrs_RelatedPartyTransactionsIssueOfSharesForExchangeableBonds@http://xbrl.ssm.com.my/role/ssm/lab_rol_ssmt-fs-mfrs_2022-12-31/ReportingLabel</t>
  </si>
  <si>
    <t>full_ifrs-cor_2022-03-24.xsd#ifrs-full_KeyManagementPersonnelCompensation@http://xbrl.ssm.com.my/role/ssm/lab_rol_ssmt-fs-mfrs_2022-12-31/ReportingLabel</t>
  </si>
  <si>
    <t>ssmt-mfrs-cor_2022-12-31.xsd#ssmt-mfrs_RelatedPartyTransactionsKeyManagementPersonnelServiceFees@http://xbrl.ssm.com.my/role/ssm/lab_rol_ssmt-fs-mfrs_2022-12-31/ReportingLabel</t>
  </si>
  <si>
    <t>ssmt-mfrs-cor_2022-12-31.xsd#ssmt-mfrs_RelatedPartyTransactionsManagementFees@http://xbrl.ssm.com.my/role/ssm/lab_rol_ssmt-fs-mfrs_2022-12-31/ReportingLabel</t>
  </si>
  <si>
    <t>ssmt-mfrs-cor_2022-12-31.xsd#ssmt-mfrs_OtherExpensesRecognisedForTransactionsWithRelatedParties</t>
  </si>
  <si>
    <t>ssmt-mfrs-cor_2022-12-31.xsd#ssmt-mfrs_RelatedPartyTransactionsOtherKeyManagementPersonnel@http://xbrl.ssm.com.my/role/ssm/lab_rol_ssmt-fs-mfrs_2022-12-31/ReportingLabel</t>
  </si>
  <si>
    <t>ssmt-mfrs-cor_2022-12-31.xsd#ssmt-mfrs_OtherRevenueRecognisedForTransactionsWithRelatedParties</t>
  </si>
  <si>
    <t>ssmt-mfrs-cor_2022-12-31.xsd#ssmt-mfrs_RelatedPartyTransactionsEducationAndStaffTrainingServices@http://xbrl.ssm.com.my/role/ssm/lab_rol_ssmt-fs-mfrs_2022-12-31/ReportingLabel</t>
  </si>
  <si>
    <t>ssmt-mfrs-cor_2022-12-31.xsd#ssmt-mfrs_RelatedPartyTransactionsLeasingAndHirePurchaseFacilities@http://xbrl.ssm.com.my/role/ssm/lab_rol_ssmt-fs-mfrs_2022-12-31/ReportingLabel</t>
  </si>
  <si>
    <t>full_ifrs-cor_2022-03-24.xsd#ifrs-full_PurchasesOfGoodsRelatedPartyTransactions@http://xbrl.ssm.com.my/role/ssm/lab_rol_ssmt-fs-mfrs_2022-12-31/ReportingLabel</t>
  </si>
  <si>
    <t>full_ifrs-cor_2022-03-24.xsd#ifrs-full_PurchasesOfPropertyAndOtherAssetsRelatedPartyTransactions@http://xbrl.ssm.com.my/role/ssm/lab_rol_ssmt-fs-mfrs_2022-12-31/ReportingLabel</t>
  </si>
  <si>
    <t>ssmt-mfrs-cor_2022-12-31.xsd#ssmt-mfrs_RentalExpensesRelatedPartyTransactions@http://xbrl.ssm.com.my/role/ssm/lab_rol_ssmt-fs-mfrs_2022-12-31/ReportingLabel</t>
  </si>
  <si>
    <t>ssmt-mfrs-cor_2022-12-31.xsd#ssmt-mfrs_RelatedPartyTransactionsRentalIncome@http://xbrl.ssm.com.my/role/ssm/lab_rol_ssmt-fs-mfrs_2022-12-31/ReportingLabel</t>
  </si>
  <si>
    <t>full_ifrs-cor_2022-03-24.xsd#ifrs-full_RevenueFromSaleOfGoodsRelatedPartyTransactions@http://xbrl.ssm.com.my/role/ssm/lab_rol_ssmt-fs-mfrs_2022-12-31/ReportingLabel</t>
  </si>
  <si>
    <t>full_ifrs-cor_2022-03-24.xsd#ifrs-full_RevenueFromRenderingOfServicesRelatedPartyTransactions@http://xbrl.ssm.com.my/role/ssm/lab_rol_ssmt-fs-mfrs_2022-12-31/ReportingLabel</t>
  </si>
  <si>
    <t>ssmt-mfrs-cor_2022-12-31.xsd#ssmt-mfrs_RelatedPartyTransactionsRoyaltyExpenses@http://xbrl.ssm.com.my/role/ssm/lab_rol_ssmt-fs-mfrs_2022-12-31/ReportingLabel</t>
  </si>
  <si>
    <t>ssmt-mfrs-cor_2022-12-31.xsd#ssmt-mfrs_RelatedPartyTransactionsRoyaltyIncome@http://xbrl.ssm.com.my/role/ssm/lab_rol_ssmt-fs-mfrs_2022-12-31/ReportingLabel</t>
  </si>
  <si>
    <t>full_ifrs-cor_2022-03-24.xsd#ifrs-full_SalesOfPropertyAndOtherAssetsRelatedPartyTransactions@http://xbrl.ssm.com.my/role/ssm/lab_rol_ssmt-fs-mfrs_2022-12-31/ReportingLabel</t>
  </si>
  <si>
    <t>full_ifrs-cor_2022-03-24.xsd#ifrs-full_ServicesReceivedRelatedPartyTransactions@http://xbrl.ssm.com.my/role/ssm/lab_rol_ssmt-fs-mfrs_2022-12-31/ReportingLabel</t>
  </si>
  <si>
    <t>ssmt-mfrs-cor_2022-12-31.xsd#ssmt-mfrs_RelatedPartyTransactionsShareOptionRecharged@http://xbrl.ssm.com.my/role/ssm/lab_rol_ssmt-fs-mfrs_2022-12-31/ReportingLabel</t>
  </si>
  <si>
    <t>ssmt-mfrs-cor_2022-12-31.xsd#ssmt-mfrs_RelatedPartyTransactionsShareBasedPaymentTransactions@http://xbrl.ssm.com.my/role/ssm/lab_rol_ssmt-fs-mfrs_2022-12-31/ReportingLabel</t>
  </si>
  <si>
    <t>ssmt-mfrs-cor_2022-12-31.xsd#ssmt-mfrs_RelatedPartyTransactionsSupplementaryPaymentsAndSignatureBonus@http://xbrl.ssm.com.my/role/ssm/lab_rol_ssmt-fs-mfrs_2022-12-31/ReportingLabel</t>
  </si>
  <si>
    <t>ssmt-mfrs-cor_2022-12-31.xsd#ssmt-mfrs_RelatedPartyTransactionsTransactionsWithShareholdersAndGovernments@http://xbrl.ssm.com.my/role/ssm/lab_rol_ssmt-fs-mfrs_2022-12-31/ReportingLabel</t>
  </si>
  <si>
    <t>ssmt-mfrs-cor_2022-12-31.xsd#ssmt-mfrs_OtherTransactionsWithRelatedParties</t>
  </si>
  <si>
    <t>ssmt-mfrs-cor_2022-12-31.xsd#ssmt-mfrs_BalancesWithRelatedPartiesAbstract@http://xbrl.ssm.com.my/role/ssm/lab_rol_ssmt-fs-mfrs_2022-12-31/ReportingLabel</t>
  </si>
  <si>
    <t>full_ifrs-cor_2022-03-24.xsd#ifrs-full_AmountsPayableRelatedPartyTransactions@http://xbrl.ssm.com.my/role/ssm/lab_rol_ssmt-fs-mfrs_2022-12-31/ReportingLabel</t>
  </si>
  <si>
    <t>full_ifrs-cor_2022-03-24.xsd#ifrs-full_AmountsReceivableRelatedPartyTransactions@http://xbrl.ssm.com.my/role/ssm/lab_rol_ssmt-fs-mfrs_2022-12-31/ReportingLabel</t>
  </si>
  <si>
    <t>ssmt-mfrs-cor_2022-12-31.xsd#ssmt-mfrs_OtherBalancesWithRelatedParties@http://xbrl.ssm.com.my/role/ssm/lab_rol_ssmt-fs-mfrs_2022-12-31/ReportingLabel</t>
  </si>
  <si>
    <t>full_ifrs-cor_2022-03-24.xsd#ifrs-full_DisclosureOfTransactionsBetweenRelatedPartiesTable::full_ifrs-cor_2022-03-24.xsd#ifrs-full_CategoriesOfRelatedPartiesAxis::full_ifrs-cor_2022-03-24.xsd#ifrs-full_ParentMember</t>
  </si>
  <si>
    <t>full_ifrs-cor_2022-03-24.xsd#ifrs-full_DisclosureOfTransactionsBetweenRelatedPartiesTable::full_ifrs-cor_2022-03-24.xsd#ifrs-full_CategoriesOfRelatedPartiesAxis::full_ifrs-cor_2022-03-24.xsd#ifrs-full_JointControlOrSignificantInfluenceMember</t>
  </si>
  <si>
    <t>full_ifrs-cor_2022-03-24.xsd#ifrs-full_DisclosureOfTransactionsBetweenRelatedPartiesTable::full_ifrs-cor_2022-03-24.xsd#ifrs-full_CategoriesOfRelatedPartiesAxis::full_ifrs-cor_2022-03-24.xsd#ifrs-full_SubsidiariesMember</t>
  </si>
  <si>
    <t>full_ifrs-cor_2022-03-24.xsd#ifrs-full_DisclosureOfTransactionsBetweenRelatedPartiesTable::full_ifrs-cor_2022-03-24.xsd#ifrs-full_CategoriesOfRelatedPartiesAxis::full_ifrs-cor_2022-03-24.xsd#ifrs-full_AssociatesMember</t>
  </si>
  <si>
    <t>full_ifrs-cor_2022-03-24.xsd#ifrs-full_DisclosureOfTransactionsBetweenRelatedPartiesTable::full_ifrs-cor_2022-03-24.xsd#ifrs-full_CategoriesOfRelatedPartiesAxis::full_ifrs-cor_2022-03-24.xsd#ifrs-full_JointVenturesWhereEntityIsVenturerMember</t>
  </si>
  <si>
    <t>full_ifrs-cor_2022-03-24.xsd#ifrs-full_DisclosureOfTransactionsBetweenRelatedPartiesTable::full_ifrs-cor_2022-03-24.xsd#ifrs-full_CategoriesOfRelatedPartiesAxis::full_ifrs-cor_2022-03-24.xsd#ifrs-full_KeyManagementPersonnelOfEntityOrParentMember</t>
  </si>
  <si>
    <t>full_ifrs-cor_2022-03-24.xsd#ifrs-full_DisclosureOfTransactionsBetweenRelatedPartiesTable::full_ifrs-cor_2022-03-24.xsd#ifrs-full_CategoriesOfRelatedPartiesAxis::full_ifrs-cor_2022-03-24.xsd#ifrs-full_OtherRelatedPartiesMember</t>
  </si>
  <si>
    <t>Disclosure of transactions between related parties</t>
  </si>
  <si>
    <t>Related party transactions</t>
  </si>
  <si>
    <t>Contribution to fund</t>
  </si>
  <si>
    <t>Disposal of subsidiaries</t>
  </si>
  <si>
    <t>Issue of shares for exchangeable bonds</t>
  </si>
  <si>
    <t>Key management personnel</t>
  </si>
  <si>
    <t>Key management personnel services fee</t>
  </si>
  <si>
    <t>Other key management personnel</t>
  </si>
  <si>
    <t>Provision of education and staff training services</t>
  </si>
  <si>
    <t>Provision of leasing and hire purchase facilities</t>
  </si>
  <si>
    <t>Purchases of goods</t>
  </si>
  <si>
    <t>Purchases of property and other assets</t>
  </si>
  <si>
    <t>Sales of property and other assets</t>
  </si>
  <si>
    <t>Services received</t>
  </si>
  <si>
    <t>Share options recharged</t>
  </si>
  <si>
    <t>Share-based payment transactions</t>
  </si>
  <si>
    <t>Supplemental payments and signature bonus</t>
  </si>
  <si>
    <t>Transactions with shareholders and governments</t>
  </si>
  <si>
    <t>Other related parties transactions</t>
  </si>
  <si>
    <t>Outstanding balances for related party transactions</t>
  </si>
  <si>
    <t>Parent</t>
  </si>
  <si>
    <t>Entities with joint control or significant influence over entity</t>
  </si>
  <si>
    <t>Subsidiaries</t>
  </si>
  <si>
    <t>Associates</t>
  </si>
  <si>
    <t>Joint ventures where entity is venturer</t>
  </si>
  <si>
    <t>Key management personnel of entity or parent</t>
  </si>
  <si>
    <t>Other related parties</t>
  </si>
  <si>
    <t>Edit Categories of related parties</t>
  </si>
  <si>
    <t>full_ifrs-cor_2022-03-24.xsd#ifrs-full_DisclosureOfTransactionsBetweenRelatedPartiesTable::full_ifrs-cor_2022-03-24.xsd#ifrs-full_CategoriesOfRelatedPartiesAxis</t>
  </si>
  <si>
    <r>
      <t>*</t>
    </r>
    <r>
      <rPr>
        <sz val="10"/>
        <color indexed="8"/>
        <rFont val="Verdana"/>
        <family val="2"/>
      </rPr>
      <t>Disclosure of transactions between related parties</t>
    </r>
  </si>
  <si>
    <r>
      <t>*</t>
    </r>
    <r>
      <rPr>
        <sz val="10"/>
        <color indexed="8"/>
        <rFont val="Verdana"/>
        <family val="2"/>
      </rPr>
      <t>Amounts payable</t>
    </r>
  </si>
  <si>
    <r>
      <t>*</t>
    </r>
    <r>
      <rPr>
        <sz val="10"/>
        <color indexed="8"/>
        <rFont val="Verdana"/>
        <family val="2"/>
      </rPr>
      <t>Amounts receivable</t>
    </r>
  </si>
  <si>
    <r>
      <t>*</t>
    </r>
    <r>
      <rPr>
        <sz val="10"/>
        <color indexed="8"/>
        <rFont val="Verdana"/>
        <family val="2"/>
      </rPr>
      <t>Other outstanding balances</t>
    </r>
  </si>
  <si>
    <t>FS-MFRS  Notes - Related party transactions</t>
  </si>
  <si>
    <t>Content Page</t>
  </si>
  <si>
    <t>More Options (Document Actions)</t>
  </si>
  <si>
    <t>General</t>
  </si>
  <si>
    <t xml:space="preserve"> Filing Information</t>
  </si>
  <si>
    <t>Disclosure</t>
  </si>
  <si>
    <t xml:space="preserve"> Scope of filing</t>
  </si>
  <si>
    <t xml:space="preserve"> Disclosure - Directors report</t>
  </si>
  <si>
    <t xml:space="preserve"> Disclosure - Director business review</t>
  </si>
  <si>
    <t xml:space="preserve"> Disclosure - Statement by directors</t>
  </si>
  <si>
    <t xml:space="preserve"> Disclosure - Involvement in Stock Exchange</t>
  </si>
  <si>
    <t xml:space="preserve"> Disclosure - Auditors report to members</t>
  </si>
  <si>
    <t>Statements</t>
  </si>
  <si>
    <t xml:space="preserve"> Statement of financial position, by current/non-current method</t>
  </si>
  <si>
    <t xml:space="preserve"> Sub-classification of assets, liabilities and equity, by current/non-current method</t>
  </si>
  <si>
    <t xml:space="preserve"> Statement of profit or loss, by function of expense</t>
  </si>
  <si>
    <t xml:space="preserve"> Analysis of profit or loss, by function of expense</t>
  </si>
  <si>
    <t xml:space="preserve"> Statement of Comprehensive Income - Before tax</t>
  </si>
  <si>
    <t xml:space="preserve"> Statement of cash flows, indirect method</t>
  </si>
  <si>
    <t xml:space="preserve"> Statement of Changes in Equity</t>
  </si>
  <si>
    <t>Notes</t>
  </si>
  <si>
    <t xml:space="preserve"> Notes - Corporate information</t>
  </si>
  <si>
    <t xml:space="preserve"> Notes - Summary of material accounting policies</t>
  </si>
  <si>
    <t xml:space="preserve"> Notes - List of notes</t>
  </si>
  <si>
    <t xml:space="preserve"> Notes - Issued capital</t>
  </si>
  <si>
    <t xml:space="preserve"> Notes - Related party transactions</t>
  </si>
  <si>
    <t>Financial Statements as per Malaysian Financial Reporting Standards - 1.0</t>
  </si>
  <si>
    <t>&lt;ProjectConfig&gt;_x000D_
  &lt;add key="PackageName" value="Acra Financial Report" /&gt;_x000D_
  &lt;add key="PackageDescription" value="Acra financial report" /&gt;_x000D_
  &lt;add key="PackageAuthor" value="IRIS" /&gt;_x000D_
  &lt;add key="CreatedOn" value="" /&gt;_x000D_
  &lt;add key="PackageVersion" value="v1.0" /&gt;_x000D_
  &lt;add key="SecurityCode" value="C/80XPI8QeMTwtvtvxKnJxstnXJafZ3NalBUOFsU0T0=" /&gt;_x000D_
  &lt;add key="TaxonomyPath" value="C:\SSM XBRL Preparation Tool\Taxonomy\https\mbrs.ssm.com.my\taxonomy\SSMxT2022v1.0\rep\ssm\ca-2016\fs\mfrs\ssmt-fs-mfrs_2022-12-31_entry_point.xsd" /&gt;_x000D_
  &lt;add key="PublishPath" value="" /&gt;_x000D_
  &lt;add key="Culture" value="en-GB" /&gt;_x000D_
  &lt;add key="Scheme" value="" /&gt;_x000D_
  &lt;add key="ProjectMode" value="Package" /&gt;_x000D_
  &lt;add key="StartupSheet" value="Introduction" /&gt;_x000D_
  &lt;add key="VersionNo" value="2.2" /&gt;_x000D_
  &lt;add key="IsTriggered" value="false" /&gt;_x000D_
  &lt;add key="IsAnnexture" value="False" /&gt;_x000D_
  &lt;add key="AnnextureName" value="" /&gt;_x000D_
&lt;/ProjectConfig&gt;</t>
  </si>
  <si>
    <t>SOPL-Function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</si>
</sst>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_);[Red]\(#0\)"/>
  </numFmts>
  <fonts count="27">
    <font>
      <sz val="11"/>
      <color theme="1"/>
      <name val="Calibri"/>
      <family val="2"/>
      <scheme val="minor"/>
    </font>
    <font>
      <sz val="11"/>
      <color indexed="8"/>
      <name val="Calibri"/>
      <family val="2"/>
    </font>
    <font>
      <b/>
      <sz val="11"/>
      <color indexed="9"/>
      <name val="Calibri"/>
      <family val="2"/>
    </font>
    <font>
      <sz val="11"/>
      <color indexed="23"/>
      <name val="Calibri"/>
      <family val="2"/>
    </font>
    <font>
      <sz val="12"/>
      <color indexed="23"/>
      <name val="Calibri"/>
      <family val="2"/>
    </font>
    <font>
      <b/>
      <sz val="18"/>
      <color indexed="51"/>
      <name val="Calibri"/>
      <family val="2"/>
    </font>
    <font>
      <sz val="8"/>
      <name val="Calibri"/>
      <family val="2"/>
    </font>
    <font>
      <b/>
      <i/>
      <sz val="20"/>
      <color theme="3" tint="0.39997558519241921"/>
      <name val="Calibri"/>
      <family val="2"/>
    </font>
    <font>
      <u/>
      <sz val="11"/>
      <color indexed="12"/>
      <name val="Calibri"/>
      <family val="2"/>
    </font>
    <font>
      <u/>
      <sz val="11"/>
      <color theme="10"/>
      <name val="Calibri"/>
      <family val="2"/>
    </font>
    <font>
      <sz val="10"/>
      <name val="Arial"/>
      <family val="2"/>
    </font>
    <font>
      <sz val="10"/>
      <name val="Arial "/>
    </font>
    <font>
      <sz val="10"/>
      <color theme="1"/>
      <name val="Verdana"/>
      <family val="2"/>
    </font>
    <font>
      <sz val="10"/>
      <color indexed="9"/>
      <name val="Verdana"/>
      <family val="2"/>
    </font>
    <font>
      <sz val="10"/>
      <color indexed="8"/>
      <name val="Verdana"/>
      <family val="2"/>
    </font>
    <font>
      <sz val="10"/>
      <color theme="0"/>
      <name val="Verdana"/>
      <family val="2"/>
    </font>
    <font>
      <u/>
      <sz val="11"/>
      <color theme="10"/>
      <name val="Calibri"/>
      <family val="2"/>
      <scheme val="minor"/>
    </font>
    <font>
      <u/>
      <sz val="10"/>
      <color theme="10"/>
      <name val="Verdana"/>
      <family val="2"/>
    </font>
    <font>
      <b/>
      <sz val="10"/>
      <color rgb="FF010000"/>
      <name val="Verdana"/>
      <family val="2"/>
    </font>
    <font>
      <b/>
      <sz val="10"/>
      <color rgb="FF000000"/>
      <name val="Verdana"/>
      <family val="2"/>
    </font>
    <font>
      <sz val="10"/>
      <color indexed="10"/>
      <name val="Verdana"/>
      <family val="2"/>
    </font>
    <font>
      <sz val="12"/>
      <color indexed="9"/>
      <name val="Verdana"/>
      <family val="2"/>
    </font>
    <font>
      <b/>
      <sz val="9"/>
      <color indexed="81"/>
      <name val="Tahoma"/>
      <family val="2"/>
    </font>
    <font>
      <sz val="10"/>
      <color indexed="16"/>
      <name val="Verdana"/>
      <family val="2"/>
    </font>
    <font>
      <u/>
      <sz val="10"/>
      <color indexed="16"/>
      <name val="Verdana"/>
      <family val="2"/>
    </font>
    <font>
      <b/>
      <sz val="10"/>
      <color indexed="8"/>
      <name val="Verdana"/>
      <family val="2"/>
    </font>
    <font>
      <b/>
      <sz val="10"/>
      <color indexed="10"/>
      <name val="Verdana"/>
      <family val="2"/>
    </font>
  </fonts>
  <fills count="13">
    <fill>
      <patternFill patternType="none"/>
    </fill>
    <fill>
      <patternFill patternType="gray125"/>
    </fill>
    <fill>
      <patternFill patternType="solid">
        <fgColor indexed="9"/>
        <bgColor indexed="64"/>
      </patternFill>
    </fill>
    <fill>
      <patternFill patternType="solid">
        <fgColor rgb="FF203764"/>
        <bgColor indexed="64"/>
      </patternFill>
    </fill>
    <fill>
      <patternFill patternType="lightHorizontal">
        <fgColor indexed="22"/>
        <bgColor indexed="43"/>
      </patternFill>
    </fill>
    <fill>
      <patternFill patternType="solid">
        <fgColor rgb="FFC0C0C0"/>
        <bgColor indexed="64"/>
      </patternFill>
    </fill>
    <fill>
      <patternFill patternType="lightGray">
        <bgColor rgb="FFFFFFFF"/>
      </patternFill>
    </fill>
    <fill>
      <patternFill patternType="lightUp">
        <fgColor indexed="22"/>
        <bgColor indexed="9"/>
      </patternFill>
    </fill>
    <fill>
      <patternFill patternType="solid">
        <fgColor rgb="FFFAC090"/>
        <bgColor indexed="64"/>
      </patternFill>
    </fill>
    <fill>
      <patternFill patternType="solid">
        <fgColor indexed="22"/>
        <bgColor indexed="64"/>
      </patternFill>
    </fill>
    <fill>
      <patternFill patternType="lightHorizontal">
        <fgColor indexed="22"/>
        <bgColor indexed="9"/>
      </patternFill>
    </fill>
    <fill>
      <patternFill patternType="solid">
        <fgColor indexed="44"/>
        <bgColor indexed="64"/>
      </patternFill>
    </fill>
    <fill>
      <patternFill patternType="solid">
        <fgColor indexed="9"/>
        <bgColor indexed="22"/>
      </patternFill>
    </fill>
  </fills>
  <borders count="9">
    <border>
      <left/>
      <right/>
      <top/>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uble">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diagonal/>
    </border>
    <border diagonalUp="1" diagonalDown="1">
      <left style="dotted">
        <color indexed="64"/>
      </left>
      <right style="dotted">
        <color indexed="64"/>
      </right>
      <top style="dotted">
        <color indexed="64"/>
      </top>
      <bottom style="dotted">
        <color indexed="64"/>
      </bottom>
      <diagonal style="dotted">
        <color indexed="23"/>
      </diagonal>
    </border>
    <border diagonalUp="1" diagonalDown="1">
      <left style="dotted">
        <color indexed="64"/>
      </left>
      <right style="dotted">
        <color indexed="64"/>
      </right>
      <top style="dotted">
        <color indexed="64"/>
      </top>
      <bottom/>
      <diagonal style="dotted">
        <color indexed="23"/>
      </diagonal>
    </border>
  </borders>
  <cellStyleXfs count="10">
    <xf numFmtId="0" fontId="0" fillId="0" borderId="0"/>
    <xf numFmtId="0" fontId="1" fillId="0" borderId="0"/>
    <xf numFmtId="164" fontId="1"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 fillId="0" borderId="0"/>
    <xf numFmtId="0" fontId="10" fillId="0" borderId="0"/>
    <xf numFmtId="0" fontId="11" fillId="0" borderId="0"/>
    <xf numFmtId="0" fontId="10" fillId="0" borderId="0"/>
    <xf numFmtId="0" fontId="16" fillId="0" borderId="0" applyNumberFormat="0" applyFill="0" applyBorder="0" applyAlignment="0" applyProtection="0"/>
  </cellStyleXfs>
  <cellXfs count="102">
    <xf numFmtId="0" fontId="0" fillId="0" borderId="0" xfId="0"/>
    <xf numFmtId="0" fontId="0" fillId="0" borderId="0" xfId="0" applyAlignment="1" applyProtection="1">
      <alignment wrapText="1"/>
      <protection locked="0"/>
    </xf>
    <xf numFmtId="0" fontId="0" fillId="0" borderId="0" xfId="0" applyProtection="1">
      <protection locked="0"/>
    </xf>
    <xf numFmtId="0" fontId="4" fillId="2" borderId="0" xfId="0" applyFont="1" applyFill="1" applyAlignment="1">
      <alignment horizontal="justify" vertical="top" wrapText="1"/>
    </xf>
    <xf numFmtId="0" fontId="5" fillId="2" borderId="0" xfId="0" applyFont="1" applyFill="1" applyAlignment="1">
      <alignment vertical="center"/>
    </xf>
    <xf numFmtId="0" fontId="0" fillId="2" borderId="0" xfId="0" applyFill="1"/>
    <xf numFmtId="0" fontId="4" fillId="2" borderId="0" xfId="0" applyFont="1" applyFill="1" applyAlignment="1">
      <alignment horizontal="left" vertical="top" wrapText="1"/>
    </xf>
    <xf numFmtId="0" fontId="5" fillId="2" borderId="0" xfId="0" applyFont="1" applyFill="1" applyAlignment="1">
      <alignment horizontal="left" vertical="center"/>
    </xf>
    <xf numFmtId="0" fontId="3" fillId="2" borderId="0" xfId="0" applyFont="1" applyFill="1" applyAlignment="1">
      <alignment horizontal="left" vertical="top" wrapText="1"/>
    </xf>
    <xf numFmtId="0" fontId="2" fillId="2" borderId="0" xfId="0" applyFont="1" applyFill="1" applyAlignment="1">
      <alignment horizont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49" fontId="1" fillId="0" borderId="0" xfId="1" applyNumberFormat="1" applyProtection="1">
      <protection locked="0"/>
    </xf>
    <xf numFmtId="49" fontId="0" fillId="0" borderId="0" xfId="0" applyNumberFormat="1" applyProtection="1">
      <protection locked="0"/>
    </xf>
    <xf numFmtId="49" fontId="0" fillId="0" borderId="0" xfId="0" applyNumberFormat="1"/>
    <xf numFmtId="0" fontId="7" fillId="2" borderId="0" xfId="0" applyFont="1" applyFill="1" applyAlignment="1">
      <alignment horizontal="left" vertical="top"/>
    </xf>
    <xf numFmtId="3" fontId="0" fillId="0" borderId="0" xfId="0" applyNumberFormat="1"/>
    <xf numFmtId="4" fontId="0" fillId="0" borderId="0" xfId="0" applyNumberFormat="1"/>
    <xf numFmtId="0" fontId="12" fillId="0" borderId="0" xfId="0" applyFont="1"/>
    <xf numFmtId="0" fontId="13" fillId="3" borderId="3" xfId="0" applyFont="1" applyFill="1" applyBorder="1" applyAlignment="1">
      <alignment horizontal="center" vertical="center" wrapText="1" shrinkToFit="1"/>
    </xf>
    <xf numFmtId="0" fontId="0" fillId="0" borderId="2" xfId="0" applyBorder="1" applyAlignment="1">
      <alignment horizontal="center" vertical="center" wrapText="1" shrinkToFit="1"/>
    </xf>
    <xf numFmtId="40" fontId="14" fillId="0" borderId="3" xfId="0" applyNumberFormat="1" applyFont="1" applyBorder="1" applyAlignment="1" applyProtection="1">
      <alignment vertical="center" wrapText="1"/>
      <protection locked="0"/>
    </xf>
    <xf numFmtId="49" fontId="14" fillId="4" borderId="1" xfId="0" applyNumberFormat="1" applyFont="1" applyFill="1" applyBorder="1" applyAlignment="1">
      <alignment horizontal="left" vertical="center" wrapText="1" shrinkToFit="1"/>
    </xf>
    <xf numFmtId="40" fontId="14" fillId="5" borderId="3" xfId="0" applyNumberFormat="1" applyFont="1" applyFill="1" applyBorder="1" applyAlignment="1">
      <alignment vertical="center" wrapText="1"/>
    </xf>
    <xf numFmtId="0" fontId="15" fillId="0" borderId="0" xfId="0" applyFont="1" applyAlignment="1">
      <alignment wrapText="1"/>
    </xf>
    <xf numFmtId="0" fontId="13" fillId="0" borderId="0" xfId="0" applyFont="1" applyAlignment="1">
      <alignment wrapText="1" shrinkToFit="1"/>
    </xf>
    <xf numFmtId="0" fontId="17" fillId="0" borderId="0" xfId="9" applyFont="1" applyAlignment="1">
      <alignment horizontal="left"/>
    </xf>
    <xf numFmtId="0" fontId="13" fillId="0" borderId="0" xfId="0" applyFont="1"/>
    <xf numFmtId="0" fontId="13" fillId="0" borderId="0" xfId="0" applyFont="1" applyAlignment="1">
      <alignment wrapText="1"/>
    </xf>
    <xf numFmtId="0" fontId="18" fillId="0" borderId="0" xfId="0" applyFont="1"/>
    <xf numFmtId="0" fontId="19" fillId="6" borderId="3" xfId="0" applyFont="1" applyFill="1" applyBorder="1" applyAlignment="1">
      <alignment vertical="center" wrapText="1" shrinkToFit="1"/>
    </xf>
    <xf numFmtId="0" fontId="19" fillId="6" borderId="3" xfId="0" applyFont="1" applyFill="1" applyBorder="1" applyAlignment="1">
      <alignment horizontal="left" vertical="center" wrapText="1" indent="2" shrinkToFit="1"/>
    </xf>
    <xf numFmtId="0" fontId="20" fillId="2" borderId="3" xfId="0" applyFont="1" applyFill="1" applyBorder="1" applyAlignment="1">
      <alignment horizontal="left" vertical="center" wrapText="1" indent="3" shrinkToFit="1"/>
    </xf>
    <xf numFmtId="49" fontId="14" fillId="7" borderId="3" xfId="0" applyNumberFormat="1" applyFont="1" applyFill="1" applyBorder="1" applyAlignment="1" applyProtection="1">
      <alignment horizontal="left" vertical="center" wrapText="1" shrinkToFit="1"/>
      <protection locked="0"/>
    </xf>
    <xf numFmtId="0" fontId="14" fillId="2" borderId="3" xfId="0" applyFont="1" applyFill="1" applyBorder="1" applyAlignment="1">
      <alignment horizontal="left" vertical="center" wrapText="1" indent="4" shrinkToFit="1"/>
    </xf>
    <xf numFmtId="0" fontId="14" fillId="4" borderId="3" xfId="0" applyFont="1" applyFill="1" applyBorder="1" applyAlignment="1">
      <alignment horizontal="left" vertical="center" wrapText="1" shrinkToFit="1"/>
    </xf>
    <xf numFmtId="49" fontId="14" fillId="8" borderId="3" xfId="0" applyNumberFormat="1" applyFont="1" applyFill="1" applyBorder="1" applyAlignment="1">
      <alignment horizontal="left" vertical="center" wrapText="1" shrinkToFit="1"/>
    </xf>
    <xf numFmtId="0" fontId="14" fillId="2" borderId="3" xfId="0" applyFont="1" applyFill="1" applyBorder="1" applyAlignment="1">
      <alignment horizontal="left" vertical="center" wrapText="1" indent="6" shrinkToFit="1"/>
    </xf>
    <xf numFmtId="0" fontId="12" fillId="3" borderId="0" xfId="0" applyFont="1" applyFill="1"/>
    <xf numFmtId="0" fontId="0" fillId="3" borderId="0" xfId="0" applyFill="1"/>
    <xf numFmtId="0" fontId="21" fillId="3" borderId="0" xfId="0" applyFont="1" applyFill="1" applyAlignment="1">
      <alignment vertical="center"/>
    </xf>
    <xf numFmtId="0" fontId="20" fillId="0" borderId="0" xfId="0" applyFont="1"/>
    <xf numFmtId="0" fontId="18" fillId="0" borderId="0" xfId="0" applyFont="1" applyAlignment="1">
      <alignment horizontal="right"/>
    </xf>
    <xf numFmtId="49" fontId="14" fillId="2" borderId="3" xfId="0" applyNumberFormat="1" applyFont="1" applyFill="1" applyBorder="1" applyAlignment="1">
      <alignment horizontal="center" vertical="center" wrapText="1" shrinkToFit="1"/>
    </xf>
    <xf numFmtId="0" fontId="20" fillId="3" borderId="3" xfId="0" applyFont="1" applyFill="1" applyBorder="1" applyAlignment="1">
      <alignment horizontal="center" vertical="center" wrapText="1" shrinkToFit="1"/>
    </xf>
    <xf numFmtId="0" fontId="18" fillId="0" borderId="0" xfId="0" applyFont="1" applyAlignment="1">
      <alignment vertical="top" wrapText="1"/>
    </xf>
    <xf numFmtId="0" fontId="14" fillId="9" borderId="3" xfId="0" applyFont="1" applyFill="1" applyBorder="1" applyAlignment="1">
      <alignment vertical="center" wrapText="1" shrinkToFit="1"/>
    </xf>
    <xf numFmtId="49" fontId="14" fillId="4" borderId="3" xfId="0" applyNumberFormat="1" applyFont="1" applyFill="1" applyBorder="1" applyAlignment="1">
      <alignment horizontal="left" vertical="center" wrapText="1" shrinkToFit="1"/>
    </xf>
    <xf numFmtId="0" fontId="14" fillId="2" borderId="3" xfId="0" applyFont="1" applyFill="1" applyBorder="1" applyAlignment="1">
      <alignment vertical="center" wrapText="1" shrinkToFit="1"/>
    </xf>
    <xf numFmtId="0" fontId="14" fillId="0" borderId="3" xfId="0" applyFont="1" applyBorder="1" applyAlignment="1">
      <alignment vertical="center" wrapText="1" shrinkToFit="1"/>
    </xf>
    <xf numFmtId="49" fontId="14" fillId="9" borderId="3" xfId="0" applyNumberFormat="1" applyFont="1" applyFill="1" applyBorder="1" applyAlignment="1">
      <alignment vertical="center" wrapText="1" shrinkToFit="1"/>
    </xf>
    <xf numFmtId="49" fontId="14" fillId="10" borderId="3" xfId="0" applyNumberFormat="1" applyFont="1" applyFill="1" applyBorder="1" applyAlignment="1">
      <alignment horizontal="center" vertical="center" wrapText="1" shrinkToFit="1"/>
    </xf>
    <xf numFmtId="0" fontId="14" fillId="2" borderId="3" xfId="0" applyFont="1" applyFill="1" applyBorder="1" applyAlignment="1">
      <alignment horizontal="left" vertical="center" wrapText="1" indent="2" shrinkToFit="1"/>
    </xf>
    <xf numFmtId="165" fontId="14" fillId="2" borderId="3" xfId="0" applyNumberFormat="1" applyFont="1" applyFill="1" applyBorder="1" applyAlignment="1" applyProtection="1">
      <alignment horizontal="right" vertical="center" wrapText="1" shrinkToFit="1"/>
      <protection locked="0"/>
    </xf>
    <xf numFmtId="0" fontId="20" fillId="2" borderId="3" xfId="0" applyFont="1" applyFill="1" applyBorder="1" applyAlignment="1">
      <alignment horizontal="left" vertical="center" wrapText="1" indent="1" shrinkToFit="1"/>
    </xf>
    <xf numFmtId="0" fontId="23" fillId="0" borderId="0" xfId="0" applyFont="1" applyAlignment="1">
      <alignment wrapText="1"/>
    </xf>
    <xf numFmtId="0" fontId="25" fillId="6" borderId="3" xfId="0" applyFont="1" applyFill="1" applyBorder="1" applyAlignment="1">
      <alignment horizontal="left" vertical="center" wrapText="1" indent="4" shrinkToFit="1"/>
    </xf>
    <xf numFmtId="0" fontId="25" fillId="6" borderId="3" xfId="0" applyFont="1" applyFill="1" applyBorder="1" applyAlignment="1">
      <alignment vertical="center" wrapText="1" shrinkToFit="1"/>
    </xf>
    <xf numFmtId="0" fontId="25" fillId="6" borderId="3" xfId="0" applyFont="1" applyFill="1" applyBorder="1" applyAlignment="1">
      <alignment horizontal="left" vertical="center" wrapText="1" indent="6" shrinkToFit="1"/>
    </xf>
    <xf numFmtId="0" fontId="20" fillId="2" borderId="3" xfId="0" applyFont="1" applyFill="1" applyBorder="1" applyAlignment="1">
      <alignment horizontal="left" vertical="center" wrapText="1" indent="7" shrinkToFit="1"/>
    </xf>
    <xf numFmtId="40" fontId="14" fillId="2" borderId="3" xfId="0" applyNumberFormat="1" applyFont="1" applyFill="1" applyBorder="1" applyAlignment="1" applyProtection="1">
      <alignment horizontal="right" vertical="center" wrapText="1" shrinkToFit="1"/>
      <protection locked="0"/>
    </xf>
    <xf numFmtId="0" fontId="17" fillId="0" borderId="0" xfId="9" applyFont="1"/>
    <xf numFmtId="0" fontId="14" fillId="2" borderId="3" xfId="0" applyFont="1" applyFill="1" applyBorder="1" applyAlignment="1">
      <alignment horizontal="left" vertical="center" wrapText="1" indent="8" shrinkToFit="1"/>
    </xf>
    <xf numFmtId="0" fontId="26" fillId="11" borderId="3" xfId="0" applyFont="1" applyFill="1" applyBorder="1" applyAlignment="1">
      <alignment horizontal="left" vertical="center" wrapText="1" indent="7" shrinkToFit="1"/>
    </xf>
    <xf numFmtId="40" fontId="14" fillId="11" borderId="4" xfId="0" applyNumberFormat="1" applyFont="1" applyFill="1" applyBorder="1" applyAlignment="1">
      <alignment horizontal="right" vertical="center" wrapText="1" shrinkToFit="1"/>
    </xf>
    <xf numFmtId="0" fontId="25" fillId="6" borderId="5" xfId="0" applyFont="1" applyFill="1" applyBorder="1" applyAlignment="1">
      <alignment vertical="center" wrapText="1" shrinkToFit="1"/>
    </xf>
    <xf numFmtId="0" fontId="25" fillId="11" borderId="3" xfId="0" applyFont="1" applyFill="1" applyBorder="1" applyAlignment="1">
      <alignment horizontal="left" vertical="center" wrapText="1" indent="8" shrinkToFit="1"/>
    </xf>
    <xf numFmtId="40" fontId="14" fillId="2" borderId="5" xfId="0" applyNumberFormat="1" applyFont="1" applyFill="1" applyBorder="1" applyAlignment="1" applyProtection="1">
      <alignment horizontal="right" vertical="center" wrapText="1" shrinkToFit="1"/>
      <protection locked="0"/>
    </xf>
    <xf numFmtId="40" fontId="14" fillId="11" borderId="6" xfId="0" applyNumberFormat="1" applyFont="1" applyFill="1" applyBorder="1" applyAlignment="1">
      <alignment horizontal="right" vertical="center" wrapText="1" shrinkToFit="1"/>
    </xf>
    <xf numFmtId="0" fontId="26" fillId="11" borderId="3" xfId="0" applyFont="1" applyFill="1" applyBorder="1" applyAlignment="1">
      <alignment horizontal="left" vertical="center" wrapText="1" indent="5" shrinkToFit="1"/>
    </xf>
    <xf numFmtId="40" fontId="14" fillId="11" borderId="3" xfId="0" applyNumberFormat="1" applyFont="1" applyFill="1" applyBorder="1" applyAlignment="1">
      <alignment horizontal="right" vertical="center" wrapText="1" shrinkToFit="1"/>
    </xf>
    <xf numFmtId="0" fontId="25" fillId="6" borderId="3" xfId="0" applyFont="1" applyFill="1" applyBorder="1" applyAlignment="1">
      <alignment horizontal="left" vertical="center" wrapText="1" indent="8" shrinkToFit="1"/>
    </xf>
    <xf numFmtId="0" fontId="14" fillId="2" borderId="3" xfId="0" applyFont="1" applyFill="1" applyBorder="1" applyAlignment="1">
      <alignment horizontal="left" vertical="center" wrapText="1" indent="10" shrinkToFit="1"/>
    </xf>
    <xf numFmtId="0" fontId="20" fillId="2" borderId="3" xfId="0" applyFont="1" applyFill="1" applyBorder="1" applyAlignment="1">
      <alignment horizontal="left" vertical="center" wrapText="1" indent="9" shrinkToFit="1"/>
    </xf>
    <xf numFmtId="0" fontId="25" fillId="11" borderId="3" xfId="0" applyFont="1" applyFill="1" applyBorder="1" applyAlignment="1">
      <alignment horizontal="left" vertical="center" wrapText="1" indent="10" shrinkToFit="1"/>
    </xf>
    <xf numFmtId="0" fontId="26" fillId="11" borderId="3" xfId="0" applyFont="1" applyFill="1" applyBorder="1" applyAlignment="1">
      <alignment horizontal="left" vertical="center" wrapText="1" indent="9" shrinkToFit="1"/>
    </xf>
    <xf numFmtId="0" fontId="25" fillId="6" borderId="3" xfId="0" applyFont="1" applyFill="1" applyBorder="1" applyAlignment="1">
      <alignment horizontal="left" vertical="center" wrapText="1" indent="10" shrinkToFit="1"/>
    </xf>
    <xf numFmtId="0" fontId="14" fillId="2" borderId="3" xfId="0" applyFont="1" applyFill="1" applyBorder="1" applyAlignment="1">
      <alignment horizontal="left" vertical="center" wrapText="1" indent="12" shrinkToFit="1"/>
    </xf>
    <xf numFmtId="0" fontId="25" fillId="11" borderId="3" xfId="0" applyFont="1" applyFill="1" applyBorder="1" applyAlignment="1">
      <alignment horizontal="left" vertical="center" wrapText="1" indent="12" shrinkToFit="1"/>
    </xf>
    <xf numFmtId="0" fontId="20" fillId="2" borderId="3" xfId="0" applyFont="1" applyFill="1" applyBorder="1" applyAlignment="1">
      <alignment horizontal="left" vertical="center" wrapText="1" indent="5" shrinkToFit="1"/>
    </xf>
    <xf numFmtId="0" fontId="25" fillId="11" borderId="3" xfId="0" applyFont="1" applyFill="1" applyBorder="1" applyAlignment="1">
      <alignment horizontal="left" vertical="center" wrapText="1" indent="6" shrinkToFit="1"/>
    </xf>
    <xf numFmtId="0" fontId="26" fillId="11" borderId="3" xfId="0" applyFont="1" applyFill="1" applyBorder="1" applyAlignment="1">
      <alignment horizontal="left" vertical="center" wrapText="1" indent="3" shrinkToFit="1"/>
    </xf>
    <xf numFmtId="11" fontId="13" fillId="0" borderId="0" xfId="0" applyNumberFormat="1" applyFont="1" applyAlignment="1">
      <alignment wrapText="1" shrinkToFit="1"/>
    </xf>
    <xf numFmtId="0" fontId="17" fillId="0" borderId="0" xfId="9" applyFont="1" applyAlignment="1">
      <alignment horizontal="right" vertical="top" wrapText="1"/>
    </xf>
    <xf numFmtId="0" fontId="12" fillId="0" borderId="0" xfId="0" applyFont="1" applyAlignment="1">
      <alignment wrapText="1"/>
    </xf>
    <xf numFmtId="0" fontId="12" fillId="3" borderId="0" xfId="0" applyFont="1" applyFill="1" applyAlignment="1">
      <alignment horizontal="left"/>
    </xf>
    <xf numFmtId="0" fontId="13" fillId="3" borderId="0" xfId="0" applyFont="1" applyFill="1" applyAlignment="1">
      <alignment horizontal="left" vertical="center"/>
    </xf>
    <xf numFmtId="0" fontId="12" fillId="0" borderId="0" xfId="0" applyFont="1" applyAlignment="1">
      <alignment horizontal="left"/>
    </xf>
    <xf numFmtId="0" fontId="17" fillId="2" borderId="0" xfId="9" applyFont="1" applyFill="1" applyAlignment="1">
      <alignment horizontal="left"/>
    </xf>
    <xf numFmtId="0" fontId="12" fillId="0" borderId="0" xfId="0" applyFont="1" applyAlignment="1">
      <alignment horizontal="left" vertical="center"/>
    </xf>
    <xf numFmtId="0" fontId="12" fillId="0" borderId="0" xfId="0" applyFont="1" applyAlignment="1">
      <alignment horizontal="left" wrapText="1"/>
    </xf>
    <xf numFmtId="0" fontId="13" fillId="3" borderId="3" xfId="0" applyFont="1" applyFill="1" applyBorder="1" applyAlignment="1">
      <alignment horizontal="left" wrapText="1"/>
    </xf>
    <xf numFmtId="0" fontId="17" fillId="2" borderId="3" xfId="9" applyFont="1" applyFill="1" applyBorder="1" applyAlignment="1">
      <alignment horizontal="left" wrapText="1"/>
    </xf>
    <xf numFmtId="0" fontId="20" fillId="2" borderId="1" xfId="0" applyFont="1" applyFill="1" applyBorder="1" applyAlignment="1">
      <alignment horizontal="left" vertical="center" wrapText="1" indent="3" shrinkToFit="1"/>
    </xf>
    <xf numFmtId="0" fontId="14" fillId="4" borderId="7" xfId="0" applyFont="1" applyFill="1" applyBorder="1" applyAlignment="1">
      <alignment horizontal="left" vertical="center" wrapText="1" shrinkToFit="1"/>
    </xf>
    <xf numFmtId="0" fontId="14" fillId="4" borderId="8" xfId="0" applyFont="1" applyFill="1" applyBorder="1" applyAlignment="1">
      <alignment horizontal="left" vertical="center" wrapText="1" shrinkToFit="1"/>
    </xf>
    <xf numFmtId="0" fontId="20" fillId="11" borderId="3" xfId="0" applyFont="1" applyFill="1" applyBorder="1" applyAlignment="1">
      <alignment horizontal="left" vertical="center" wrapText="1" indent="3" shrinkToFit="1"/>
    </xf>
    <xf numFmtId="49" fontId="14" fillId="4" borderId="6" xfId="0" applyNumberFormat="1" applyFont="1" applyFill="1" applyBorder="1" applyAlignment="1">
      <alignment horizontal="left" vertical="center" wrapText="1" shrinkToFit="1"/>
    </xf>
    <xf numFmtId="49" fontId="14" fillId="4" borderId="5" xfId="0" applyNumberFormat="1" applyFont="1" applyFill="1" applyBorder="1" applyAlignment="1">
      <alignment horizontal="left" vertical="center" wrapText="1" shrinkToFit="1"/>
    </xf>
    <xf numFmtId="49" fontId="14" fillId="12" borderId="3" xfId="0" applyNumberFormat="1" applyFont="1" applyFill="1" applyBorder="1" applyAlignment="1">
      <alignment horizontal="left" vertical="center" wrapText="1" shrinkToFit="1"/>
    </xf>
    <xf numFmtId="49" fontId="14" fillId="2" borderId="3" xfId="0" applyNumberFormat="1" applyFont="1" applyFill="1" applyBorder="1" applyAlignment="1">
      <alignment horizontal="left" vertical="center" wrapText="1" shrinkToFit="1"/>
    </xf>
  </cellXfs>
  <cellStyles count="10">
    <cellStyle name="Comma 2" xfId="2" xr:uid="{00000000-0005-0000-0000-000000000000}"/>
    <cellStyle name="Hyperlink" xfId="9" builtinId="8"/>
    <cellStyle name="Hyperlink 2" xfId="3" xr:uid="{00000000-0005-0000-0000-000001000000}"/>
    <cellStyle name="Hyperlink 3" xfId="4" xr:uid="{00000000-0005-0000-0000-000002000000}"/>
    <cellStyle name="Normal" xfId="0" builtinId="0"/>
    <cellStyle name="Normal 2" xfId="5" xr:uid="{00000000-0005-0000-0000-000004000000}"/>
    <cellStyle name="Normal 2 2" xfId="6" xr:uid="{00000000-0005-0000-0000-000005000000}"/>
    <cellStyle name="Normal 2_Derivatives-Dom" xfId="7" xr:uid="{00000000-0005-0000-0000-000006000000}"/>
    <cellStyle name="Normal 3" xfId="8" xr:uid="{00000000-0005-0000-0000-000007000000}"/>
    <cellStyle name="Normal_MainSheet" xfId="1" xr:uid="{00000000-0005-0000-0000-000008000000}"/>
  </cellStyles>
  <dxfs count="0"/>
  <tableStyles count="0" defaultTableStyle="TableStyleMedium9" defaultPivotStyle="PivotStyleLight16"/>
  <colors>
    <mruColors>
      <color rgb="FF003555"/>
      <color rgb="FFBFA1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activeX1.xml><?xml version="1.0" encoding="utf-8"?>
<ax:ocx xmlns:ax="http://schemas.microsoft.com/office/2006/activeX" xmlns:r="http://schemas.openxmlformats.org/officeDocument/2006/relationships" ax:classid="{868FBE40-B964-453C-BEA2-77F32F2C294F}" ax:persistence="persistStorage" r:id="rId1"/>
</file>

<file path=xl/activeX/activeX2.xml><?xml version="1.0" encoding="utf-8"?>
<ax:ocx xmlns:ax="http://schemas.microsoft.com/office/2006/activeX" xmlns:r="http://schemas.openxmlformats.org/officeDocument/2006/relationships" ax:classid="{4C599241-6926-101B-9992-00000B65C6F9}" ax:persistence="persistStreamInit" r:id="rId1"/>
</file>

<file path=xl/activeX/activeX3.xml><?xml version="1.0" encoding="utf-8"?>
<ax:ocx xmlns:ax="http://schemas.microsoft.com/office/2006/activeX" xmlns:r="http://schemas.openxmlformats.org/officeDocument/2006/relationships" ax:classid="{4C599241-6926-101B-9992-00000B65C6F9}" ax:persistence="persistStreamInit" r:id="rId1"/>
</file>

<file path=xl/activeX/activeX4.xml><?xml version="1.0" encoding="utf-8"?>
<ax:ocx xmlns:ax="http://schemas.microsoft.com/office/2006/activeX" xmlns:r="http://schemas.openxmlformats.org/officeDocument/2006/relationships" ax:classid="{4C599241-6926-101B-9992-00000B65C6F9}" ax:persistence="persistStreamInit" r:id="rId1"/>
</file>

<file path=xl/activeX/activeX5.xml><?xml version="1.0" encoding="utf-8"?>
<ax:ocx xmlns:ax="http://schemas.microsoft.com/office/2006/activeX" xmlns:r="http://schemas.openxmlformats.org/officeDocument/2006/relationships" ax:classid="{4C599241-6926-101B-9992-00000B65C6F9}" ax:persistence="persistStreamInit" r:id="rId1"/>
</file>

<file path=xl/activeX/activeX6.xml><?xml version="1.0" encoding="utf-8"?>
<ax:ocx xmlns:ax="http://schemas.microsoft.com/office/2006/activeX" xmlns:r="http://schemas.openxmlformats.org/officeDocument/2006/relationships" ax:classid="{4C599241-6926-101B-9992-00000B65C6F9}" ax:persistence="persistStreamInit" r:id="rId1"/>
</file>

<file path=xl/activeX/activeX7.xml><?xml version="1.0" encoding="utf-8"?>
<ax:ocx xmlns:ax="http://schemas.microsoft.com/office/2006/activeX" xmlns:r="http://schemas.openxmlformats.org/officeDocument/2006/relationships" ax:classid="{4C599241-6926-101B-9992-00000B65C6F9}" ax:persistence="persistStreamInit" r:id="rId1"/>
</file>

<file path=xl/activeX/activeX8.xml><?xml version="1.0" encoding="utf-8"?>
<ax:ocx xmlns:ax="http://schemas.microsoft.com/office/2006/activeX" xmlns:r="http://schemas.openxmlformats.org/officeDocument/2006/relationships" ax:classid="{4C599241-6926-101B-9992-00000B65C6F9}" ax:persistence="persistStreamInit" r:id="rId1"/>
</file>

<file path=xl/activeX/activeX9.xml><?xml version="1.0" encoding="utf-8"?>
<ax:ocx xmlns:ax="http://schemas.microsoft.com/office/2006/activeX" xmlns:r="http://schemas.openxmlformats.org/officeDocument/2006/relationships" ax:classid="{4C599241-6926-101B-9992-00000B65C6F9}" ax:persistence="persistStreamInit" r:id="rId1"/>
</file>

<file path=xl/activeX/activeX10.xml><?xml version="1.0" encoding="utf-8"?>
<ax:ocx xmlns:ax="http://schemas.microsoft.com/office/2006/activeX" xmlns:r="http://schemas.openxmlformats.org/officeDocument/2006/relationships" ax:classid="{4C599241-6926-101B-9992-00000B65C6F9}" ax:persistence="persistStreamInit" r:id="rId1"/>
</file>

<file path=xl/activeX/activeX11.xml><?xml version="1.0" encoding="utf-8"?>
<ax:ocx xmlns:ax="http://schemas.microsoft.com/office/2006/activeX" xmlns:r="http://schemas.openxmlformats.org/officeDocument/2006/relationships" ax:classid="{4C599241-6926-101B-9992-00000B65C6F9}" ax:persistence="persistStreamInit" r:id="rId1"/>
</file>

<file path=xl/activeX/activeX12.xml><?xml version="1.0" encoding="utf-8"?>
<ax:ocx xmlns:ax="http://schemas.microsoft.com/office/2006/activeX" xmlns:r="http://schemas.openxmlformats.org/officeDocument/2006/relationships" ax:classid="{4C599241-6926-101B-9992-00000B65C6F9}" ax:persistence="persistStreamInit" r:id="rId1"/>
</file>

<file path=xl/activeX/activeX13.xml><?xml version="1.0" encoding="utf-8"?>
<ax:ocx xmlns:ax="http://schemas.microsoft.com/office/2006/activeX" xmlns:r="http://schemas.openxmlformats.org/officeDocument/2006/relationships" ax:classid="{4C599241-6926-101B-9992-00000B65C6F9}" ax:persistence="persistStreamInit" r:id="rId1"/>
</file>

<file path=xl/activeX/activeX14.xml><?xml version="1.0" encoding="utf-8"?>
<ax:ocx xmlns:ax="http://schemas.microsoft.com/office/2006/activeX" xmlns:r="http://schemas.openxmlformats.org/officeDocument/2006/relationships" ax:classid="{4C599241-6926-101B-9992-00000B65C6F9}" ax:persistence="persistStreamInit" r:id="rId1"/>
</file>

<file path=xl/activeX/activeX15.xml><?xml version="1.0" encoding="utf-8"?>
<ax:ocx xmlns:ax="http://schemas.microsoft.com/office/2006/activeX" xmlns:r="http://schemas.openxmlformats.org/officeDocument/2006/relationships" ax:classid="{4C599241-6926-101B-9992-00000B65C6F9}" ax:persistence="persistStreamInit" r:id="rId1"/>
</file>

<file path=xl/activeX/activeX16.xml><?xml version="1.0" encoding="utf-8"?>
<ax:ocx xmlns:ax="http://schemas.microsoft.com/office/2006/activeX" xmlns:r="http://schemas.openxmlformats.org/officeDocument/2006/relationships" ax:classid="{4C599241-6926-101B-9992-00000B65C6F9}" ax:persistence="persistStreamInit" r:id="rId1"/>
</file>

<file path=xl/activeX/activeX17.xml><?xml version="1.0" encoding="utf-8"?>
<ax:ocx xmlns:ax="http://schemas.microsoft.com/office/2006/activeX" xmlns:r="http://schemas.openxmlformats.org/officeDocument/2006/relationships" ax:classid="{4C599241-6926-101B-9992-00000B65C6F9}" ax:persistence="persistStreamInit" r:id="rId1"/>
</file>

<file path=xl/activeX/activeX18.xml><?xml version="1.0" encoding="utf-8"?>
<ax:ocx xmlns:ax="http://schemas.microsoft.com/office/2006/activeX" xmlns:r="http://schemas.openxmlformats.org/officeDocument/2006/relationships" ax:classid="{4C599241-6926-101B-9992-00000B65C6F9}" ax:persistence="persistStreamInit" r:id="rId1"/>
</file>

<file path=xl/activeX/activeX19.xml><?xml version="1.0" encoding="utf-8"?>
<ax:ocx xmlns:ax="http://schemas.microsoft.com/office/2006/activeX" xmlns:r="http://schemas.openxmlformats.org/officeDocument/2006/relationships" ax:classid="{4C599241-6926-101B-9992-00000B65C6F9}" ax:persistence="persistStreamInit" r:id="rId1"/>
</file>

<file path=xl/activeX/activeX20.xml><?xml version="1.0" encoding="utf-8"?>
<ax:ocx xmlns:ax="http://schemas.microsoft.com/office/2006/activeX" xmlns:r="http://schemas.openxmlformats.org/officeDocument/2006/relationships" ax:classid="{4C599241-6926-101B-9992-00000B65C6F9}" ax:persistence="persistStreamInit" r:id="rId1"/>
</file>

<file path=xl/activeX/activeX21.xml><?xml version="1.0" encoding="utf-8"?>
<ax:ocx xmlns:ax="http://schemas.microsoft.com/office/2006/activeX" xmlns:r="http://schemas.openxmlformats.org/officeDocument/2006/relationships" ax:classid="{4C599241-6926-101B-9992-00000B65C6F9}" ax:persistence="persistStreamInit" r:id="rId1"/>
</file>

<file path=xl/activeX/activeX22.xml><?xml version="1.0" encoding="utf-8"?>
<ax:ocx xmlns:ax="http://schemas.microsoft.com/office/2006/activeX" xmlns:r="http://schemas.openxmlformats.org/officeDocument/2006/relationships" ax:classid="{4C599241-6926-101B-9992-00000B65C6F9}" ax:persistence="persistStreamInit" r:id="rId1"/>
</file>

<file path=xl/activeX/activeX23.xml><?xml version="1.0" encoding="utf-8"?>
<ax:ocx xmlns:ax="http://schemas.microsoft.com/office/2006/activeX" xmlns:r="http://schemas.openxmlformats.org/officeDocument/2006/relationships" ax:classid="{4C599241-6926-101B-9992-00000B65C6F9}" ax:persistence="persistStreamInit" r:id="rId1"/>
</file>

<file path=xl/activeX/activeX24.xml><?xml version="1.0" encoding="utf-8"?>
<ax:ocx xmlns:ax="http://schemas.microsoft.com/office/2006/activeX" xmlns:r="http://schemas.openxmlformats.org/officeDocument/2006/relationships" ax:classid="{4C599241-6926-101B-9992-00000B65C6F9}" ax:persistence="persistStreamInit" r:id="rId1"/>
</file>

<file path=xl/activeX/activeX25.xml><?xml version="1.0" encoding="utf-8"?>
<ax:ocx xmlns:ax="http://schemas.microsoft.com/office/2006/activeX" xmlns:r="http://schemas.openxmlformats.org/officeDocument/2006/relationships" ax:classid="{4C599241-6926-101B-9992-00000B65C6F9}" ax:persistence="persistStreamInit" r:id="rId1"/>
</file>

<file path=xl/activeX/activeX26.xml><?xml version="1.0" encoding="utf-8"?>
<ax:ocx xmlns:ax="http://schemas.microsoft.com/office/2006/activeX" xmlns:r="http://schemas.openxmlformats.org/officeDocument/2006/relationships" ax:classid="{4C599241-6926-101B-9992-00000B65C6F9}" ax:persistence="persistStreamInit" r:id="rId1"/>
</file>

<file path=xl/activeX/activeX27.xml><?xml version="1.0" encoding="utf-8"?>
<ax:ocx xmlns:ax="http://schemas.microsoft.com/office/2006/activeX" xmlns:r="http://schemas.openxmlformats.org/officeDocument/2006/relationships" ax:classid="{4C599241-6926-101B-9992-00000B65C6F9}" ax:persistence="persistStreamInit" r:id="rId1"/>
</file>

<file path=xl/activeX/activeX28.xml><?xml version="1.0" encoding="utf-8"?>
<ax:ocx xmlns:ax="http://schemas.microsoft.com/office/2006/activeX" xmlns:r="http://schemas.openxmlformats.org/officeDocument/2006/relationships" ax:classid="{4C599241-6926-101B-9992-00000B65C6F9}" ax:persistence="persistStreamInit" r:id="rId1"/>
</file>

<file path=xl/activeX/activeX29.xml><?xml version="1.0" encoding="utf-8"?>
<ax:ocx xmlns:ax="http://schemas.microsoft.com/office/2006/activeX" xmlns:r="http://schemas.openxmlformats.org/officeDocument/2006/relationships" ax:classid="{4C599241-6926-101B-9992-00000B65C6F9}" ax:persistence="persistStreamInit" r:id="rId1"/>
</file>

<file path=xl/activeX/activeX30.xml><?xml version="1.0" encoding="utf-8"?>
<ax:ocx xmlns:ax="http://schemas.microsoft.com/office/2006/activeX" xmlns:r="http://schemas.openxmlformats.org/officeDocument/2006/relationships" ax:classid="{4C599241-6926-101B-9992-00000B65C6F9}" ax:persistence="persistStreamInit" r:id="rId1"/>
</file>

<file path=xl/activeX/activeX31.xml><?xml version="1.0" encoding="utf-8"?>
<ax:ocx xmlns:ax="http://schemas.microsoft.com/office/2006/activeX" xmlns:r="http://schemas.openxmlformats.org/officeDocument/2006/relationships" ax:classid="{4C599241-6926-101B-9992-00000B65C6F9}" ax:persistence="persistStreamInit" r:id="rId1"/>
</file>

<file path=xl/activeX/activeX32.xml><?xml version="1.0" encoding="utf-8"?>
<ax:ocx xmlns:ax="http://schemas.microsoft.com/office/2006/activeX" xmlns:r="http://schemas.openxmlformats.org/officeDocument/2006/relationships" ax:classid="{4C599241-6926-101B-9992-00000B65C6F9}" ax:persistence="persistStreamInit" r:id="rId1"/>
</file>

<file path=xl/activeX/activeX33.xml><?xml version="1.0" encoding="utf-8"?>
<ax:ocx xmlns:ax="http://schemas.microsoft.com/office/2006/activeX" xmlns:r="http://schemas.openxmlformats.org/officeDocument/2006/relationships" ax:classid="{4C599241-6926-101B-9992-00000B65C6F9}" ax:persistence="persistStreamInit" r:id="rId1"/>
</file>

<file path=xl/activeX/activeX34.xml><?xml version="1.0" encoding="utf-8"?>
<ax:ocx xmlns:ax="http://schemas.microsoft.com/office/2006/activeX" xmlns:r="http://schemas.openxmlformats.org/officeDocument/2006/relationships" ax:classid="{4C599241-6926-101B-9992-00000B65C6F9}" ax:persistence="persistStreamInit" r:id="rId1"/>
</file>

<file path=xl/activeX/activeX35.xml><?xml version="1.0" encoding="utf-8"?>
<ax:ocx xmlns:ax="http://schemas.microsoft.com/office/2006/activeX" xmlns:r="http://schemas.openxmlformats.org/officeDocument/2006/relationships" ax:classid="{4C599241-6926-101B-9992-00000B65C6F9}" ax:persistence="persistStreamInit" r:id="rId1"/>
</file>

<file path=xl/activeX/activeX36.xml><?xml version="1.0" encoding="utf-8"?>
<ax:ocx xmlns:ax="http://schemas.microsoft.com/office/2006/activeX" xmlns:r="http://schemas.openxmlformats.org/officeDocument/2006/relationships" ax:classid="{4C599241-6926-101B-9992-00000B65C6F9}" ax:persistence="persistStreamInit" r:id="rId1"/>
</file>

<file path=xl/activeX/activeX37.xml><?xml version="1.0" encoding="utf-8"?>
<ax:ocx xmlns:ax="http://schemas.microsoft.com/office/2006/activeX" xmlns:r="http://schemas.openxmlformats.org/officeDocument/2006/relationships" ax:classid="{4C599241-6926-101B-9992-00000B65C6F9}" ax:persistence="persistStreamInit" r:id="rId1"/>
</file>

<file path=xl/activeX/activeX38.xml><?xml version="1.0" encoding="utf-8"?>
<ax:ocx xmlns:ax="http://schemas.microsoft.com/office/2006/activeX" xmlns:r="http://schemas.openxmlformats.org/officeDocument/2006/relationships" ax:classid="{4C599241-6926-101B-9992-00000B65C6F9}" ax:persistence="persistStreamInit" r:id="rId1"/>
</file>

<file path=xl/activeX/activeX39.xml><?xml version="1.0" encoding="utf-8"?>
<ax:ocx xmlns:ax="http://schemas.microsoft.com/office/2006/activeX" xmlns:r="http://schemas.openxmlformats.org/officeDocument/2006/relationships" ax:classid="{4C599241-6926-101B-9992-00000B65C6F9}" ax:persistence="persistStreamInit" r:id="rId1"/>
</file>

<file path=xl/activeX/activeX40.xml><?xml version="1.0" encoding="utf-8"?>
<ax:ocx xmlns:ax="http://schemas.microsoft.com/office/2006/activeX" xmlns:r="http://schemas.openxmlformats.org/officeDocument/2006/relationships" ax:classid="{4C599241-6926-101B-9992-00000B65C6F9}" ax:persistence="persistStreamInit" r:id="rId1"/>
</file>

<file path=xl/activeX/activeX41.xml><?xml version="1.0" encoding="utf-8"?>
<ax:ocx xmlns:ax="http://schemas.microsoft.com/office/2006/activeX" xmlns:r="http://schemas.openxmlformats.org/officeDocument/2006/relationships" ax:classid="{4C599241-6926-101B-9992-00000B65C6F9}" ax:persistence="persistStreamInit" r:id="rId1"/>
</file>

<file path=xl/activeX/activeX42.xml><?xml version="1.0" encoding="utf-8"?>
<ax:ocx xmlns:ax="http://schemas.microsoft.com/office/2006/activeX" xmlns:r="http://schemas.openxmlformats.org/officeDocument/2006/relationships" ax:classid="{4C599241-6926-101B-9992-00000B65C6F9}" ax:persistence="persistStreamInit" r:id="rId1"/>
</file>

<file path=xl/activeX/activeX43.xml><?xml version="1.0" encoding="utf-8"?>
<ax:ocx xmlns:ax="http://schemas.microsoft.com/office/2006/activeX" xmlns:r="http://schemas.openxmlformats.org/officeDocument/2006/relationships" ax:classid="{4C599241-6926-101B-9992-00000B65C6F9}" ax:persistence="persistStreamInit" r:id="rId1"/>
</file>

<file path=xl/activeX/activeX44.xml><?xml version="1.0" encoding="utf-8"?>
<ax:ocx xmlns:ax="http://schemas.microsoft.com/office/2006/activeX" xmlns:r="http://schemas.openxmlformats.org/officeDocument/2006/relationships" ax:classid="{4C599241-6926-101B-9992-00000B65C6F9}" ax:persistence="persistStreamInit" r:id="rId1"/>
</file>

<file path=xl/activeX/activeX45.xml><?xml version="1.0" encoding="utf-8"?>
<ax:ocx xmlns:ax="http://schemas.microsoft.com/office/2006/activeX" xmlns:r="http://schemas.openxmlformats.org/officeDocument/2006/relationships" ax:classid="{4C599241-6926-101B-9992-00000B65C6F9}" ax:persistence="persistStreamInit" r:id="rId1"/>
</file>

<file path=xl/activeX/activeX46.xml><?xml version="1.0" encoding="utf-8"?>
<ax:ocx xmlns:ax="http://schemas.microsoft.com/office/2006/activeX" xmlns:r="http://schemas.openxmlformats.org/officeDocument/2006/relationships" ax:classid="{4C599241-6926-101B-9992-00000B65C6F9}" ax:persistence="persistStreamInit" r:id="rId1"/>
</file>

<file path=xl/activeX/activeX47.xml><?xml version="1.0" encoding="utf-8"?>
<ax:ocx xmlns:ax="http://schemas.microsoft.com/office/2006/activeX" xmlns:r="http://schemas.openxmlformats.org/officeDocument/2006/relationships" ax:classid="{4C599241-6926-101B-9992-00000B65C6F9}" ax:persistence="persistStreamInit" r:id="rId1"/>
</file>

<file path=xl/activeX/activeX48.xml><?xml version="1.0" encoding="utf-8"?>
<ax:ocx xmlns:ax="http://schemas.microsoft.com/office/2006/activeX" xmlns:r="http://schemas.openxmlformats.org/officeDocument/2006/relationships" ax:classid="{4C599241-6926-101B-9992-00000B65C6F9}" ax:persistence="persistStreamInit" r:id="rId1"/>
</file>

<file path=xl/activeX/activeX49.xml><?xml version="1.0" encoding="utf-8"?>
<ax:ocx xmlns:ax="http://schemas.microsoft.com/office/2006/activeX" xmlns:r="http://schemas.openxmlformats.org/officeDocument/2006/relationships" ax:classid="{4C599241-6926-101B-9992-00000B65C6F9}" ax:persistence="persistStreamInit" r:id="rId1"/>
</file>

<file path=xl/activeX/activeX50.xml><?xml version="1.0" encoding="utf-8"?>
<ax:ocx xmlns:ax="http://schemas.microsoft.com/office/2006/activeX" xmlns:r="http://schemas.openxmlformats.org/officeDocument/2006/relationships" ax:classid="{4C599241-6926-101B-9992-00000B65C6F9}" ax:persistence="persistStreamInit" r:id="rId1"/>
</file>

<file path=xl/activeX/activeX51.xml><?xml version="1.0" encoding="utf-8"?>
<ax:ocx xmlns:ax="http://schemas.microsoft.com/office/2006/activeX" xmlns:r="http://schemas.openxmlformats.org/officeDocument/2006/relationships" ax:classid="{4C599241-6926-101B-9992-00000B65C6F9}" ax:persistence="persistStreamInit" r:id="rId1"/>
</file>

<file path=xl/activeX/activeX52.xml><?xml version="1.0" encoding="utf-8"?>
<ax:ocx xmlns:ax="http://schemas.microsoft.com/office/2006/activeX" xmlns:r="http://schemas.openxmlformats.org/officeDocument/2006/relationships" ax:classid="{4C599241-6926-101B-9992-00000B65C6F9}" ax:persistence="persistStreamInit" r:id="rId1"/>
</file>

<file path=xl/activeX/activeX53.xml><?xml version="1.0" encoding="utf-8"?>
<ax:ocx xmlns:ax="http://schemas.microsoft.com/office/2006/activeX" xmlns:r="http://schemas.openxmlformats.org/officeDocument/2006/relationships" ax:classid="{4C599241-6926-101B-9992-00000B65C6F9}" ax:persistence="persistStreamInit" r:id="rId1"/>
</file>

<file path=xl/activeX/activeX54.xml><?xml version="1.0" encoding="utf-8"?>
<ax:ocx xmlns:ax="http://schemas.microsoft.com/office/2006/activeX" xmlns:r="http://schemas.openxmlformats.org/officeDocument/2006/relationships" ax:classid="{4C599241-6926-101B-9992-00000B65C6F9}" ax:persistence="persistStreamInit" r:id="rId1"/>
</file>

<file path=xl/activeX/activeX55.xml><?xml version="1.0" encoding="utf-8"?>
<ax:ocx xmlns:ax="http://schemas.microsoft.com/office/2006/activeX" xmlns:r="http://schemas.openxmlformats.org/officeDocument/2006/relationships" ax:classid="{4C599241-6926-101B-9992-00000B65C6F9}" ax:persistence="persistStreamInit" r:id="rId1"/>
</file>

<file path=xl/activeX/activeX56.xml><?xml version="1.0" encoding="utf-8"?>
<ax:ocx xmlns:ax="http://schemas.microsoft.com/office/2006/activeX" xmlns:r="http://schemas.openxmlformats.org/officeDocument/2006/relationships" ax:classid="{4C599241-6926-101B-9992-00000B65C6F9}" ax:persistence="persistStreamInit" r:id="rId1"/>
</file>

<file path=xl/activeX/activeX57.xml><?xml version="1.0" encoding="utf-8"?>
<ax:ocx xmlns:ax="http://schemas.microsoft.com/office/2006/activeX" xmlns:r="http://schemas.openxmlformats.org/officeDocument/2006/relationships" ax:classid="{4C599241-6926-101B-9992-00000B65C6F9}" ax:persistence="persistStreamInit" r:id="rId1"/>
</file>

<file path=xl/activeX/activeX58.xml><?xml version="1.0" encoding="utf-8"?>
<ax:ocx xmlns:ax="http://schemas.microsoft.com/office/2006/activeX" xmlns:r="http://schemas.openxmlformats.org/officeDocument/2006/relationships" ax:classid="{4C599241-6926-101B-9992-00000B65C6F9}" ax:persistence="persistStreamInit" r:id="rId1"/>
</file>

<file path=xl/activeX/activeX59.xml><?xml version="1.0" encoding="utf-8"?>
<ax:ocx xmlns:ax="http://schemas.microsoft.com/office/2006/activeX" xmlns:r="http://schemas.openxmlformats.org/officeDocument/2006/relationships" ax:classid="{4C599241-6926-101B-9992-00000B65C6F9}" ax:persistence="persistStreamInit" r:id="rId1"/>
</file>

<file path=xl/activeX/activeX60.xml><?xml version="1.0" encoding="utf-8"?>
<ax:ocx xmlns:ax="http://schemas.microsoft.com/office/2006/activeX" xmlns:r="http://schemas.openxmlformats.org/officeDocument/2006/relationships" ax:classid="{4C599241-6926-101B-9992-00000B65C6F9}" ax:persistence="persistStreamInit" r:id="rId1"/>
</file>

<file path=xl/activeX/activeX61.xml><?xml version="1.0" encoding="utf-8"?>
<ax:ocx xmlns:ax="http://schemas.microsoft.com/office/2006/activeX" xmlns:r="http://schemas.openxmlformats.org/officeDocument/2006/relationships" ax:classid="{4C599241-6926-101B-9992-00000B65C6F9}" ax:persistence="persistStreamInit" r:id="rId1"/>
</file>

<file path=xl/activeX/activeX62.xml><?xml version="1.0" encoding="utf-8"?>
<ax:ocx xmlns:ax="http://schemas.microsoft.com/office/2006/activeX" xmlns:r="http://schemas.openxmlformats.org/officeDocument/2006/relationships" ax:classid="{4C599241-6926-101B-9992-00000B65C6F9}" ax:persistence="persistStreamInit" r:id="rId1"/>
</file>

<file path=xl/activeX/activeX63.xml><?xml version="1.0" encoding="utf-8"?>
<ax:ocx xmlns:ax="http://schemas.microsoft.com/office/2006/activeX" xmlns:r="http://schemas.openxmlformats.org/officeDocument/2006/relationships" ax:classid="{4C599241-6926-101B-9992-00000B65C6F9}" ax:persistence="persistStreamInit" r:id="rId1"/>
</file>

<file path=xl/activeX/activeX64.xml><?xml version="1.0" encoding="utf-8"?>
<ax:ocx xmlns:ax="http://schemas.microsoft.com/office/2006/activeX" xmlns:r="http://schemas.openxmlformats.org/officeDocument/2006/relationships" ax:classid="{4C599241-6926-101B-9992-00000B65C6F9}" ax:persistence="persistStreamInit" r:id="rId1"/>
</file>

<file path=xl/activeX/activeX65.xml><?xml version="1.0" encoding="utf-8"?>
<ax:ocx xmlns:ax="http://schemas.microsoft.com/office/2006/activeX" xmlns:r="http://schemas.openxmlformats.org/officeDocument/2006/relationships" ax:classid="{4C599241-6926-101B-9992-00000B65C6F9}" ax:persistence="persistStreamInit" r:id="rId1"/>
</file>

<file path=xl/activeX/activeX66.xml><?xml version="1.0" encoding="utf-8"?>
<ax:ocx xmlns:ax="http://schemas.microsoft.com/office/2006/activeX" xmlns:r="http://schemas.openxmlformats.org/officeDocument/2006/relationships" ax:classid="{4C599241-6926-101B-9992-00000B65C6F9}" ax:persistence="persistStreamInit" r:id="rId1"/>
</file>

<file path=xl/activeX/activeX67.xml><?xml version="1.0" encoding="utf-8"?>
<ax:ocx xmlns:ax="http://schemas.microsoft.com/office/2006/activeX" xmlns:r="http://schemas.openxmlformats.org/officeDocument/2006/relationships" ax:classid="{4C599241-6926-101B-9992-00000B65C6F9}" ax:persistence="persistStreamInit" r:id="rId1"/>
</file>

<file path=xl/activeX/activeX68.xml><?xml version="1.0" encoding="utf-8"?>
<ax:ocx xmlns:ax="http://schemas.microsoft.com/office/2006/activeX" xmlns:r="http://schemas.openxmlformats.org/officeDocument/2006/relationships" ax:classid="{4C599241-6926-101B-9992-00000B65C6F9}" ax:persistence="persistStreamInit" r:id="rId1"/>
</file>

<file path=xl/activeX/activeX69.xml><?xml version="1.0" encoding="utf-8"?>
<ax:ocx xmlns:ax="http://schemas.microsoft.com/office/2006/activeX" xmlns:r="http://schemas.openxmlformats.org/officeDocument/2006/relationships" ax:classid="{4C599241-6926-101B-9992-00000B65C6F9}" ax:persistence="persistStreamInit" r:id="rId1"/>
</file>

<file path=xl/activeX/activeX70.xml><?xml version="1.0" encoding="utf-8"?>
<ax:ocx xmlns:ax="http://schemas.microsoft.com/office/2006/activeX" xmlns:r="http://schemas.openxmlformats.org/officeDocument/2006/relationships" ax:classid="{4C599241-6926-101B-9992-00000B65C6F9}" ax:persistence="persistStreamInit" r:id="rId1"/>
</file>

<file path=xl/activeX/activeX71.xml><?xml version="1.0" encoding="utf-8"?>
<ax:ocx xmlns:ax="http://schemas.microsoft.com/office/2006/activeX" xmlns:r="http://schemas.openxmlformats.org/officeDocument/2006/relationships" ax:classid="{4C599241-6926-101B-9992-00000B65C6F9}" ax:persistence="persistStreamInit" r:id="rId1"/>
</file>

<file path=xl/activeX/activeX72.xml><?xml version="1.0" encoding="utf-8"?>
<ax:ocx xmlns:ax="http://schemas.microsoft.com/office/2006/activeX" xmlns:r="http://schemas.openxmlformats.org/officeDocument/2006/relationships" ax:classid="{4C599241-6926-101B-9992-00000B65C6F9}" ax:persistence="persistStreamInit" r:id="rId1"/>
</file>

<file path=xl/activeX/activeX73.xml><?xml version="1.0" encoding="utf-8"?>
<ax:ocx xmlns:ax="http://schemas.microsoft.com/office/2006/activeX" xmlns:r="http://schemas.openxmlformats.org/officeDocument/2006/relationships" ax:classid="{4C599241-6926-101B-9992-00000B65C6F9}" ax:persistence="persistStreamInit" r:id="rId1"/>
</file>

<file path=xl/activeX/activeX74.xml><?xml version="1.0" encoding="utf-8"?>
<ax:ocx xmlns:ax="http://schemas.microsoft.com/office/2006/activeX" xmlns:r="http://schemas.openxmlformats.org/officeDocument/2006/relationships" ax:classid="{4C599241-6926-101B-9992-00000B65C6F9}" ax:persistence="persistStreamInit" r:id="rId1"/>
</file>

<file path=xl/activeX/activeX75.xml><?xml version="1.0" encoding="utf-8"?>
<ax:ocx xmlns:ax="http://schemas.microsoft.com/office/2006/activeX" xmlns:r="http://schemas.openxmlformats.org/officeDocument/2006/relationships" ax:classid="{4C599241-6926-101B-9992-00000B65C6F9}" ax:persistence="persistStreamInit" r:id="rId1"/>
</file>

<file path=xl/activeX/activeX76.xml><?xml version="1.0" encoding="utf-8"?>
<ax:ocx xmlns:ax="http://schemas.microsoft.com/office/2006/activeX" xmlns:r="http://schemas.openxmlformats.org/officeDocument/2006/relationships" ax:classid="{4C599241-6926-101B-9992-00000B65C6F9}" ax:persistence="persistStreamInit" r:id="rId1"/>
</file>

<file path=xl/activeX/activeX77.xml><?xml version="1.0" encoding="utf-8"?>
<ax:ocx xmlns:ax="http://schemas.microsoft.com/office/2006/activeX" xmlns:r="http://schemas.openxmlformats.org/officeDocument/2006/relationships" ax:classid="{4C599241-6926-101B-9992-00000B65C6F9}" ax:persistence="persistStreamInit" r:id="rId1"/>
</file>

<file path=xl/drawings/_rels/drawing2.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file:///C:\SSM%20XBRL%20Preparation%20Tool\iFile\\Images\Templateheader.png" TargetMode="External"/><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19.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5.emf"/><Relationship Id="rId1" Type="http://schemas.openxmlformats.org/officeDocument/2006/relationships/image" Target="../media/image6.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6350</xdr:colOff>
          <xdr:row>0</xdr:row>
          <xdr:rowOff>6350</xdr:rowOff>
        </xdr:to>
        <xdr:sp macro="" textlink="">
          <xdr:nvSpPr>
            <xdr:cNvPr id="1026" name="TrinStgClass1"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0</xdr:col>
      <xdr:colOff>254000</xdr:colOff>
      <xdr:row>0</xdr:row>
      <xdr:rowOff>25400</xdr:rowOff>
    </xdr:from>
    <xdr:to>
      <xdr:col>1</xdr:col>
      <xdr:colOff>1785620</xdr:colOff>
      <xdr:row>0</xdr:row>
      <xdr:rowOff>762000</xdr:rowOff>
    </xdr:to>
    <xdr:pic>
      <xdr:nvPicPr>
        <xdr:cNvPr id="3" name="tmpHeader">
          <a:extLst>
            <a:ext uri="{FF2B5EF4-FFF2-40B4-BE49-F238E27FC236}">
              <a16:creationId xmlns:a16="http://schemas.microsoft.com/office/drawing/2014/main" id="{1D24311B-EF65-D26F-09B8-B71D7603976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13AEBD46-2207-A778-9498-899CB048008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8245" name="HomeBtn" hidden="1">
              <a:extLst>
                <a:ext uri="{63B3BB69-23CF-44E3-9099-C40C66FF867C}">
                  <a14:compatExt spid="_x0000_s8245"/>
                </a:ext>
                <a:ext uri="{FF2B5EF4-FFF2-40B4-BE49-F238E27FC236}">
                  <a16:creationId xmlns:a16="http://schemas.microsoft.com/office/drawing/2014/main" id="{B6775594-5C95-AC81-371E-1FF20EE0BA52}"/>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8246" name="ToolboxBtn" hidden="1">
              <a:extLst>
                <a:ext uri="{63B3BB69-23CF-44E3-9099-C40C66FF867C}">
                  <a14:compatExt spid="_x0000_s8246"/>
                </a:ext>
                <a:ext uri="{FF2B5EF4-FFF2-40B4-BE49-F238E27FC236}">
                  <a16:creationId xmlns:a16="http://schemas.microsoft.com/office/drawing/2014/main" id="{F88D851F-1E93-F5A1-7E0D-C515A09389D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8247" name="HelpBtn" hidden="1">
              <a:extLst>
                <a:ext uri="{63B3BB69-23CF-44E3-9099-C40C66FF867C}">
                  <a14:compatExt spid="_x0000_s8247"/>
                </a:ext>
                <a:ext uri="{FF2B5EF4-FFF2-40B4-BE49-F238E27FC236}">
                  <a16:creationId xmlns:a16="http://schemas.microsoft.com/office/drawing/2014/main" id="{CE90D8DA-318F-E34D-CA29-3DD6EDFD1E9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8248" name="LegendBtn" hidden="1">
              <a:extLst>
                <a:ext uri="{63B3BB69-23CF-44E3-9099-C40C66FF867C}">
                  <a14:compatExt spid="_x0000_s8248"/>
                </a:ext>
                <a:ext uri="{FF2B5EF4-FFF2-40B4-BE49-F238E27FC236}">
                  <a16:creationId xmlns:a16="http://schemas.microsoft.com/office/drawing/2014/main" id="{0085AE87-8E53-E738-5B96-73F3E4CB7AF2}"/>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D158EA3B-8C22-5A05-C641-79989068704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9285" name="HomeBtn" hidden="1">
              <a:extLst>
                <a:ext uri="{63B3BB69-23CF-44E3-9099-C40C66FF867C}">
                  <a14:compatExt spid="_x0000_s9285"/>
                </a:ext>
                <a:ext uri="{FF2B5EF4-FFF2-40B4-BE49-F238E27FC236}">
                  <a16:creationId xmlns:a16="http://schemas.microsoft.com/office/drawing/2014/main" id="{7F04EC29-98AE-0E38-B040-9385A7A217EC}"/>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9286" name="ToolboxBtn" hidden="1">
              <a:extLst>
                <a:ext uri="{63B3BB69-23CF-44E3-9099-C40C66FF867C}">
                  <a14:compatExt spid="_x0000_s9286"/>
                </a:ext>
                <a:ext uri="{FF2B5EF4-FFF2-40B4-BE49-F238E27FC236}">
                  <a16:creationId xmlns:a16="http://schemas.microsoft.com/office/drawing/2014/main" id="{E3BEC943-ABED-4A92-3FB7-FB402D30AE72}"/>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9287" name="HelpBtn" hidden="1">
              <a:extLst>
                <a:ext uri="{63B3BB69-23CF-44E3-9099-C40C66FF867C}">
                  <a14:compatExt spid="_x0000_s9287"/>
                </a:ext>
                <a:ext uri="{FF2B5EF4-FFF2-40B4-BE49-F238E27FC236}">
                  <a16:creationId xmlns:a16="http://schemas.microsoft.com/office/drawing/2014/main" id="{C57EC184-114B-55D8-3D49-7EF23E958C6C}"/>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9288" name="LegendBtn" hidden="1">
              <a:extLst>
                <a:ext uri="{63B3BB69-23CF-44E3-9099-C40C66FF867C}">
                  <a14:compatExt spid="_x0000_s9288"/>
                </a:ext>
                <a:ext uri="{FF2B5EF4-FFF2-40B4-BE49-F238E27FC236}">
                  <a16:creationId xmlns:a16="http://schemas.microsoft.com/office/drawing/2014/main" id="{D0A9BD10-15A1-75E2-200F-9BC31D010842}"/>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0F388EE9-C712-521A-B7B1-1A446116540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0297" name="HomeBtn" hidden="1">
              <a:extLst>
                <a:ext uri="{63B3BB69-23CF-44E3-9099-C40C66FF867C}">
                  <a14:compatExt spid="_x0000_s10297"/>
                </a:ext>
                <a:ext uri="{FF2B5EF4-FFF2-40B4-BE49-F238E27FC236}">
                  <a16:creationId xmlns:a16="http://schemas.microsoft.com/office/drawing/2014/main" id="{B641363C-C2F0-5438-150B-79369BDCF3F0}"/>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0298" name="ToolboxBtn" hidden="1">
              <a:extLst>
                <a:ext uri="{63B3BB69-23CF-44E3-9099-C40C66FF867C}">
                  <a14:compatExt spid="_x0000_s10298"/>
                </a:ext>
                <a:ext uri="{FF2B5EF4-FFF2-40B4-BE49-F238E27FC236}">
                  <a16:creationId xmlns:a16="http://schemas.microsoft.com/office/drawing/2014/main" id="{B4ABD0FF-232B-8E95-B14C-7E5C3ED387C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0299" name="HelpBtn" hidden="1">
              <a:extLst>
                <a:ext uri="{63B3BB69-23CF-44E3-9099-C40C66FF867C}">
                  <a14:compatExt spid="_x0000_s10299"/>
                </a:ext>
                <a:ext uri="{FF2B5EF4-FFF2-40B4-BE49-F238E27FC236}">
                  <a16:creationId xmlns:a16="http://schemas.microsoft.com/office/drawing/2014/main" id="{F7C4B031-E3F3-79A1-E13D-B1B21699D5C4}"/>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0300" name="LegendBtn" hidden="1">
              <a:extLst>
                <a:ext uri="{63B3BB69-23CF-44E3-9099-C40C66FF867C}">
                  <a14:compatExt spid="_x0000_s10300"/>
                </a:ext>
                <a:ext uri="{FF2B5EF4-FFF2-40B4-BE49-F238E27FC236}">
                  <a16:creationId xmlns:a16="http://schemas.microsoft.com/office/drawing/2014/main" id="{37E34631-9E07-D90B-9A91-C8EAC52FBE2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C46D5C6F-9A5F-7FB3-0EE8-9B5E5B78594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1321" name="HomeBtn" hidden="1">
              <a:extLst>
                <a:ext uri="{63B3BB69-23CF-44E3-9099-C40C66FF867C}">
                  <a14:compatExt spid="_x0000_s11321"/>
                </a:ext>
                <a:ext uri="{FF2B5EF4-FFF2-40B4-BE49-F238E27FC236}">
                  <a16:creationId xmlns:a16="http://schemas.microsoft.com/office/drawing/2014/main" id="{04E9AF9C-1189-9F3C-6FCE-B1B1258EB18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1322" name="ToolboxBtn" hidden="1">
              <a:extLst>
                <a:ext uri="{63B3BB69-23CF-44E3-9099-C40C66FF867C}">
                  <a14:compatExt spid="_x0000_s11322"/>
                </a:ext>
                <a:ext uri="{FF2B5EF4-FFF2-40B4-BE49-F238E27FC236}">
                  <a16:creationId xmlns:a16="http://schemas.microsoft.com/office/drawing/2014/main" id="{42A6E877-B48B-6D16-227F-0B8F81C1666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1323" name="HelpBtn" hidden="1">
              <a:extLst>
                <a:ext uri="{63B3BB69-23CF-44E3-9099-C40C66FF867C}">
                  <a14:compatExt spid="_x0000_s11323"/>
                </a:ext>
                <a:ext uri="{FF2B5EF4-FFF2-40B4-BE49-F238E27FC236}">
                  <a16:creationId xmlns:a16="http://schemas.microsoft.com/office/drawing/2014/main" id="{CC975532-8901-6696-2960-E9E77FE1D1C4}"/>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1324" name="LegendBtn" hidden="1">
              <a:extLst>
                <a:ext uri="{63B3BB69-23CF-44E3-9099-C40C66FF867C}">
                  <a14:compatExt spid="_x0000_s11324"/>
                </a:ext>
                <a:ext uri="{FF2B5EF4-FFF2-40B4-BE49-F238E27FC236}">
                  <a16:creationId xmlns:a16="http://schemas.microsoft.com/office/drawing/2014/main" id="{DA36348C-8E2A-689A-05C2-2D3D0E902A3C}"/>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31CB8EAC-0A1D-8388-D9FA-C0EA2D37547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2345" name="HomeBtn" hidden="1">
              <a:extLst>
                <a:ext uri="{63B3BB69-23CF-44E3-9099-C40C66FF867C}">
                  <a14:compatExt spid="_x0000_s12345"/>
                </a:ext>
                <a:ext uri="{FF2B5EF4-FFF2-40B4-BE49-F238E27FC236}">
                  <a16:creationId xmlns:a16="http://schemas.microsoft.com/office/drawing/2014/main" id="{7E2BD1B9-998E-3836-090B-224E99304EB3}"/>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2346" name="ToolboxBtn" hidden="1">
              <a:extLst>
                <a:ext uri="{63B3BB69-23CF-44E3-9099-C40C66FF867C}">
                  <a14:compatExt spid="_x0000_s12346"/>
                </a:ext>
                <a:ext uri="{FF2B5EF4-FFF2-40B4-BE49-F238E27FC236}">
                  <a16:creationId xmlns:a16="http://schemas.microsoft.com/office/drawing/2014/main" id="{2816C68A-2D39-37A4-6354-61E154B30D6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2347" name="HelpBtn" hidden="1">
              <a:extLst>
                <a:ext uri="{63B3BB69-23CF-44E3-9099-C40C66FF867C}">
                  <a14:compatExt spid="_x0000_s12347"/>
                </a:ext>
                <a:ext uri="{FF2B5EF4-FFF2-40B4-BE49-F238E27FC236}">
                  <a16:creationId xmlns:a16="http://schemas.microsoft.com/office/drawing/2014/main" id="{FFE4531E-8058-62AF-42A7-651F51946F4A}"/>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2348" name="LegendBtn" hidden="1">
              <a:extLst>
                <a:ext uri="{63B3BB69-23CF-44E3-9099-C40C66FF867C}">
                  <a14:compatExt spid="_x0000_s12348"/>
                </a:ext>
                <a:ext uri="{FF2B5EF4-FFF2-40B4-BE49-F238E27FC236}">
                  <a16:creationId xmlns:a16="http://schemas.microsoft.com/office/drawing/2014/main" id="{65B05890-3A69-322C-884C-1E882D432856}"/>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68031FF4-7D04-96EB-AA32-C5F7B243169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3369" name="HomeBtn" hidden="1">
              <a:extLst>
                <a:ext uri="{63B3BB69-23CF-44E3-9099-C40C66FF867C}">
                  <a14:compatExt spid="_x0000_s13369"/>
                </a:ext>
                <a:ext uri="{FF2B5EF4-FFF2-40B4-BE49-F238E27FC236}">
                  <a16:creationId xmlns:a16="http://schemas.microsoft.com/office/drawing/2014/main" id="{44E74C5C-70F2-2037-44D2-E3056FA6FB30}"/>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3370" name="ToolboxBtn" hidden="1">
              <a:extLst>
                <a:ext uri="{63B3BB69-23CF-44E3-9099-C40C66FF867C}">
                  <a14:compatExt spid="_x0000_s13370"/>
                </a:ext>
                <a:ext uri="{FF2B5EF4-FFF2-40B4-BE49-F238E27FC236}">
                  <a16:creationId xmlns:a16="http://schemas.microsoft.com/office/drawing/2014/main" id="{A5201854-E438-CEFD-7E45-D2C2F4C0743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3371" name="HelpBtn" hidden="1">
              <a:extLst>
                <a:ext uri="{63B3BB69-23CF-44E3-9099-C40C66FF867C}">
                  <a14:compatExt spid="_x0000_s13371"/>
                </a:ext>
                <a:ext uri="{FF2B5EF4-FFF2-40B4-BE49-F238E27FC236}">
                  <a16:creationId xmlns:a16="http://schemas.microsoft.com/office/drawing/2014/main" id="{D1C3D962-E589-137B-1773-781636B0007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3372" name="LegendBtn" hidden="1">
              <a:extLst>
                <a:ext uri="{63B3BB69-23CF-44E3-9099-C40C66FF867C}">
                  <a14:compatExt spid="_x0000_s13372"/>
                </a:ext>
                <a:ext uri="{FF2B5EF4-FFF2-40B4-BE49-F238E27FC236}">
                  <a16:creationId xmlns:a16="http://schemas.microsoft.com/office/drawing/2014/main" id="{125C2857-5C7E-1072-4C72-F84BFCEC461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DE5D0F9E-9289-7591-1D03-9BC224AED5F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4433" name="HomeBtn" hidden="1">
              <a:extLst>
                <a:ext uri="{63B3BB69-23CF-44E3-9099-C40C66FF867C}">
                  <a14:compatExt spid="_x0000_s14433"/>
                </a:ext>
                <a:ext uri="{FF2B5EF4-FFF2-40B4-BE49-F238E27FC236}">
                  <a16:creationId xmlns:a16="http://schemas.microsoft.com/office/drawing/2014/main" id="{DC743480-37AE-3EAF-3981-2DCD5BDFF90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4434" name="ToolboxBtn" hidden="1">
              <a:extLst>
                <a:ext uri="{63B3BB69-23CF-44E3-9099-C40C66FF867C}">
                  <a14:compatExt spid="_x0000_s14434"/>
                </a:ext>
                <a:ext uri="{FF2B5EF4-FFF2-40B4-BE49-F238E27FC236}">
                  <a16:creationId xmlns:a16="http://schemas.microsoft.com/office/drawing/2014/main" id="{A5EC7778-2BE6-D4AE-9BC1-D9265B01240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4435" name="HelpBtn" hidden="1">
              <a:extLst>
                <a:ext uri="{63B3BB69-23CF-44E3-9099-C40C66FF867C}">
                  <a14:compatExt spid="_x0000_s14435"/>
                </a:ext>
                <a:ext uri="{FF2B5EF4-FFF2-40B4-BE49-F238E27FC236}">
                  <a16:creationId xmlns:a16="http://schemas.microsoft.com/office/drawing/2014/main" id="{3841420B-B5B2-D50C-16C1-A1D169E24EB6}"/>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4436" name="LegendBtn" hidden="1">
              <a:extLst>
                <a:ext uri="{63B3BB69-23CF-44E3-9099-C40C66FF867C}">
                  <a14:compatExt spid="_x0000_s14436"/>
                </a:ext>
                <a:ext uri="{FF2B5EF4-FFF2-40B4-BE49-F238E27FC236}">
                  <a16:creationId xmlns:a16="http://schemas.microsoft.com/office/drawing/2014/main" id="{72BD626C-9E33-2AD6-3E44-25F4EE4CC59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417DE252-DBF6-0460-F67E-D65C9E7900F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5422" name="HomeBtn" hidden="1">
              <a:extLst>
                <a:ext uri="{63B3BB69-23CF-44E3-9099-C40C66FF867C}">
                  <a14:compatExt spid="_x0000_s15422"/>
                </a:ext>
                <a:ext uri="{FF2B5EF4-FFF2-40B4-BE49-F238E27FC236}">
                  <a16:creationId xmlns:a16="http://schemas.microsoft.com/office/drawing/2014/main" id="{147544B3-2572-5184-0BED-1107DFB4F262}"/>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5423" name="ToolboxBtn" hidden="1">
              <a:extLst>
                <a:ext uri="{63B3BB69-23CF-44E3-9099-C40C66FF867C}">
                  <a14:compatExt spid="_x0000_s15423"/>
                </a:ext>
                <a:ext uri="{FF2B5EF4-FFF2-40B4-BE49-F238E27FC236}">
                  <a16:creationId xmlns:a16="http://schemas.microsoft.com/office/drawing/2014/main" id="{688BD461-0DBD-5E71-D493-F53B4ED673C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5424" name="HelpBtn" hidden="1">
              <a:extLst>
                <a:ext uri="{63B3BB69-23CF-44E3-9099-C40C66FF867C}">
                  <a14:compatExt spid="_x0000_s15424"/>
                </a:ext>
                <a:ext uri="{FF2B5EF4-FFF2-40B4-BE49-F238E27FC236}">
                  <a16:creationId xmlns:a16="http://schemas.microsoft.com/office/drawing/2014/main" id="{9C76CBA4-4B25-6E43-5107-D1B0EDF68D4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5425" name="LegendBtn" hidden="1">
              <a:extLst>
                <a:ext uri="{63B3BB69-23CF-44E3-9099-C40C66FF867C}">
                  <a14:compatExt spid="_x0000_s15425"/>
                </a:ext>
                <a:ext uri="{FF2B5EF4-FFF2-40B4-BE49-F238E27FC236}">
                  <a16:creationId xmlns:a16="http://schemas.microsoft.com/office/drawing/2014/main" id="{93067C62-7682-2CA8-E534-F9E94EE763D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D1BAA610-CDB5-0900-6FE4-63A93BC60CB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6445" name="HomeBtn" hidden="1">
              <a:extLst>
                <a:ext uri="{63B3BB69-23CF-44E3-9099-C40C66FF867C}">
                  <a14:compatExt spid="_x0000_s16445"/>
                </a:ext>
                <a:ext uri="{FF2B5EF4-FFF2-40B4-BE49-F238E27FC236}">
                  <a16:creationId xmlns:a16="http://schemas.microsoft.com/office/drawing/2014/main" id="{F32ED380-022B-AD59-257C-5B4CDD66971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6446" name="ToolboxBtn" hidden="1">
              <a:extLst>
                <a:ext uri="{63B3BB69-23CF-44E3-9099-C40C66FF867C}">
                  <a14:compatExt spid="_x0000_s16446"/>
                </a:ext>
                <a:ext uri="{FF2B5EF4-FFF2-40B4-BE49-F238E27FC236}">
                  <a16:creationId xmlns:a16="http://schemas.microsoft.com/office/drawing/2014/main" id="{525A9FCE-0410-8B99-FCB0-1E8570DE8EB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6447" name="HelpBtn" hidden="1">
              <a:extLst>
                <a:ext uri="{63B3BB69-23CF-44E3-9099-C40C66FF867C}">
                  <a14:compatExt spid="_x0000_s16447"/>
                </a:ext>
                <a:ext uri="{FF2B5EF4-FFF2-40B4-BE49-F238E27FC236}">
                  <a16:creationId xmlns:a16="http://schemas.microsoft.com/office/drawing/2014/main" id="{126A0345-19C4-2C89-B155-70E7F5D915D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6448" name="LegendBtn" hidden="1">
              <a:extLst>
                <a:ext uri="{63B3BB69-23CF-44E3-9099-C40C66FF867C}">
                  <a14:compatExt spid="_x0000_s16448"/>
                </a:ext>
                <a:ext uri="{FF2B5EF4-FFF2-40B4-BE49-F238E27FC236}">
                  <a16:creationId xmlns:a16="http://schemas.microsoft.com/office/drawing/2014/main" id="{6E9628F9-A367-74A2-A82E-DB72F873C81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58A1E862-D9FD-122B-F554-42B81F2494B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7477" name="HomeBtn" hidden="1">
              <a:extLst>
                <a:ext uri="{63B3BB69-23CF-44E3-9099-C40C66FF867C}">
                  <a14:compatExt spid="_x0000_s17477"/>
                </a:ext>
                <a:ext uri="{FF2B5EF4-FFF2-40B4-BE49-F238E27FC236}">
                  <a16:creationId xmlns:a16="http://schemas.microsoft.com/office/drawing/2014/main" id="{7137AEC1-B01A-6954-EC6C-5DB99623164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7478" name="ToolboxBtn" hidden="1">
              <a:extLst>
                <a:ext uri="{63B3BB69-23CF-44E3-9099-C40C66FF867C}">
                  <a14:compatExt spid="_x0000_s17478"/>
                </a:ext>
                <a:ext uri="{FF2B5EF4-FFF2-40B4-BE49-F238E27FC236}">
                  <a16:creationId xmlns:a16="http://schemas.microsoft.com/office/drawing/2014/main" id="{C31E4281-BD68-3452-6E4E-93375102A4D6}"/>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7479" name="HelpBtn" hidden="1">
              <a:extLst>
                <a:ext uri="{63B3BB69-23CF-44E3-9099-C40C66FF867C}">
                  <a14:compatExt spid="_x0000_s17479"/>
                </a:ext>
                <a:ext uri="{FF2B5EF4-FFF2-40B4-BE49-F238E27FC236}">
                  <a16:creationId xmlns:a16="http://schemas.microsoft.com/office/drawing/2014/main" id="{D42EC30E-9672-082A-0D33-DCFA430B1B9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7480" name="LegendBtn" hidden="1">
              <a:extLst>
                <a:ext uri="{63B3BB69-23CF-44E3-9099-C40C66FF867C}">
                  <a14:compatExt spid="_x0000_s17480"/>
                </a:ext>
                <a:ext uri="{FF2B5EF4-FFF2-40B4-BE49-F238E27FC236}">
                  <a16:creationId xmlns:a16="http://schemas.microsoft.com/office/drawing/2014/main" id="{CC0132D2-2D90-FF9C-0A07-82D2F02C057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858F4E5B-E620-AA64-D1F9-DBF980EF2B7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8493" name="HomeBtn" hidden="1">
              <a:extLst>
                <a:ext uri="{63B3BB69-23CF-44E3-9099-C40C66FF867C}">
                  <a14:compatExt spid="_x0000_s18493"/>
                </a:ext>
                <a:ext uri="{FF2B5EF4-FFF2-40B4-BE49-F238E27FC236}">
                  <a16:creationId xmlns:a16="http://schemas.microsoft.com/office/drawing/2014/main" id="{17A8A44A-39AF-53C5-C74D-7CD37F7D9F64}"/>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8494" name="ToolboxBtn" hidden="1">
              <a:extLst>
                <a:ext uri="{63B3BB69-23CF-44E3-9099-C40C66FF867C}">
                  <a14:compatExt spid="_x0000_s18494"/>
                </a:ext>
                <a:ext uri="{FF2B5EF4-FFF2-40B4-BE49-F238E27FC236}">
                  <a16:creationId xmlns:a16="http://schemas.microsoft.com/office/drawing/2014/main" id="{39656ACE-B522-A70F-7B19-70FF7DACBAE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8495" name="HelpBtn" hidden="1">
              <a:extLst>
                <a:ext uri="{63B3BB69-23CF-44E3-9099-C40C66FF867C}">
                  <a14:compatExt spid="_x0000_s18495"/>
                </a:ext>
                <a:ext uri="{FF2B5EF4-FFF2-40B4-BE49-F238E27FC236}">
                  <a16:creationId xmlns:a16="http://schemas.microsoft.com/office/drawing/2014/main" id="{FCC6B9E4-D24F-061D-543A-92A4D5A6260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8496" name="LegendBtn" hidden="1">
              <a:extLst>
                <a:ext uri="{63B3BB69-23CF-44E3-9099-C40C66FF867C}">
                  <a14:compatExt spid="_x0000_s18496"/>
                </a:ext>
                <a:ext uri="{FF2B5EF4-FFF2-40B4-BE49-F238E27FC236}">
                  <a16:creationId xmlns:a16="http://schemas.microsoft.com/office/drawing/2014/main" id="{EEB1618F-D8D9-1DDD-374C-58806519E4E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FE1C7AD0-2374-A66A-E54B-5CA1EFE50A0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19524" name="HomeBtn" hidden="1">
              <a:extLst>
                <a:ext uri="{63B3BB69-23CF-44E3-9099-C40C66FF867C}">
                  <a14:compatExt spid="_x0000_s19524"/>
                </a:ext>
                <a:ext uri="{FF2B5EF4-FFF2-40B4-BE49-F238E27FC236}">
                  <a16:creationId xmlns:a16="http://schemas.microsoft.com/office/drawing/2014/main" id="{D6D0F4D8-7E10-95EE-0046-2CBDC6975C2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19525" name="ToolboxBtn" hidden="1">
              <a:extLst>
                <a:ext uri="{63B3BB69-23CF-44E3-9099-C40C66FF867C}">
                  <a14:compatExt spid="_x0000_s19525"/>
                </a:ext>
                <a:ext uri="{FF2B5EF4-FFF2-40B4-BE49-F238E27FC236}">
                  <a16:creationId xmlns:a16="http://schemas.microsoft.com/office/drawing/2014/main" id="{1FF9C5FB-77F1-830E-3FF0-D8BB08C5A4F0}"/>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19526" name="HelpBtn" hidden="1">
              <a:extLst>
                <a:ext uri="{63B3BB69-23CF-44E3-9099-C40C66FF867C}">
                  <a14:compatExt spid="_x0000_s19526"/>
                </a:ext>
                <a:ext uri="{FF2B5EF4-FFF2-40B4-BE49-F238E27FC236}">
                  <a16:creationId xmlns:a16="http://schemas.microsoft.com/office/drawing/2014/main" id="{50C1FAB3-CF53-862C-5A54-D0704010C18F}"/>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19527" name="LegendBtn" hidden="1">
              <a:extLst>
                <a:ext uri="{63B3BB69-23CF-44E3-9099-C40C66FF867C}">
                  <a14:compatExt spid="_x0000_s19527"/>
                </a:ext>
                <a:ext uri="{FF2B5EF4-FFF2-40B4-BE49-F238E27FC236}">
                  <a16:creationId xmlns:a16="http://schemas.microsoft.com/office/drawing/2014/main" id="{2B496E98-BA54-6D2D-33CA-751CA1B1B7A8}"/>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A3917F16-C321-6D20-56F4-DA08CA7F19D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0578" name="HomeBtn" hidden="1">
              <a:extLst>
                <a:ext uri="{63B3BB69-23CF-44E3-9099-C40C66FF867C}">
                  <a14:compatExt spid="_x0000_s20578"/>
                </a:ext>
                <a:ext uri="{FF2B5EF4-FFF2-40B4-BE49-F238E27FC236}">
                  <a16:creationId xmlns:a16="http://schemas.microsoft.com/office/drawing/2014/main" id="{0388A97C-400C-BCB2-9415-96F03F30331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0579" name="ToolboxBtn" hidden="1">
              <a:extLst>
                <a:ext uri="{63B3BB69-23CF-44E3-9099-C40C66FF867C}">
                  <a14:compatExt spid="_x0000_s20579"/>
                </a:ext>
                <a:ext uri="{FF2B5EF4-FFF2-40B4-BE49-F238E27FC236}">
                  <a16:creationId xmlns:a16="http://schemas.microsoft.com/office/drawing/2014/main" id="{7805395B-0AE0-CDCD-B65C-EF8C4C9027B4}"/>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0580" name="HelpBtn" hidden="1">
              <a:extLst>
                <a:ext uri="{63B3BB69-23CF-44E3-9099-C40C66FF867C}">
                  <a14:compatExt spid="_x0000_s20580"/>
                </a:ext>
                <a:ext uri="{FF2B5EF4-FFF2-40B4-BE49-F238E27FC236}">
                  <a16:creationId xmlns:a16="http://schemas.microsoft.com/office/drawing/2014/main" id="{12CDE0BF-86F7-12EA-42EA-CC363723A13F}"/>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0581" name="LegendBtn" hidden="1">
              <a:extLst>
                <a:ext uri="{63B3BB69-23CF-44E3-9099-C40C66FF867C}">
                  <a14:compatExt spid="_x0000_s20581"/>
                </a:ext>
                <a:ext uri="{FF2B5EF4-FFF2-40B4-BE49-F238E27FC236}">
                  <a16:creationId xmlns:a16="http://schemas.microsoft.com/office/drawing/2014/main" id="{C6C607F5-3915-46FB-3CFD-B4C6F8D5797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82C2B3F1-73A2-4B6E-2227-9E040958463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1743" name="HomeBtn" hidden="1">
              <a:extLst>
                <a:ext uri="{63B3BB69-23CF-44E3-9099-C40C66FF867C}">
                  <a14:compatExt spid="_x0000_s21743"/>
                </a:ext>
                <a:ext uri="{FF2B5EF4-FFF2-40B4-BE49-F238E27FC236}">
                  <a16:creationId xmlns:a16="http://schemas.microsoft.com/office/drawing/2014/main" id="{1CE7AFBF-3FEC-1D65-F63E-7127011A559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1744" name="ToolboxBtn" hidden="1">
              <a:extLst>
                <a:ext uri="{63B3BB69-23CF-44E3-9099-C40C66FF867C}">
                  <a14:compatExt spid="_x0000_s21744"/>
                </a:ext>
                <a:ext uri="{FF2B5EF4-FFF2-40B4-BE49-F238E27FC236}">
                  <a16:creationId xmlns:a16="http://schemas.microsoft.com/office/drawing/2014/main" id="{82D6F5EF-645E-DF39-92E8-8220F9DBA05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1745" name="HelpBtn" hidden="1">
              <a:extLst>
                <a:ext uri="{63B3BB69-23CF-44E3-9099-C40C66FF867C}">
                  <a14:compatExt spid="_x0000_s21745"/>
                </a:ext>
                <a:ext uri="{FF2B5EF4-FFF2-40B4-BE49-F238E27FC236}">
                  <a16:creationId xmlns:a16="http://schemas.microsoft.com/office/drawing/2014/main" id="{886DA8AC-6185-6427-61F0-C7F2D99378FF}"/>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1746" name="LegendBtn" hidden="1">
              <a:extLst>
                <a:ext uri="{63B3BB69-23CF-44E3-9099-C40C66FF867C}">
                  <a14:compatExt spid="_x0000_s21746"/>
                </a:ext>
                <a:ext uri="{FF2B5EF4-FFF2-40B4-BE49-F238E27FC236}">
                  <a16:creationId xmlns:a16="http://schemas.microsoft.com/office/drawing/2014/main" id="{7F40AEEC-64CC-F9AC-A591-0A23A5B2754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16AA2D0A-DDC7-195C-A42A-DA271DD5C7A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2581" name="HomeBtn" hidden="1">
              <a:extLst>
                <a:ext uri="{63B3BB69-23CF-44E3-9099-C40C66FF867C}">
                  <a14:compatExt spid="_x0000_s22581"/>
                </a:ext>
                <a:ext uri="{FF2B5EF4-FFF2-40B4-BE49-F238E27FC236}">
                  <a16:creationId xmlns:a16="http://schemas.microsoft.com/office/drawing/2014/main" id="{9F3632D3-907C-8ABC-595B-723DC175848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2582" name="ToolboxBtn" hidden="1">
              <a:extLst>
                <a:ext uri="{63B3BB69-23CF-44E3-9099-C40C66FF867C}">
                  <a14:compatExt spid="_x0000_s22582"/>
                </a:ext>
                <a:ext uri="{FF2B5EF4-FFF2-40B4-BE49-F238E27FC236}">
                  <a16:creationId xmlns:a16="http://schemas.microsoft.com/office/drawing/2014/main" id="{69F658C6-833D-F621-8086-F2D7F09A1FC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2583" name="HelpBtn" hidden="1">
              <a:extLst>
                <a:ext uri="{63B3BB69-23CF-44E3-9099-C40C66FF867C}">
                  <a14:compatExt spid="_x0000_s22583"/>
                </a:ext>
                <a:ext uri="{FF2B5EF4-FFF2-40B4-BE49-F238E27FC236}">
                  <a16:creationId xmlns:a16="http://schemas.microsoft.com/office/drawing/2014/main" id="{E011670A-07F0-8928-B65A-42CC82C9DD8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2584" name="LegendBtn" hidden="1">
              <a:extLst>
                <a:ext uri="{63B3BB69-23CF-44E3-9099-C40C66FF867C}">
                  <a14:compatExt spid="_x0000_s22584"/>
                </a:ext>
                <a:ext uri="{FF2B5EF4-FFF2-40B4-BE49-F238E27FC236}">
                  <a16:creationId xmlns:a16="http://schemas.microsoft.com/office/drawing/2014/main" id="{CF1B7596-BA7E-7CE0-E17C-148DBE11DC2B}"/>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E4695D00-1763-95CD-014C-A5285A683DB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3605" name="HomeBtn" hidden="1">
              <a:extLst>
                <a:ext uri="{63B3BB69-23CF-44E3-9099-C40C66FF867C}">
                  <a14:compatExt spid="_x0000_s23605"/>
                </a:ext>
                <a:ext uri="{FF2B5EF4-FFF2-40B4-BE49-F238E27FC236}">
                  <a16:creationId xmlns:a16="http://schemas.microsoft.com/office/drawing/2014/main" id="{DC33019D-9929-CD78-015C-18740991E6A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3606" name="ToolboxBtn" hidden="1">
              <a:extLst>
                <a:ext uri="{63B3BB69-23CF-44E3-9099-C40C66FF867C}">
                  <a14:compatExt spid="_x0000_s23606"/>
                </a:ext>
                <a:ext uri="{FF2B5EF4-FFF2-40B4-BE49-F238E27FC236}">
                  <a16:creationId xmlns:a16="http://schemas.microsoft.com/office/drawing/2014/main" id="{25294870-88A9-5159-EAF7-A815538911B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3607" name="HelpBtn" hidden="1">
              <a:extLst>
                <a:ext uri="{63B3BB69-23CF-44E3-9099-C40C66FF867C}">
                  <a14:compatExt spid="_x0000_s23607"/>
                </a:ext>
                <a:ext uri="{FF2B5EF4-FFF2-40B4-BE49-F238E27FC236}">
                  <a16:creationId xmlns:a16="http://schemas.microsoft.com/office/drawing/2014/main" id="{96877CFF-1080-0546-4971-80ED31D7274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3608" name="LegendBtn" hidden="1">
              <a:extLst>
                <a:ext uri="{63B3BB69-23CF-44E3-9099-C40C66FF867C}">
                  <a14:compatExt spid="_x0000_s23608"/>
                </a:ext>
                <a:ext uri="{FF2B5EF4-FFF2-40B4-BE49-F238E27FC236}">
                  <a16:creationId xmlns:a16="http://schemas.microsoft.com/office/drawing/2014/main" id="{586D4F54-9698-A1DD-689A-CE3B399A03B3}"/>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0F0C58DF-6185-CE88-564A-BFDED22AEB9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4629" name="HomeBtn" hidden="1">
              <a:extLst>
                <a:ext uri="{63B3BB69-23CF-44E3-9099-C40C66FF867C}">
                  <a14:compatExt spid="_x0000_s24629"/>
                </a:ext>
                <a:ext uri="{FF2B5EF4-FFF2-40B4-BE49-F238E27FC236}">
                  <a16:creationId xmlns:a16="http://schemas.microsoft.com/office/drawing/2014/main" id="{FA8F97AB-7DDB-FB77-F540-BB2D646ED41E}"/>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4630" name="ToolboxBtn" hidden="1">
              <a:extLst>
                <a:ext uri="{63B3BB69-23CF-44E3-9099-C40C66FF867C}">
                  <a14:compatExt spid="_x0000_s24630"/>
                </a:ext>
                <a:ext uri="{FF2B5EF4-FFF2-40B4-BE49-F238E27FC236}">
                  <a16:creationId xmlns:a16="http://schemas.microsoft.com/office/drawing/2014/main" id="{6D666A30-E1E2-12B8-4BCE-F9DA76BB858C}"/>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4631" name="HelpBtn" hidden="1">
              <a:extLst>
                <a:ext uri="{63B3BB69-23CF-44E3-9099-C40C66FF867C}">
                  <a14:compatExt spid="_x0000_s24631"/>
                </a:ext>
                <a:ext uri="{FF2B5EF4-FFF2-40B4-BE49-F238E27FC236}">
                  <a16:creationId xmlns:a16="http://schemas.microsoft.com/office/drawing/2014/main" id="{6EC69424-91A4-29CD-9F00-4A81723B063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4632" name="LegendBtn" hidden="1">
              <a:extLst>
                <a:ext uri="{63B3BB69-23CF-44E3-9099-C40C66FF867C}">
                  <a14:compatExt spid="_x0000_s24632"/>
                </a:ext>
                <a:ext uri="{FF2B5EF4-FFF2-40B4-BE49-F238E27FC236}">
                  <a16:creationId xmlns:a16="http://schemas.microsoft.com/office/drawing/2014/main" id="{74CB62A2-8453-2B17-1E19-1ACC0889C7F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15A10F88-0CF9-0B0A-F9CD-E929CF4E1EE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5669" name="HomeBtn" hidden="1">
              <a:extLst>
                <a:ext uri="{63B3BB69-23CF-44E3-9099-C40C66FF867C}">
                  <a14:compatExt spid="_x0000_s25669"/>
                </a:ext>
                <a:ext uri="{FF2B5EF4-FFF2-40B4-BE49-F238E27FC236}">
                  <a16:creationId xmlns:a16="http://schemas.microsoft.com/office/drawing/2014/main" id="{6927D115-7B4C-3DD9-C52D-EF8959D01D4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5670" name="ToolboxBtn" hidden="1">
              <a:extLst>
                <a:ext uri="{63B3BB69-23CF-44E3-9099-C40C66FF867C}">
                  <a14:compatExt spid="_x0000_s25670"/>
                </a:ext>
                <a:ext uri="{FF2B5EF4-FFF2-40B4-BE49-F238E27FC236}">
                  <a16:creationId xmlns:a16="http://schemas.microsoft.com/office/drawing/2014/main" id="{47366197-7E76-F8B9-A66D-80EAE96D8D04}"/>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5671" name="HelpBtn" hidden="1">
              <a:extLst>
                <a:ext uri="{63B3BB69-23CF-44E3-9099-C40C66FF867C}">
                  <a14:compatExt spid="_x0000_s25671"/>
                </a:ext>
                <a:ext uri="{FF2B5EF4-FFF2-40B4-BE49-F238E27FC236}">
                  <a16:creationId xmlns:a16="http://schemas.microsoft.com/office/drawing/2014/main" id="{33D58167-ADC3-09E5-EF5C-1927BB7B92F3}"/>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5672" name="LegendBtn" hidden="1">
              <a:extLst>
                <a:ext uri="{63B3BB69-23CF-44E3-9099-C40C66FF867C}">
                  <a14:compatExt spid="_x0000_s25672"/>
                </a:ext>
                <a:ext uri="{FF2B5EF4-FFF2-40B4-BE49-F238E27FC236}">
                  <a16:creationId xmlns:a16="http://schemas.microsoft.com/office/drawing/2014/main" id="{F362CA1F-F214-BB5D-1434-071E734CF61D}"/>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editAs="absolute">
    <xdr:from>
      <xdr:col>3</xdr:col>
      <xdr:colOff>249239</xdr:colOff>
      <xdr:row>0</xdr:row>
      <xdr:rowOff>20639</xdr:rowOff>
    </xdr:from>
    <xdr:to>
      <xdr:col>3</xdr:col>
      <xdr:colOff>2039939</xdr:colOff>
      <xdr:row>1</xdr:row>
      <xdr:rowOff>0</xdr:rowOff>
    </xdr:to>
    <xdr:pic>
      <xdr:nvPicPr>
        <xdr:cNvPr id="3" name="tmpHeader">
          <a:extLst>
            <a:ext uri="{FF2B5EF4-FFF2-40B4-BE49-F238E27FC236}">
              <a16:creationId xmlns:a16="http://schemas.microsoft.com/office/drawing/2014/main" id="{08653932-3159-6DC9-5051-670D0EC089A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25400"/>
          <a:ext cx="1790700" cy="73660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xdr:col>
          <xdr:colOff>2413000</xdr:colOff>
          <xdr:row>0</xdr:row>
          <xdr:rowOff>101600</xdr:rowOff>
        </xdr:from>
        <xdr:to>
          <xdr:col>3</xdr:col>
          <xdr:colOff>2832100</xdr:colOff>
          <xdr:row>0</xdr:row>
          <xdr:rowOff>635000</xdr:rowOff>
        </xdr:to>
        <xdr:sp macro="" textlink="">
          <xdr:nvSpPr>
            <xdr:cNvPr id="26709" name="HomeBtn" hidden="1">
              <a:extLst>
                <a:ext uri="{63B3BB69-23CF-44E3-9099-C40C66FF867C}">
                  <a14:compatExt spid="_x0000_s26709"/>
                </a:ext>
                <a:ext uri="{FF2B5EF4-FFF2-40B4-BE49-F238E27FC236}">
                  <a16:creationId xmlns:a16="http://schemas.microsoft.com/office/drawing/2014/main" id="{9B93CD0F-C436-AAD2-0155-B1CAB1ABD0BF}"/>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2959100</xdr:colOff>
          <xdr:row>0</xdr:row>
          <xdr:rowOff>127000</xdr:rowOff>
        </xdr:from>
        <xdr:to>
          <xdr:col>3</xdr:col>
          <xdr:colOff>3378200</xdr:colOff>
          <xdr:row>0</xdr:row>
          <xdr:rowOff>660400</xdr:rowOff>
        </xdr:to>
        <xdr:sp macro="" textlink="">
          <xdr:nvSpPr>
            <xdr:cNvPr id="26710" name="ToolboxBtn" hidden="1">
              <a:extLst>
                <a:ext uri="{63B3BB69-23CF-44E3-9099-C40C66FF867C}">
                  <a14:compatExt spid="_x0000_s26710"/>
                </a:ext>
                <a:ext uri="{FF2B5EF4-FFF2-40B4-BE49-F238E27FC236}">
                  <a16:creationId xmlns:a16="http://schemas.microsoft.com/office/drawing/2014/main" id="{F26C1493-5CC9-A636-0D0B-771C4469F76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3505200</xdr:colOff>
          <xdr:row>0</xdr:row>
          <xdr:rowOff>127000</xdr:rowOff>
        </xdr:from>
        <xdr:to>
          <xdr:col>4</xdr:col>
          <xdr:colOff>381000</xdr:colOff>
          <xdr:row>0</xdr:row>
          <xdr:rowOff>660400</xdr:rowOff>
        </xdr:to>
        <xdr:sp macro="" textlink="">
          <xdr:nvSpPr>
            <xdr:cNvPr id="26711" name="HelpBtn" hidden="1">
              <a:extLst>
                <a:ext uri="{63B3BB69-23CF-44E3-9099-C40C66FF867C}">
                  <a14:compatExt spid="_x0000_s26711"/>
                </a:ext>
                <a:ext uri="{FF2B5EF4-FFF2-40B4-BE49-F238E27FC236}">
                  <a16:creationId xmlns:a16="http://schemas.microsoft.com/office/drawing/2014/main" id="{D9AC1F60-5453-E9A7-3FB8-823358DABF2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508000</xdr:colOff>
          <xdr:row>0</xdr:row>
          <xdr:rowOff>127000</xdr:rowOff>
        </xdr:from>
        <xdr:to>
          <xdr:col>4</xdr:col>
          <xdr:colOff>927100</xdr:colOff>
          <xdr:row>0</xdr:row>
          <xdr:rowOff>660400</xdr:rowOff>
        </xdr:to>
        <xdr:sp macro="" textlink="">
          <xdr:nvSpPr>
            <xdr:cNvPr id="26712" name="LegendBtn" hidden="1">
              <a:extLst>
                <a:ext uri="{63B3BB69-23CF-44E3-9099-C40C66FF867C}">
                  <a14:compatExt spid="_x0000_s26712"/>
                </a:ext>
                <a:ext uri="{FF2B5EF4-FFF2-40B4-BE49-F238E27FC236}">
                  <a16:creationId xmlns:a16="http://schemas.microsoft.com/office/drawing/2014/main" id="{E3F86219-7B08-2001-CCE3-E29E66985C7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karmarkar/Desktop/CMA%20_table%20linkbase%20templates-updat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karmarkar/Desktop/CMA%20_FVTPL%20I-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Sheet"/>
      <sheetName val="StartUp"/>
      <sheetName val="+DynamicDomain"/>
      <sheetName val="Sheet1"/>
      <sheetName val="Data"/>
      <sheetName val="+FootnoteTexts"/>
      <sheetName val="+Elements"/>
      <sheetName val="+Lineitems"/>
      <sheetName val="FairValueThroughProfitOrLoss"/>
      <sheetName val="AvailableForSaleInvestments"/>
      <sheetName val="ManagedAssets"/>
      <sheetName val="+CellLinks"/>
      <sheetName val="Sheet4"/>
    </sheetNames>
    <sheetDataSet>
      <sheetData sheetId="0" refreshError="1"/>
      <sheetData sheetId="1">
        <row r="1">
          <cell r="K1" t="str">
            <v>Afghanistan, Afghanis</v>
          </cell>
          <cell r="L1" t="str">
            <v>Actuals</v>
          </cell>
        </row>
        <row r="2">
          <cell r="K2" t="str">
            <v>Albania, Leke</v>
          </cell>
          <cell r="L2" t="str">
            <v>Thousands</v>
          </cell>
        </row>
        <row r="3">
          <cell r="K3" t="str">
            <v>Algeria, Algeria Dinars</v>
          </cell>
          <cell r="L3" t="str">
            <v>Lakhs</v>
          </cell>
        </row>
        <row r="4">
          <cell r="K4" t="str">
            <v>Angola, Kwanza</v>
          </cell>
          <cell r="L4" t="str">
            <v>Millions</v>
          </cell>
        </row>
        <row r="5">
          <cell r="K5" t="str">
            <v>Argentina, Pesos</v>
          </cell>
          <cell r="L5" t="str">
            <v>Billions</v>
          </cell>
        </row>
        <row r="6">
          <cell r="K6" t="str">
            <v>Armenia, Drams</v>
          </cell>
        </row>
        <row r="7">
          <cell r="K7" t="str">
            <v>Aruba, Guilders (also called Florins)</v>
          </cell>
        </row>
        <row r="8">
          <cell r="K8" t="str">
            <v>Australia, Dollars</v>
          </cell>
        </row>
        <row r="9">
          <cell r="K9" t="str">
            <v>Azerbaijan, New Manats</v>
          </cell>
        </row>
        <row r="10">
          <cell r="K10" t="str">
            <v>Bahamas, Dollars</v>
          </cell>
        </row>
        <row r="11">
          <cell r="K11" t="str">
            <v>Bahrain, Dinars</v>
          </cell>
        </row>
        <row r="12">
          <cell r="K12" t="str">
            <v>Bangladesh, Taka</v>
          </cell>
        </row>
        <row r="13">
          <cell r="K13" t="str">
            <v>Barbados, Dollars</v>
          </cell>
        </row>
        <row r="14">
          <cell r="K14" t="str">
            <v>Belarus, Rubles</v>
          </cell>
        </row>
        <row r="15">
          <cell r="K15" t="str">
            <v>Belize, Dollars</v>
          </cell>
        </row>
        <row r="16">
          <cell r="K16" t="str">
            <v>Bermuda, Dollars</v>
          </cell>
        </row>
        <row r="17">
          <cell r="K17" t="str">
            <v>Bhutan, Ngultrum</v>
          </cell>
        </row>
        <row r="18">
          <cell r="K18" t="str">
            <v>Bolivia, Bolivianos</v>
          </cell>
        </row>
        <row r="19">
          <cell r="K19" t="str">
            <v>Bosnia and Herzegovina, Convertible Marka</v>
          </cell>
        </row>
        <row r="20">
          <cell r="K20" t="str">
            <v>Botswana, Pulas</v>
          </cell>
        </row>
        <row r="21">
          <cell r="K21" t="str">
            <v>Brazil, Brazil Real</v>
          </cell>
        </row>
        <row r="22">
          <cell r="K22" t="str">
            <v>Brunei Darussalam, Dollars</v>
          </cell>
        </row>
        <row r="23">
          <cell r="K23" t="str">
            <v>Bulgaria, Leva</v>
          </cell>
        </row>
        <row r="24">
          <cell r="K24" t="str">
            <v>Burundi, Francs</v>
          </cell>
        </row>
        <row r="25">
          <cell r="K25" t="str">
            <v>Cambodia, Riels</v>
          </cell>
        </row>
        <row r="26">
          <cell r="K26" t="str">
            <v>Canada, Dollars</v>
          </cell>
        </row>
        <row r="27">
          <cell r="K27" t="str">
            <v>Cape Verde, Escudos</v>
          </cell>
        </row>
        <row r="28">
          <cell r="K28" t="str">
            <v>Cayman Islands, Dollars</v>
          </cell>
        </row>
        <row r="29">
          <cell r="K29" t="str">
            <v>Chile, Pesos</v>
          </cell>
        </row>
        <row r="30">
          <cell r="K30" t="str">
            <v>China, Yuan Renminbi</v>
          </cell>
        </row>
        <row r="31">
          <cell r="K31" t="str">
            <v>Colombia, Pesos</v>
          </cell>
        </row>
        <row r="32">
          <cell r="K32" t="str">
            <v>Communaute Financiere Africaine BCEAO, Francs</v>
          </cell>
        </row>
        <row r="33">
          <cell r="K33" t="str">
            <v>Communaute Financiere Africaine BEAC, Francs</v>
          </cell>
        </row>
        <row r="34">
          <cell r="K34" t="str">
            <v>Comoros, Francs</v>
          </cell>
        </row>
        <row r="35">
          <cell r="K35" t="str">
            <v>Comptoirs Francais du Pacifique Francs</v>
          </cell>
        </row>
        <row r="36">
          <cell r="K36" t="str">
            <v>Congo/Kinshasa, Congolese Francs</v>
          </cell>
        </row>
        <row r="37">
          <cell r="K37" t="str">
            <v>Costa Rica, Colones</v>
          </cell>
        </row>
        <row r="38">
          <cell r="K38" t="str">
            <v>Croatia, Kuna</v>
          </cell>
        </row>
        <row r="39">
          <cell r="K39" t="str">
            <v>Cuba, Pesos</v>
          </cell>
        </row>
        <row r="41">
          <cell r="K41" t="str">
            <v>Cyprus, Pounds (expires 2008-Jan-31)</v>
          </cell>
        </row>
        <row r="42">
          <cell r="K42" t="str">
            <v>Czech Republic, Koruny</v>
          </cell>
        </row>
        <row r="43">
          <cell r="K43" t="str">
            <v>Denmark, Kroner</v>
          </cell>
        </row>
        <row r="44">
          <cell r="K44" t="str">
            <v>Djibouti, Francs</v>
          </cell>
        </row>
        <row r="45">
          <cell r="K45" t="str">
            <v>Dominican Republic, Pesos</v>
          </cell>
        </row>
        <row r="46">
          <cell r="K46" t="str">
            <v>East Caribbean Dollars</v>
          </cell>
        </row>
        <row r="47">
          <cell r="K47" t="str">
            <v>Egypt, Pounds</v>
          </cell>
        </row>
        <row r="48">
          <cell r="K48" t="str">
            <v>El Salvador, Colones</v>
          </cell>
        </row>
        <row r="49">
          <cell r="K49" t="str">
            <v>Eritrea, Nakfa</v>
          </cell>
        </row>
        <row r="50">
          <cell r="K50" t="str">
            <v>Estonia, Krooni</v>
          </cell>
        </row>
        <row r="51">
          <cell r="K51" t="str">
            <v>Ethiopia, Birr</v>
          </cell>
        </row>
        <row r="52">
          <cell r="K52" t="str">
            <v>Euro Member Countries, Euro</v>
          </cell>
        </row>
        <row r="53">
          <cell r="K53" t="str">
            <v>Falkland Islands (Malvinas), Pounds</v>
          </cell>
        </row>
        <row r="54">
          <cell r="K54" t="str">
            <v>Fiji, Dollars</v>
          </cell>
        </row>
        <row r="55">
          <cell r="K55" t="str">
            <v>Gambia, Dalasi</v>
          </cell>
        </row>
        <row r="56">
          <cell r="K56" t="str">
            <v>Georgia, Lari</v>
          </cell>
        </row>
        <row r="57">
          <cell r="K57" t="str">
            <v>Ghana, Cedis</v>
          </cell>
        </row>
        <row r="58">
          <cell r="K58" t="str">
            <v>Gibraltar, Pounds</v>
          </cell>
        </row>
        <row r="59">
          <cell r="K59" t="str">
            <v>Gold, Ounces</v>
          </cell>
        </row>
        <row r="60">
          <cell r="K60" t="str">
            <v>Guatemala, Quetzales</v>
          </cell>
        </row>
        <row r="61">
          <cell r="K61" t="str">
            <v>Guernsey, Pounds</v>
          </cell>
        </row>
        <row r="62">
          <cell r="K62" t="str">
            <v>Guinea, Francs</v>
          </cell>
        </row>
        <row r="63">
          <cell r="K63" t="str">
            <v>Guyana, Dollars</v>
          </cell>
        </row>
        <row r="64">
          <cell r="K64" t="str">
            <v>Haiti, Gourdes</v>
          </cell>
        </row>
        <row r="65">
          <cell r="K65" t="str">
            <v>Honduras, Lempiras</v>
          </cell>
        </row>
        <row r="66">
          <cell r="K66" t="str">
            <v>Hong Kong, Dollars</v>
          </cell>
        </row>
        <row r="67">
          <cell r="K67" t="str">
            <v>Hungary, Forint</v>
          </cell>
        </row>
        <row r="68">
          <cell r="K68" t="str">
            <v>Iceland, Kronur</v>
          </cell>
        </row>
        <row r="69">
          <cell r="K69" t="str">
            <v>India, Rupees</v>
          </cell>
        </row>
        <row r="70">
          <cell r="K70" t="str">
            <v>Indonesia, Rupiahs</v>
          </cell>
        </row>
        <row r="71">
          <cell r="K71" t="str">
            <v>International Monetary Fund (IMF) Special Drawing Rights</v>
          </cell>
        </row>
        <row r="72">
          <cell r="K72" t="str">
            <v>Iran, Rials</v>
          </cell>
        </row>
        <row r="73">
          <cell r="K73" t="str">
            <v>Iraq, Dinars</v>
          </cell>
        </row>
        <row r="74">
          <cell r="K74" t="str">
            <v>Isle of Man, Pounds</v>
          </cell>
        </row>
        <row r="75">
          <cell r="K75" t="str">
            <v>Israel, New Shekels</v>
          </cell>
        </row>
        <row r="76">
          <cell r="K76" t="str">
            <v>Jamaica, Dollars</v>
          </cell>
        </row>
        <row r="77">
          <cell r="K77" t="str">
            <v>Japan, Yen</v>
          </cell>
        </row>
        <row r="78">
          <cell r="K78" t="str">
            <v>Jersey, Pounds</v>
          </cell>
        </row>
        <row r="79">
          <cell r="K79" t="str">
            <v>Jordan, Dinars</v>
          </cell>
        </row>
        <row r="80">
          <cell r="K80" t="str">
            <v>Kazakhstan, Tenge</v>
          </cell>
        </row>
        <row r="81">
          <cell r="K81" t="str">
            <v>Kenya, Shillings</v>
          </cell>
        </row>
        <row r="82">
          <cell r="K82" t="str">
            <v>Korea (North), Won</v>
          </cell>
        </row>
        <row r="83">
          <cell r="K83" t="str">
            <v>Korea (South), Won</v>
          </cell>
        </row>
        <row r="84">
          <cell r="K84" t="str">
            <v>Kuwait, Dinars</v>
          </cell>
        </row>
        <row r="85">
          <cell r="K85" t="str">
            <v>Kyrgyzstan, Soms</v>
          </cell>
        </row>
        <row r="86">
          <cell r="K86" t="str">
            <v>Laos, Kips</v>
          </cell>
        </row>
        <row r="87">
          <cell r="K87" t="str">
            <v>Latvia, Lati</v>
          </cell>
        </row>
        <row r="88">
          <cell r="K88" t="str">
            <v>Lebanon, Pounds</v>
          </cell>
        </row>
        <row r="89">
          <cell r="K89" t="str">
            <v>Lesotho, Maloti</v>
          </cell>
        </row>
        <row r="90">
          <cell r="K90" t="str">
            <v>Liberia, Dollars</v>
          </cell>
        </row>
        <row r="91">
          <cell r="K91" t="str">
            <v>Libya, Dinars</v>
          </cell>
        </row>
        <row r="92">
          <cell r="K92" t="str">
            <v>Lithuania, Litai</v>
          </cell>
        </row>
        <row r="93">
          <cell r="K93" t="str">
            <v>Macau, Patacas</v>
          </cell>
        </row>
        <row r="94">
          <cell r="K94" t="str">
            <v>Macedonia, Denars</v>
          </cell>
        </row>
        <row r="95">
          <cell r="K95" t="str">
            <v>Madagascar, Ariary</v>
          </cell>
        </row>
        <row r="96">
          <cell r="K96" t="str">
            <v>Malawi, Kwachas</v>
          </cell>
        </row>
        <row r="97">
          <cell r="K97" t="str">
            <v>Malaysia, Ringgits</v>
          </cell>
        </row>
        <row r="98">
          <cell r="K98" t="str">
            <v>Maldives (Maldive Islands), Rufiyaa</v>
          </cell>
        </row>
        <row r="99">
          <cell r="K99" t="str">
            <v>Malta, Liri (expires 2008-Jan-31)</v>
          </cell>
        </row>
        <row r="100">
          <cell r="K100" t="str">
            <v>Mauritania, Ouguiyas</v>
          </cell>
        </row>
        <row r="101">
          <cell r="K101" t="str">
            <v>Mauritius, Rupees</v>
          </cell>
        </row>
        <row r="102">
          <cell r="K102" t="str">
            <v>Mexico, Pesos</v>
          </cell>
        </row>
        <row r="103">
          <cell r="K103" t="str">
            <v>Moldova, Lei</v>
          </cell>
        </row>
        <row r="104">
          <cell r="K104" t="str">
            <v>Mongolia, Tugriks</v>
          </cell>
        </row>
        <row r="105">
          <cell r="K105" t="str">
            <v>Morocco, Dirhams</v>
          </cell>
        </row>
        <row r="106">
          <cell r="K106" t="str">
            <v>Mozambique, Meticais</v>
          </cell>
        </row>
        <row r="107">
          <cell r="K107" t="str">
            <v>Myanmar (Burma), Kyats</v>
          </cell>
        </row>
        <row r="108">
          <cell r="K108" t="str">
            <v>Namibia, Dollars</v>
          </cell>
        </row>
        <row r="109">
          <cell r="K109" t="str">
            <v>Nepal, Nepal Rupees</v>
          </cell>
        </row>
        <row r="110">
          <cell r="K110" t="str">
            <v>Netherlands Antilles, Guilders (also called Florins)</v>
          </cell>
        </row>
        <row r="111">
          <cell r="K111" t="str">
            <v>New Zealand, Dollars</v>
          </cell>
        </row>
        <row r="112">
          <cell r="K112" t="str">
            <v>Nicaragua, Cordobas</v>
          </cell>
        </row>
        <row r="113">
          <cell r="K113" t="str">
            <v>Nigeria, Nairas</v>
          </cell>
        </row>
        <row r="114">
          <cell r="K114" t="str">
            <v>Norway, Krone</v>
          </cell>
        </row>
        <row r="115">
          <cell r="K115" t="str">
            <v>Oman, Rials</v>
          </cell>
        </row>
        <row r="116">
          <cell r="K116" t="str">
            <v>Pakistan, Rupees</v>
          </cell>
        </row>
        <row r="117">
          <cell r="K117" t="str">
            <v>Palladium Ounces</v>
          </cell>
        </row>
        <row r="118">
          <cell r="K118" t="str">
            <v>Panama, Balboa</v>
          </cell>
        </row>
        <row r="119">
          <cell r="K119" t="str">
            <v>Papua New Guinea, Kina</v>
          </cell>
        </row>
        <row r="120">
          <cell r="K120" t="str">
            <v>Paraguay, Guarani</v>
          </cell>
        </row>
        <row r="121">
          <cell r="K121" t="str">
            <v>Peru, Nuevos Soles</v>
          </cell>
        </row>
        <row r="122">
          <cell r="K122" t="str">
            <v>Philippines, Pesos</v>
          </cell>
        </row>
        <row r="123">
          <cell r="K123" t="str">
            <v>Platinum, Ounces</v>
          </cell>
        </row>
        <row r="124">
          <cell r="K124" t="str">
            <v>Poland, Zlotych</v>
          </cell>
        </row>
        <row r="125">
          <cell r="K125" t="str">
            <v>Qatar, Rials</v>
          </cell>
        </row>
        <row r="126">
          <cell r="K126" t="str">
            <v>Romania, New Lei</v>
          </cell>
        </row>
        <row r="127">
          <cell r="K127" t="str">
            <v>Russia, Rubles</v>
          </cell>
        </row>
        <row r="128">
          <cell r="K128" t="str">
            <v>Rwanda, Rwanda Francs</v>
          </cell>
        </row>
        <row r="129">
          <cell r="K129" t="str">
            <v>Saint Helena, Pounds</v>
          </cell>
        </row>
        <row r="130">
          <cell r="K130" t="str">
            <v>Samoa, Tala</v>
          </cell>
        </row>
        <row r="131">
          <cell r="K131" t="str">
            <v>Sao Tome and Principe, Dobras</v>
          </cell>
        </row>
        <row r="132">
          <cell r="K132" t="str">
            <v>Saudi Arabia, Riyals</v>
          </cell>
        </row>
        <row r="133">
          <cell r="K133" t="str">
            <v>Seborga, Luigini</v>
          </cell>
        </row>
        <row r="134">
          <cell r="K134" t="str">
            <v>Serbia, Dinars</v>
          </cell>
        </row>
        <row r="135">
          <cell r="K135" t="str">
            <v>Seychelles, Rupees</v>
          </cell>
        </row>
        <row r="136">
          <cell r="K136" t="str">
            <v>Sierra Leone, Leones</v>
          </cell>
        </row>
        <row r="137">
          <cell r="K137" t="str">
            <v>Silver, Ounces</v>
          </cell>
        </row>
        <row r="138">
          <cell r="K138" t="str">
            <v>Singapore, Dollars</v>
          </cell>
        </row>
        <row r="139">
          <cell r="K139" t="str">
            <v>Solomon Islands, Dollars</v>
          </cell>
        </row>
        <row r="140">
          <cell r="K140" t="str">
            <v>Somalia, Shillings</v>
          </cell>
        </row>
        <row r="141">
          <cell r="K141" t="str">
            <v>South Africa, Rand</v>
          </cell>
        </row>
        <row r="142">
          <cell r="K142" t="str">
            <v>Sri Lanka, Rupees</v>
          </cell>
        </row>
        <row r="143">
          <cell r="K143" t="str">
            <v>Sudan, Pounds</v>
          </cell>
        </row>
        <row r="144">
          <cell r="K144" t="str">
            <v>Suriname, Dollars</v>
          </cell>
        </row>
        <row r="145">
          <cell r="K145" t="str">
            <v>Swaziland, Emalangeni</v>
          </cell>
        </row>
        <row r="146">
          <cell r="K146" t="str">
            <v>Sweden, Kronor</v>
          </cell>
        </row>
        <row r="147">
          <cell r="K147" t="str">
            <v>Switzerland, Francs</v>
          </cell>
        </row>
        <row r="148">
          <cell r="K148" t="str">
            <v>Syria, Pounds</v>
          </cell>
        </row>
        <row r="149">
          <cell r="K149" t="str">
            <v>Taiwan, New Dollars</v>
          </cell>
        </row>
        <row r="150">
          <cell r="K150" t="str">
            <v>Tajikistan, Somoni</v>
          </cell>
        </row>
        <row r="151">
          <cell r="K151" t="str">
            <v>Tanzania, Shillings</v>
          </cell>
        </row>
        <row r="152">
          <cell r="K152" t="str">
            <v>Thailand, Baht</v>
          </cell>
        </row>
        <row r="153">
          <cell r="K153" t="str">
            <v>Tonga, Paanga</v>
          </cell>
        </row>
        <row r="154">
          <cell r="K154" t="str">
            <v>Trinidad and Tobago, Dollars</v>
          </cell>
        </row>
        <row r="155">
          <cell r="K155" t="str">
            <v>Tunisia, Dinars</v>
          </cell>
        </row>
        <row r="156">
          <cell r="K156" t="str">
            <v>Turkey, New Lira</v>
          </cell>
        </row>
        <row r="157">
          <cell r="K157" t="str">
            <v>Turkmenistan, Manats</v>
          </cell>
        </row>
        <row r="158">
          <cell r="K158" t="str">
            <v>Tuvalu, Tuvalu Dollars</v>
          </cell>
        </row>
        <row r="159">
          <cell r="K159" t="str">
            <v>Uganda, Shillings</v>
          </cell>
        </row>
        <row r="160">
          <cell r="K160" t="str">
            <v>Ukraine, Hryvnia</v>
          </cell>
        </row>
        <row r="161">
          <cell r="K161" t="str">
            <v>United Arab Emirates, Dirhams</v>
          </cell>
        </row>
        <row r="162">
          <cell r="K162" t="str">
            <v>United Kingdom, Pounds</v>
          </cell>
        </row>
        <row r="163">
          <cell r="K163" t="str">
            <v>United States of America, Dollars</v>
          </cell>
        </row>
        <row r="164">
          <cell r="K164" t="str">
            <v>Uruguay, Pesos</v>
          </cell>
        </row>
        <row r="165">
          <cell r="K165" t="str">
            <v>Uzbekistan, Sums</v>
          </cell>
        </row>
        <row r="166">
          <cell r="K166" t="str">
            <v>Vanuatu, Vatu</v>
          </cell>
        </row>
        <row r="167">
          <cell r="K167" t="str">
            <v>Venezuela, Bolivares (expires 2008-Jun-30)</v>
          </cell>
        </row>
        <row r="168">
          <cell r="K168" t="str">
            <v>Venezuela, Bolivares Fuertes</v>
          </cell>
        </row>
        <row r="169">
          <cell r="K169" t="str">
            <v>Viet Nam, Dong</v>
          </cell>
        </row>
        <row r="170">
          <cell r="K170" t="str">
            <v>Yemen, Rials</v>
          </cell>
        </row>
        <row r="171">
          <cell r="K171" t="str">
            <v>Zambia, Kwacha</v>
          </cell>
        </row>
        <row r="172">
          <cell r="K172" t="str">
            <v>Zimbabwe, Zimbabwe Dollars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2">
          <cell r="F32">
            <v>0</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Sheet"/>
      <sheetName val="StartUp"/>
      <sheetName val="+DynamicDomain"/>
      <sheetName val="Sheet1"/>
      <sheetName val="Data"/>
      <sheetName val="+FootnoteTexts"/>
      <sheetName val="+Elements"/>
      <sheetName val="+Lineitems"/>
      <sheetName val="FVTPL"/>
      <sheetName val="+CellLinks"/>
      <sheetName val="Sheet4"/>
    </sheetNames>
    <sheetDataSet>
      <sheetData sheetId="0" refreshError="1"/>
      <sheetData sheetId="1">
        <row r="1">
          <cell r="K1" t="str">
            <v>Afghanistan, Afghanis</v>
          </cell>
          <cell r="L1" t="str">
            <v>Actuals</v>
          </cell>
        </row>
        <row r="2">
          <cell r="K2" t="str">
            <v>Albania, Leke</v>
          </cell>
          <cell r="L2" t="str">
            <v>Thousands</v>
          </cell>
        </row>
        <row r="3">
          <cell r="K3" t="str">
            <v>Algeria, Algeria Dinars</v>
          </cell>
          <cell r="L3" t="str">
            <v>Lakhs</v>
          </cell>
        </row>
        <row r="4">
          <cell r="K4" t="str">
            <v>Angola, Kwanza</v>
          </cell>
          <cell r="L4" t="str">
            <v>Millions</v>
          </cell>
        </row>
        <row r="5">
          <cell r="K5" t="str">
            <v>Argentina, Pesos</v>
          </cell>
          <cell r="L5" t="str">
            <v>Billions</v>
          </cell>
        </row>
        <row r="6">
          <cell r="K6" t="str">
            <v>Armenia, Drams</v>
          </cell>
        </row>
        <row r="7">
          <cell r="K7" t="str">
            <v>Aruba, Guilders (also called Florins)</v>
          </cell>
        </row>
        <row r="8">
          <cell r="K8" t="str">
            <v>Australia, Dollars</v>
          </cell>
        </row>
        <row r="9">
          <cell r="K9" t="str">
            <v>Azerbaijan, New Manats</v>
          </cell>
        </row>
        <row r="10">
          <cell r="K10" t="str">
            <v>Bahamas, Dollars</v>
          </cell>
        </row>
        <row r="11">
          <cell r="K11" t="str">
            <v>Bahrain, Dinars</v>
          </cell>
        </row>
        <row r="12">
          <cell r="K12" t="str">
            <v>Bangladesh, Taka</v>
          </cell>
        </row>
        <row r="13">
          <cell r="K13" t="str">
            <v>Barbados, Dollars</v>
          </cell>
        </row>
        <row r="14">
          <cell r="K14" t="str">
            <v>Belarus, Rubles</v>
          </cell>
        </row>
        <row r="15">
          <cell r="K15" t="str">
            <v>Belize, Dollars</v>
          </cell>
        </row>
        <row r="16">
          <cell r="K16" t="str">
            <v>Bermuda, Dollars</v>
          </cell>
        </row>
        <row r="17">
          <cell r="K17" t="str">
            <v>Bhutan, Ngultrum</v>
          </cell>
        </row>
        <row r="18">
          <cell r="K18" t="str">
            <v>Bolivia, Bolivianos</v>
          </cell>
        </row>
        <row r="19">
          <cell r="K19" t="str">
            <v>Bosnia and Herzegovina, Convertible Marka</v>
          </cell>
        </row>
        <row r="20">
          <cell r="K20" t="str">
            <v>Botswana, Pulas</v>
          </cell>
        </row>
        <row r="21">
          <cell r="K21" t="str">
            <v>Brazil, Brazil Real</v>
          </cell>
        </row>
        <row r="22">
          <cell r="K22" t="str">
            <v>Brunei Darussalam, Dollars</v>
          </cell>
        </row>
        <row r="23">
          <cell r="K23" t="str">
            <v>Bulgaria, Leva</v>
          </cell>
        </row>
        <row r="24">
          <cell r="K24" t="str">
            <v>Burundi, Francs</v>
          </cell>
        </row>
        <row r="25">
          <cell r="K25" t="str">
            <v>Cambodia, Riels</v>
          </cell>
        </row>
        <row r="26">
          <cell r="K26" t="str">
            <v>Canada, Dollars</v>
          </cell>
        </row>
        <row r="27">
          <cell r="K27" t="str">
            <v>Cape Verde, Escudos</v>
          </cell>
        </row>
        <row r="28">
          <cell r="K28" t="str">
            <v>Cayman Islands, Dollars</v>
          </cell>
        </row>
        <row r="29">
          <cell r="K29" t="str">
            <v>Chile, Pesos</v>
          </cell>
        </row>
        <row r="30">
          <cell r="K30" t="str">
            <v>China, Yuan Renminbi</v>
          </cell>
        </row>
        <row r="31">
          <cell r="K31" t="str">
            <v>Colombia, Pesos</v>
          </cell>
        </row>
        <row r="32">
          <cell r="K32" t="str">
            <v>Communaute Financiere Africaine BCEAO, Francs</v>
          </cell>
        </row>
        <row r="33">
          <cell r="K33" t="str">
            <v>Communaute Financiere Africaine BEAC, Francs</v>
          </cell>
        </row>
        <row r="34">
          <cell r="K34" t="str">
            <v>Comoros, Francs</v>
          </cell>
        </row>
        <row r="35">
          <cell r="K35" t="str">
            <v>Comptoirs Francais du Pacifique Francs</v>
          </cell>
        </row>
        <row r="36">
          <cell r="K36" t="str">
            <v>Congo/Kinshasa, Congolese Francs</v>
          </cell>
        </row>
        <row r="37">
          <cell r="K37" t="str">
            <v>Costa Rica, Colones</v>
          </cell>
        </row>
        <row r="38">
          <cell r="K38" t="str">
            <v>Croatia, Kuna</v>
          </cell>
        </row>
        <row r="39">
          <cell r="K39" t="str">
            <v>Cuba, Pesos</v>
          </cell>
        </row>
        <row r="41">
          <cell r="K41" t="str">
            <v>Cyprus, Pounds (expires 2008-Jan-31)</v>
          </cell>
        </row>
        <row r="42">
          <cell r="K42" t="str">
            <v>Czech Republic, Koruny</v>
          </cell>
        </row>
        <row r="43">
          <cell r="K43" t="str">
            <v>Denmark, Kroner</v>
          </cell>
        </row>
        <row r="44">
          <cell r="K44" t="str">
            <v>Djibouti, Francs</v>
          </cell>
        </row>
        <row r="45">
          <cell r="K45" t="str">
            <v>Dominican Republic, Pesos</v>
          </cell>
        </row>
        <row r="46">
          <cell r="K46" t="str">
            <v>East Caribbean Dollars</v>
          </cell>
        </row>
        <row r="47">
          <cell r="K47" t="str">
            <v>Egypt, Pounds</v>
          </cell>
        </row>
        <row r="48">
          <cell r="K48" t="str">
            <v>El Salvador, Colones</v>
          </cell>
        </row>
        <row r="49">
          <cell r="K49" t="str">
            <v>Eritrea, Nakfa</v>
          </cell>
        </row>
        <row r="50">
          <cell r="K50" t="str">
            <v>Estonia, Krooni</v>
          </cell>
        </row>
        <row r="51">
          <cell r="K51" t="str">
            <v>Ethiopia, Birr</v>
          </cell>
        </row>
        <row r="52">
          <cell r="K52" t="str">
            <v>Euro Member Countries, Euro</v>
          </cell>
        </row>
        <row r="53">
          <cell r="K53" t="str">
            <v>Falkland Islands (Malvinas), Pounds</v>
          </cell>
        </row>
        <row r="54">
          <cell r="K54" t="str">
            <v>Fiji, Dollars</v>
          </cell>
        </row>
        <row r="55">
          <cell r="K55" t="str">
            <v>Gambia, Dalasi</v>
          </cell>
        </row>
        <row r="56">
          <cell r="K56" t="str">
            <v>Georgia, Lari</v>
          </cell>
        </row>
        <row r="57">
          <cell r="K57" t="str">
            <v>Ghana, Cedis</v>
          </cell>
        </row>
        <row r="58">
          <cell r="K58" t="str">
            <v>Gibraltar, Pounds</v>
          </cell>
        </row>
        <row r="59">
          <cell r="K59" t="str">
            <v>Gold, Ounces</v>
          </cell>
        </row>
        <row r="60">
          <cell r="K60" t="str">
            <v>Guatemala, Quetzales</v>
          </cell>
        </row>
        <row r="61">
          <cell r="K61" t="str">
            <v>Guernsey, Pounds</v>
          </cell>
        </row>
        <row r="62">
          <cell r="K62" t="str">
            <v>Guinea, Francs</v>
          </cell>
        </row>
        <row r="63">
          <cell r="K63" t="str">
            <v>Guyana, Dollars</v>
          </cell>
        </row>
        <row r="64">
          <cell r="K64" t="str">
            <v>Haiti, Gourdes</v>
          </cell>
        </row>
        <row r="65">
          <cell r="K65" t="str">
            <v>Honduras, Lempiras</v>
          </cell>
        </row>
        <row r="66">
          <cell r="K66" t="str">
            <v>Hong Kong, Dollars</v>
          </cell>
        </row>
        <row r="67">
          <cell r="K67" t="str">
            <v>Hungary, Forint</v>
          </cell>
        </row>
        <row r="68">
          <cell r="K68" t="str">
            <v>Iceland, Kronur</v>
          </cell>
        </row>
        <row r="69">
          <cell r="K69" t="str">
            <v>India, Rupees</v>
          </cell>
        </row>
        <row r="70">
          <cell r="K70" t="str">
            <v>Indonesia, Rupiahs</v>
          </cell>
        </row>
        <row r="71">
          <cell r="K71" t="str">
            <v>International Monetary Fund (IMF) Special Drawing Rights</v>
          </cell>
        </row>
        <row r="72">
          <cell r="K72" t="str">
            <v>Iran, Rials</v>
          </cell>
        </row>
        <row r="73">
          <cell r="K73" t="str">
            <v>Iraq, Dinars</v>
          </cell>
        </row>
        <row r="74">
          <cell r="K74" t="str">
            <v>Isle of Man, Pounds</v>
          </cell>
        </row>
        <row r="75">
          <cell r="K75" t="str">
            <v>Israel, New Shekels</v>
          </cell>
        </row>
        <row r="76">
          <cell r="K76" t="str">
            <v>Jamaica, Dollars</v>
          </cell>
        </row>
        <row r="77">
          <cell r="K77" t="str">
            <v>Japan, Yen</v>
          </cell>
        </row>
        <row r="78">
          <cell r="K78" t="str">
            <v>Jersey, Pounds</v>
          </cell>
        </row>
        <row r="79">
          <cell r="K79" t="str">
            <v>Jordan, Dinars</v>
          </cell>
        </row>
        <row r="80">
          <cell r="K80" t="str">
            <v>Kazakhstan, Tenge</v>
          </cell>
        </row>
        <row r="81">
          <cell r="K81" t="str">
            <v>Kenya, Shillings</v>
          </cell>
        </row>
        <row r="82">
          <cell r="K82" t="str">
            <v>Korea (North), Won</v>
          </cell>
        </row>
        <row r="83">
          <cell r="K83" t="str">
            <v>Korea (South), Won</v>
          </cell>
        </row>
        <row r="84">
          <cell r="K84" t="str">
            <v>Kuwait, Dinars</v>
          </cell>
        </row>
        <row r="85">
          <cell r="K85" t="str">
            <v>Kyrgyzstan, Soms</v>
          </cell>
        </row>
        <row r="86">
          <cell r="K86" t="str">
            <v>Laos, Kips</v>
          </cell>
        </row>
        <row r="87">
          <cell r="K87" t="str">
            <v>Latvia, Lati</v>
          </cell>
        </row>
        <row r="88">
          <cell r="K88" t="str">
            <v>Lebanon, Pounds</v>
          </cell>
        </row>
        <row r="89">
          <cell r="K89" t="str">
            <v>Lesotho, Maloti</v>
          </cell>
        </row>
        <row r="90">
          <cell r="K90" t="str">
            <v>Liberia, Dollars</v>
          </cell>
        </row>
        <row r="91">
          <cell r="K91" t="str">
            <v>Libya, Dinars</v>
          </cell>
        </row>
        <row r="92">
          <cell r="K92" t="str">
            <v>Lithuania, Litai</v>
          </cell>
        </row>
        <row r="93">
          <cell r="K93" t="str">
            <v>Macau, Patacas</v>
          </cell>
        </row>
        <row r="94">
          <cell r="K94" t="str">
            <v>Macedonia, Denars</v>
          </cell>
        </row>
        <row r="95">
          <cell r="K95" t="str">
            <v>Madagascar, Ariary</v>
          </cell>
        </row>
        <row r="96">
          <cell r="K96" t="str">
            <v>Malawi, Kwachas</v>
          </cell>
        </row>
        <row r="97">
          <cell r="K97" t="str">
            <v>Malaysia, Ringgits</v>
          </cell>
        </row>
        <row r="98">
          <cell r="K98" t="str">
            <v>Maldives (Maldive Islands), Rufiyaa</v>
          </cell>
        </row>
        <row r="99">
          <cell r="K99" t="str">
            <v>Malta, Liri (expires 2008-Jan-31)</v>
          </cell>
        </row>
        <row r="100">
          <cell r="K100" t="str">
            <v>Mauritania, Ouguiyas</v>
          </cell>
        </row>
        <row r="101">
          <cell r="K101" t="str">
            <v>Mauritius, Rupees</v>
          </cell>
        </row>
        <row r="102">
          <cell r="K102" t="str">
            <v>Mexico, Pesos</v>
          </cell>
        </row>
        <row r="103">
          <cell r="K103" t="str">
            <v>Moldova, Lei</v>
          </cell>
        </row>
        <row r="104">
          <cell r="K104" t="str">
            <v>Mongolia, Tugriks</v>
          </cell>
        </row>
        <row r="105">
          <cell r="K105" t="str">
            <v>Morocco, Dirhams</v>
          </cell>
        </row>
        <row r="106">
          <cell r="K106" t="str">
            <v>Mozambique, Meticais</v>
          </cell>
        </row>
        <row r="107">
          <cell r="K107" t="str">
            <v>Myanmar (Burma), Kyats</v>
          </cell>
        </row>
        <row r="108">
          <cell r="K108" t="str">
            <v>Namibia, Dollars</v>
          </cell>
        </row>
        <row r="109">
          <cell r="K109" t="str">
            <v>Nepal, Nepal Rupees</v>
          </cell>
        </row>
        <row r="110">
          <cell r="K110" t="str">
            <v>Netherlands Antilles, Guilders (also called Florins)</v>
          </cell>
        </row>
        <row r="111">
          <cell r="K111" t="str">
            <v>New Zealand, Dollars</v>
          </cell>
        </row>
        <row r="112">
          <cell r="K112" t="str">
            <v>Nicaragua, Cordobas</v>
          </cell>
        </row>
        <row r="113">
          <cell r="K113" t="str">
            <v>Nigeria, Nairas</v>
          </cell>
        </row>
        <row r="114">
          <cell r="K114" t="str">
            <v>Norway, Krone</v>
          </cell>
        </row>
        <row r="115">
          <cell r="K115" t="str">
            <v>Oman, Rials</v>
          </cell>
        </row>
        <row r="116">
          <cell r="K116" t="str">
            <v>Pakistan, Rupees</v>
          </cell>
        </row>
        <row r="117">
          <cell r="K117" t="str">
            <v>Palladium Ounces</v>
          </cell>
        </row>
        <row r="118">
          <cell r="K118" t="str">
            <v>Panama, Balboa</v>
          </cell>
        </row>
        <row r="119">
          <cell r="K119" t="str">
            <v>Papua New Guinea, Kina</v>
          </cell>
        </row>
        <row r="120">
          <cell r="K120" t="str">
            <v>Paraguay, Guarani</v>
          </cell>
        </row>
        <row r="121">
          <cell r="K121" t="str">
            <v>Peru, Nuevos Soles</v>
          </cell>
        </row>
        <row r="122">
          <cell r="K122" t="str">
            <v>Philippines, Pesos</v>
          </cell>
        </row>
        <row r="123">
          <cell r="K123" t="str">
            <v>Platinum, Ounces</v>
          </cell>
        </row>
        <row r="124">
          <cell r="K124" t="str">
            <v>Poland, Zlotych</v>
          </cell>
        </row>
        <row r="125">
          <cell r="K125" t="str">
            <v>Qatar, Rials</v>
          </cell>
        </row>
        <row r="126">
          <cell r="K126" t="str">
            <v>Romania, New Lei</v>
          </cell>
        </row>
        <row r="127">
          <cell r="K127" t="str">
            <v>Russia, Rubles</v>
          </cell>
        </row>
        <row r="128">
          <cell r="K128" t="str">
            <v>Rwanda, Rwanda Francs</v>
          </cell>
        </row>
        <row r="129">
          <cell r="K129" t="str">
            <v>Saint Helena, Pounds</v>
          </cell>
        </row>
        <row r="130">
          <cell r="K130" t="str">
            <v>Samoa, Tala</v>
          </cell>
        </row>
        <row r="131">
          <cell r="K131" t="str">
            <v>Sao Tome and Principe, Dobras</v>
          </cell>
        </row>
        <row r="132">
          <cell r="K132" t="str">
            <v>Saudi Arabia, Riyals</v>
          </cell>
        </row>
        <row r="133">
          <cell r="K133" t="str">
            <v>Seborga, Luigini</v>
          </cell>
        </row>
        <row r="134">
          <cell r="K134" t="str">
            <v>Serbia, Dinars</v>
          </cell>
        </row>
        <row r="135">
          <cell r="K135" t="str">
            <v>Seychelles, Rupees</v>
          </cell>
        </row>
        <row r="136">
          <cell r="K136" t="str">
            <v>Sierra Leone, Leones</v>
          </cell>
        </row>
        <row r="137">
          <cell r="K137" t="str">
            <v>Silver, Ounces</v>
          </cell>
        </row>
        <row r="138">
          <cell r="K138" t="str">
            <v>Singapore, Dollars</v>
          </cell>
        </row>
        <row r="139">
          <cell r="K139" t="str">
            <v>Solomon Islands, Dollars</v>
          </cell>
        </row>
        <row r="140">
          <cell r="K140" t="str">
            <v>Somalia, Shillings</v>
          </cell>
        </row>
        <row r="141">
          <cell r="K141" t="str">
            <v>South Africa, Rand</v>
          </cell>
        </row>
        <row r="142">
          <cell r="K142" t="str">
            <v>Sri Lanka, Rupees</v>
          </cell>
        </row>
        <row r="143">
          <cell r="K143" t="str">
            <v>Sudan, Pounds</v>
          </cell>
        </row>
        <row r="144">
          <cell r="K144" t="str">
            <v>Suriname, Dollars</v>
          </cell>
        </row>
        <row r="145">
          <cell r="K145" t="str">
            <v>Swaziland, Emalangeni</v>
          </cell>
        </row>
        <row r="146">
          <cell r="K146" t="str">
            <v>Sweden, Kronor</v>
          </cell>
        </row>
        <row r="147">
          <cell r="K147" t="str">
            <v>Switzerland, Francs</v>
          </cell>
        </row>
        <row r="148">
          <cell r="K148" t="str">
            <v>Syria, Pounds</v>
          </cell>
        </row>
        <row r="149">
          <cell r="K149" t="str">
            <v>Taiwan, New Dollars</v>
          </cell>
        </row>
        <row r="150">
          <cell r="K150" t="str">
            <v>Tajikistan, Somoni</v>
          </cell>
        </row>
        <row r="151">
          <cell r="K151" t="str">
            <v>Tanzania, Shillings</v>
          </cell>
        </row>
        <row r="152">
          <cell r="K152" t="str">
            <v>Thailand, Baht</v>
          </cell>
        </row>
        <row r="153">
          <cell r="K153" t="str">
            <v>Tonga, Paanga</v>
          </cell>
        </row>
        <row r="154">
          <cell r="K154" t="str">
            <v>Trinidad and Tobago, Dollars</v>
          </cell>
        </row>
        <row r="155">
          <cell r="K155" t="str">
            <v>Tunisia, Dinars</v>
          </cell>
        </row>
        <row r="156">
          <cell r="K156" t="str">
            <v>Turkey, New Lira</v>
          </cell>
        </row>
        <row r="157">
          <cell r="K157" t="str">
            <v>Turkmenistan, Manats</v>
          </cell>
        </row>
        <row r="158">
          <cell r="K158" t="str">
            <v>Tuvalu, Tuvalu Dollars</v>
          </cell>
        </row>
        <row r="159">
          <cell r="K159" t="str">
            <v>Uganda, Shillings</v>
          </cell>
        </row>
        <row r="160">
          <cell r="K160" t="str">
            <v>Ukraine, Hryvnia</v>
          </cell>
        </row>
        <row r="161">
          <cell r="K161" t="str">
            <v>United Arab Emirates, Dirhams</v>
          </cell>
        </row>
        <row r="162">
          <cell r="K162" t="str">
            <v>United Kingdom, Pounds</v>
          </cell>
        </row>
        <row r="163">
          <cell r="K163" t="str">
            <v>United States of America, Dollars</v>
          </cell>
        </row>
        <row r="164">
          <cell r="K164" t="str">
            <v>Uruguay, Pesos</v>
          </cell>
        </row>
        <row r="165">
          <cell r="K165" t="str">
            <v>Uzbekistan, Sums</v>
          </cell>
        </row>
        <row r="166">
          <cell r="K166" t="str">
            <v>Vanuatu, Vatu</v>
          </cell>
        </row>
        <row r="167">
          <cell r="K167" t="str">
            <v>Venezuela, Bolivares (expires 2008-Jun-30)</v>
          </cell>
        </row>
        <row r="168">
          <cell r="K168" t="str">
            <v>Venezuela, Bolivares Fuertes</v>
          </cell>
        </row>
        <row r="169">
          <cell r="K169" t="str">
            <v>Viet Nam, Dong</v>
          </cell>
        </row>
        <row r="170">
          <cell r="K170" t="str">
            <v>Yemen, Rials</v>
          </cell>
        </row>
        <row r="171">
          <cell r="K171" t="str">
            <v>Zambia, Kwacha</v>
          </cell>
        </row>
        <row r="172">
          <cell r="K172" t="str">
            <v>Zimbabwe, Zimbabwe Dollars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2.xml"/><Relationship Id="rId7" Type="http://schemas.openxmlformats.org/officeDocument/2006/relationships/control" Target="../activeX/activeX4.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image" Target="../media/image4.emf"/><Relationship Id="rId5" Type="http://schemas.openxmlformats.org/officeDocument/2006/relationships/control" Target="../activeX/activeX3.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5.xml"/></Relationships>
</file>

<file path=xl/worksheets/_rels/sheet4.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6.xml"/><Relationship Id="rId7" Type="http://schemas.openxmlformats.org/officeDocument/2006/relationships/control" Target="../activeX/activeX8.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image" Target="../media/image4.emf"/><Relationship Id="rId11" Type="http://schemas.openxmlformats.org/officeDocument/2006/relationships/comments" Target="../comments1.xml"/><Relationship Id="rId5" Type="http://schemas.openxmlformats.org/officeDocument/2006/relationships/control" Target="../activeX/activeX7.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9.xml"/></Relationships>
</file>

<file path=xl/worksheets/_rels/sheet5.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10.xml"/><Relationship Id="rId7" Type="http://schemas.openxmlformats.org/officeDocument/2006/relationships/control" Target="../activeX/activeX12.xml"/><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image" Target="../media/image4.emf"/><Relationship Id="rId11" Type="http://schemas.openxmlformats.org/officeDocument/2006/relationships/comments" Target="../comments2.xml"/><Relationship Id="rId5" Type="http://schemas.openxmlformats.org/officeDocument/2006/relationships/control" Target="../activeX/activeX11.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13.xml"/></Relationships>
</file>

<file path=xl/worksheets/_rels/sheet6.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14.xml"/><Relationship Id="rId7" Type="http://schemas.openxmlformats.org/officeDocument/2006/relationships/control" Target="../activeX/activeX16.xml"/><Relationship Id="rId2" Type="http://schemas.openxmlformats.org/officeDocument/2006/relationships/vmlDrawing" Target="../drawings/vmlDrawing5.vml"/><Relationship Id="rId1" Type="http://schemas.openxmlformats.org/officeDocument/2006/relationships/drawing" Target="../drawings/drawing6.xml"/><Relationship Id="rId6" Type="http://schemas.openxmlformats.org/officeDocument/2006/relationships/image" Target="../media/image4.emf"/><Relationship Id="rId11" Type="http://schemas.openxmlformats.org/officeDocument/2006/relationships/comments" Target="../comments3.xml"/><Relationship Id="rId5" Type="http://schemas.openxmlformats.org/officeDocument/2006/relationships/control" Target="../activeX/activeX15.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17.xml"/></Relationships>
</file>

<file path=xl/worksheets/_rels/sheet7.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18.xml"/><Relationship Id="rId7" Type="http://schemas.openxmlformats.org/officeDocument/2006/relationships/control" Target="../activeX/activeX20.xml"/><Relationship Id="rId2" Type="http://schemas.openxmlformats.org/officeDocument/2006/relationships/vmlDrawing" Target="../drawings/vmlDrawing6.vml"/><Relationship Id="rId1" Type="http://schemas.openxmlformats.org/officeDocument/2006/relationships/drawing" Target="../drawings/drawing7.xml"/><Relationship Id="rId6" Type="http://schemas.openxmlformats.org/officeDocument/2006/relationships/image" Target="../media/image4.emf"/><Relationship Id="rId11" Type="http://schemas.openxmlformats.org/officeDocument/2006/relationships/comments" Target="../comments4.xml"/><Relationship Id="rId5" Type="http://schemas.openxmlformats.org/officeDocument/2006/relationships/control" Target="../activeX/activeX19.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21.xml"/></Relationships>
</file>

<file path=xl/worksheets/_rels/sheet8.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22.xml"/><Relationship Id="rId7" Type="http://schemas.openxmlformats.org/officeDocument/2006/relationships/control" Target="../activeX/activeX24.xml"/><Relationship Id="rId2" Type="http://schemas.openxmlformats.org/officeDocument/2006/relationships/vmlDrawing" Target="../drawings/vmlDrawing7.vml"/><Relationship Id="rId1" Type="http://schemas.openxmlformats.org/officeDocument/2006/relationships/drawing" Target="../drawings/drawing8.xml"/><Relationship Id="rId6" Type="http://schemas.openxmlformats.org/officeDocument/2006/relationships/image" Target="../media/image4.emf"/><Relationship Id="rId11" Type="http://schemas.openxmlformats.org/officeDocument/2006/relationships/comments" Target="../comments5.xml"/><Relationship Id="rId5" Type="http://schemas.openxmlformats.org/officeDocument/2006/relationships/control" Target="../activeX/activeX23.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25.xml"/></Relationships>
</file>

<file path=xl/worksheets/_rels/sheet9.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26.xml"/><Relationship Id="rId7" Type="http://schemas.openxmlformats.org/officeDocument/2006/relationships/control" Target="../activeX/activeX28.xml"/><Relationship Id="rId2" Type="http://schemas.openxmlformats.org/officeDocument/2006/relationships/vmlDrawing" Target="../drawings/vmlDrawing8.vml"/><Relationship Id="rId1" Type="http://schemas.openxmlformats.org/officeDocument/2006/relationships/drawing" Target="../drawings/drawing9.xml"/><Relationship Id="rId6" Type="http://schemas.openxmlformats.org/officeDocument/2006/relationships/image" Target="../media/image4.emf"/><Relationship Id="rId11" Type="http://schemas.openxmlformats.org/officeDocument/2006/relationships/comments" Target="../comments6.xml"/><Relationship Id="rId5" Type="http://schemas.openxmlformats.org/officeDocument/2006/relationships/control" Target="../activeX/activeX27.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29.xml"/></Relationships>
</file>

<file path=xl/worksheets/_rels/sheet10.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30.xml"/><Relationship Id="rId7" Type="http://schemas.openxmlformats.org/officeDocument/2006/relationships/control" Target="../activeX/activeX32.xml"/><Relationship Id="rId2" Type="http://schemas.openxmlformats.org/officeDocument/2006/relationships/vmlDrawing" Target="../drawings/vmlDrawing9.vml"/><Relationship Id="rId1" Type="http://schemas.openxmlformats.org/officeDocument/2006/relationships/drawing" Target="../drawings/drawing10.xml"/><Relationship Id="rId6" Type="http://schemas.openxmlformats.org/officeDocument/2006/relationships/image" Target="../media/image4.emf"/><Relationship Id="rId11" Type="http://schemas.openxmlformats.org/officeDocument/2006/relationships/comments" Target="../comments7.xml"/><Relationship Id="rId5" Type="http://schemas.openxmlformats.org/officeDocument/2006/relationships/control" Target="../activeX/activeX31.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33.xml"/></Relationships>
</file>

<file path=xl/worksheets/_rels/sheet1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34.xml"/><Relationship Id="rId7" Type="http://schemas.openxmlformats.org/officeDocument/2006/relationships/control" Target="../activeX/activeX36.xml"/><Relationship Id="rId2" Type="http://schemas.openxmlformats.org/officeDocument/2006/relationships/vmlDrawing" Target="../drawings/vmlDrawing10.vml"/><Relationship Id="rId1" Type="http://schemas.openxmlformats.org/officeDocument/2006/relationships/drawing" Target="../drawings/drawing11.xml"/><Relationship Id="rId6" Type="http://schemas.openxmlformats.org/officeDocument/2006/relationships/image" Target="../media/image4.emf"/><Relationship Id="rId11" Type="http://schemas.openxmlformats.org/officeDocument/2006/relationships/comments" Target="../comments8.xml"/><Relationship Id="rId5" Type="http://schemas.openxmlformats.org/officeDocument/2006/relationships/control" Target="../activeX/activeX35.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37.xml"/></Relationships>
</file>

<file path=xl/worksheets/_rels/sheet12.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38.xml"/><Relationship Id="rId7" Type="http://schemas.openxmlformats.org/officeDocument/2006/relationships/control" Target="../activeX/activeX40.xml"/><Relationship Id="rId2" Type="http://schemas.openxmlformats.org/officeDocument/2006/relationships/vmlDrawing" Target="../drawings/vmlDrawing11.vml"/><Relationship Id="rId1" Type="http://schemas.openxmlformats.org/officeDocument/2006/relationships/drawing" Target="../drawings/drawing12.xml"/><Relationship Id="rId6" Type="http://schemas.openxmlformats.org/officeDocument/2006/relationships/image" Target="../media/image4.emf"/><Relationship Id="rId11" Type="http://schemas.openxmlformats.org/officeDocument/2006/relationships/comments" Target="../comments9.xml"/><Relationship Id="rId5" Type="http://schemas.openxmlformats.org/officeDocument/2006/relationships/control" Target="../activeX/activeX39.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41.xml"/></Relationships>
</file>

<file path=xl/worksheets/_rels/sheet13.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42.xml"/><Relationship Id="rId7" Type="http://schemas.openxmlformats.org/officeDocument/2006/relationships/control" Target="../activeX/activeX44.xml"/><Relationship Id="rId2" Type="http://schemas.openxmlformats.org/officeDocument/2006/relationships/vmlDrawing" Target="../drawings/vmlDrawing12.vml"/><Relationship Id="rId1" Type="http://schemas.openxmlformats.org/officeDocument/2006/relationships/drawing" Target="../drawings/drawing13.xml"/><Relationship Id="rId6" Type="http://schemas.openxmlformats.org/officeDocument/2006/relationships/image" Target="../media/image4.emf"/><Relationship Id="rId11" Type="http://schemas.openxmlformats.org/officeDocument/2006/relationships/comments" Target="../comments10.xml"/><Relationship Id="rId5" Type="http://schemas.openxmlformats.org/officeDocument/2006/relationships/control" Target="../activeX/activeX43.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45.xml"/></Relationships>
</file>

<file path=xl/worksheets/_rels/sheet14.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46.xml"/><Relationship Id="rId7" Type="http://schemas.openxmlformats.org/officeDocument/2006/relationships/control" Target="../activeX/activeX48.xml"/><Relationship Id="rId2" Type="http://schemas.openxmlformats.org/officeDocument/2006/relationships/vmlDrawing" Target="../drawings/vmlDrawing13.vml"/><Relationship Id="rId1" Type="http://schemas.openxmlformats.org/officeDocument/2006/relationships/drawing" Target="../drawings/drawing14.xml"/><Relationship Id="rId6" Type="http://schemas.openxmlformats.org/officeDocument/2006/relationships/image" Target="../media/image4.emf"/><Relationship Id="rId11" Type="http://schemas.openxmlformats.org/officeDocument/2006/relationships/comments" Target="../comments11.xml"/><Relationship Id="rId5" Type="http://schemas.openxmlformats.org/officeDocument/2006/relationships/control" Target="../activeX/activeX47.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49.xml"/></Relationships>
</file>

<file path=xl/worksheets/_rels/sheet15.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50.xml"/><Relationship Id="rId7" Type="http://schemas.openxmlformats.org/officeDocument/2006/relationships/control" Target="../activeX/activeX52.xml"/><Relationship Id="rId2" Type="http://schemas.openxmlformats.org/officeDocument/2006/relationships/vmlDrawing" Target="../drawings/vmlDrawing14.vml"/><Relationship Id="rId1" Type="http://schemas.openxmlformats.org/officeDocument/2006/relationships/drawing" Target="../drawings/drawing15.xml"/><Relationship Id="rId6" Type="http://schemas.openxmlformats.org/officeDocument/2006/relationships/image" Target="../media/image4.emf"/><Relationship Id="rId11" Type="http://schemas.openxmlformats.org/officeDocument/2006/relationships/comments" Target="../comments12.xml"/><Relationship Id="rId5" Type="http://schemas.openxmlformats.org/officeDocument/2006/relationships/control" Target="../activeX/activeX51.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53.xml"/></Relationships>
</file>

<file path=xl/worksheets/_rels/sheet16.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54.xml"/><Relationship Id="rId7" Type="http://schemas.openxmlformats.org/officeDocument/2006/relationships/control" Target="../activeX/activeX56.xml"/><Relationship Id="rId2" Type="http://schemas.openxmlformats.org/officeDocument/2006/relationships/vmlDrawing" Target="../drawings/vmlDrawing15.vml"/><Relationship Id="rId1" Type="http://schemas.openxmlformats.org/officeDocument/2006/relationships/drawing" Target="../drawings/drawing16.xml"/><Relationship Id="rId6" Type="http://schemas.openxmlformats.org/officeDocument/2006/relationships/image" Target="../media/image4.emf"/><Relationship Id="rId11" Type="http://schemas.openxmlformats.org/officeDocument/2006/relationships/comments" Target="../comments13.xml"/><Relationship Id="rId5" Type="http://schemas.openxmlformats.org/officeDocument/2006/relationships/control" Target="../activeX/activeX55.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57.xml"/></Relationships>
</file>

<file path=xl/worksheets/_rels/sheet17.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58.xml"/><Relationship Id="rId7" Type="http://schemas.openxmlformats.org/officeDocument/2006/relationships/control" Target="../activeX/activeX60.xml"/><Relationship Id="rId2" Type="http://schemas.openxmlformats.org/officeDocument/2006/relationships/vmlDrawing" Target="../drawings/vmlDrawing16.vml"/><Relationship Id="rId1" Type="http://schemas.openxmlformats.org/officeDocument/2006/relationships/drawing" Target="../drawings/drawing17.xml"/><Relationship Id="rId6" Type="http://schemas.openxmlformats.org/officeDocument/2006/relationships/image" Target="../media/image4.emf"/><Relationship Id="rId5" Type="http://schemas.openxmlformats.org/officeDocument/2006/relationships/control" Target="../activeX/activeX59.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61.xml"/></Relationships>
</file>

<file path=xl/worksheets/_rels/sheet18.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62.xml"/><Relationship Id="rId7" Type="http://schemas.openxmlformats.org/officeDocument/2006/relationships/control" Target="../activeX/activeX64.xml"/><Relationship Id="rId2" Type="http://schemas.openxmlformats.org/officeDocument/2006/relationships/vmlDrawing" Target="../drawings/vmlDrawing17.vml"/><Relationship Id="rId1" Type="http://schemas.openxmlformats.org/officeDocument/2006/relationships/drawing" Target="../drawings/drawing18.xml"/><Relationship Id="rId6" Type="http://schemas.openxmlformats.org/officeDocument/2006/relationships/image" Target="../media/image4.emf"/><Relationship Id="rId5" Type="http://schemas.openxmlformats.org/officeDocument/2006/relationships/control" Target="../activeX/activeX63.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65.xml"/></Relationships>
</file>

<file path=xl/worksheets/_rels/sheet19.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66.xml"/><Relationship Id="rId7" Type="http://schemas.openxmlformats.org/officeDocument/2006/relationships/control" Target="../activeX/activeX68.xml"/><Relationship Id="rId2" Type="http://schemas.openxmlformats.org/officeDocument/2006/relationships/vmlDrawing" Target="../drawings/vmlDrawing18.vml"/><Relationship Id="rId1" Type="http://schemas.openxmlformats.org/officeDocument/2006/relationships/drawing" Target="../drawings/drawing19.xml"/><Relationship Id="rId6" Type="http://schemas.openxmlformats.org/officeDocument/2006/relationships/image" Target="../media/image4.emf"/><Relationship Id="rId5" Type="http://schemas.openxmlformats.org/officeDocument/2006/relationships/control" Target="../activeX/activeX67.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69.xml"/></Relationships>
</file>

<file path=xl/worksheets/_rels/sheet20.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70.xml"/><Relationship Id="rId7" Type="http://schemas.openxmlformats.org/officeDocument/2006/relationships/control" Target="../activeX/activeX72.xml"/><Relationship Id="rId2" Type="http://schemas.openxmlformats.org/officeDocument/2006/relationships/vmlDrawing" Target="../drawings/vmlDrawing19.vml"/><Relationship Id="rId1" Type="http://schemas.openxmlformats.org/officeDocument/2006/relationships/drawing" Target="../drawings/drawing20.xml"/><Relationship Id="rId6" Type="http://schemas.openxmlformats.org/officeDocument/2006/relationships/image" Target="../media/image4.emf"/><Relationship Id="rId11" Type="http://schemas.openxmlformats.org/officeDocument/2006/relationships/comments" Target="../comments14.xml"/><Relationship Id="rId5" Type="http://schemas.openxmlformats.org/officeDocument/2006/relationships/control" Target="../activeX/activeX71.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73.xml"/></Relationships>
</file>

<file path=xl/worksheets/_rels/sheet2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ontrol" Target="../activeX/activeX74.xml"/><Relationship Id="rId7" Type="http://schemas.openxmlformats.org/officeDocument/2006/relationships/control" Target="../activeX/activeX76.xml"/><Relationship Id="rId2" Type="http://schemas.openxmlformats.org/officeDocument/2006/relationships/vmlDrawing" Target="../drawings/vmlDrawing20.vml"/><Relationship Id="rId1" Type="http://schemas.openxmlformats.org/officeDocument/2006/relationships/drawing" Target="../drawings/drawing21.xml"/><Relationship Id="rId6" Type="http://schemas.openxmlformats.org/officeDocument/2006/relationships/image" Target="../media/image4.emf"/><Relationship Id="rId11" Type="http://schemas.openxmlformats.org/officeDocument/2006/relationships/comments" Target="../comments15.xml"/><Relationship Id="rId5" Type="http://schemas.openxmlformats.org/officeDocument/2006/relationships/control" Target="../activeX/activeX75.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ontrol" Target="../activeX/activeX77.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87"/>
  <sheetViews>
    <sheetView showGridLines="0" workbookViewId="0">
      <selection activeCell="H17" sqref="H17"/>
    </sheetView>
  </sheetViews>
  <sheetFormatPr defaultColWidth="0" defaultRowHeight="14.5" zeroHeight="1"/>
  <cols>
    <col min="1" max="4" width="9.08984375" customWidth="1"/>
    <col min="5" max="5" width="7.26953125" customWidth="1"/>
    <col min="6" max="6" width="9.26953125" customWidth="1"/>
    <col min="7" max="7" width="3.453125" customWidth="1"/>
    <col min="8" max="8" width="8.26953125" customWidth="1"/>
    <col min="9" max="9" width="9.08984375" customWidth="1"/>
    <col min="10" max="10" width="9.26953125" customWidth="1"/>
    <col min="11" max="11" width="12.7265625" customWidth="1"/>
    <col min="12" max="12" width="9.08984375" customWidth="1"/>
    <col min="13" max="13" width="6" customWidth="1"/>
    <col min="14" max="14" width="9.08984375" customWidth="1"/>
    <col min="15" max="15" width="10" customWidth="1"/>
    <col min="16" max="16" width="10.7265625" customWidth="1"/>
    <col min="17" max="17" width="10.453125" customWidth="1"/>
    <col min="18" max="18" width="6.54296875" customWidth="1"/>
    <col min="19" max="19" width="7.7265625" customWidth="1"/>
    <col min="20" max="16384" width="9.08984375" hidden="1"/>
  </cols>
  <sheetData>
    <row r="1" spans="2:19">
      <c r="B1" s="5"/>
      <c r="C1" s="5"/>
      <c r="D1" s="5"/>
      <c r="E1" s="5"/>
      <c r="F1" s="5"/>
      <c r="G1" s="5"/>
      <c r="H1" s="5"/>
      <c r="I1" s="5"/>
      <c r="J1" s="5"/>
      <c r="K1" s="5"/>
      <c r="L1" s="5"/>
      <c r="M1" s="5"/>
      <c r="N1" s="5"/>
      <c r="O1" s="5"/>
      <c r="P1" s="5"/>
      <c r="Q1" s="5"/>
      <c r="S1" s="5"/>
    </row>
    <row r="2" spans="2:19">
      <c r="B2" s="5"/>
      <c r="C2" s="5"/>
      <c r="D2" s="5"/>
      <c r="E2" s="5"/>
      <c r="F2" s="5"/>
      <c r="G2" s="5"/>
      <c r="H2" s="5"/>
      <c r="I2" s="5"/>
      <c r="J2" s="5"/>
      <c r="K2" s="5"/>
      <c r="L2" s="5"/>
      <c r="M2" s="5"/>
      <c r="N2" s="5"/>
      <c r="O2" s="5"/>
      <c r="P2" s="5"/>
      <c r="Q2" s="5"/>
      <c r="S2" s="5"/>
    </row>
    <row r="3" spans="2:19">
      <c r="B3" s="5"/>
      <c r="C3" s="5"/>
      <c r="D3" s="5"/>
      <c r="E3" s="5"/>
      <c r="F3" s="5"/>
      <c r="G3" s="5"/>
      <c r="H3" s="5"/>
      <c r="I3" s="5"/>
      <c r="J3" s="5"/>
      <c r="K3" s="5"/>
      <c r="L3" s="5"/>
      <c r="M3" s="5"/>
      <c r="N3" s="5"/>
      <c r="O3" s="5"/>
      <c r="P3" s="5"/>
      <c r="Q3" s="5"/>
      <c r="S3" s="5"/>
    </row>
    <row r="4" spans="2:19" ht="17.25" customHeight="1">
      <c r="B4" s="5"/>
      <c r="C4" s="5"/>
      <c r="D4" s="5"/>
      <c r="E4" s="5"/>
      <c r="F4" s="5"/>
      <c r="G4" s="5"/>
      <c r="H4" s="5"/>
      <c r="I4" s="5"/>
      <c r="J4" s="5"/>
      <c r="K4" s="5"/>
      <c r="L4" s="5"/>
      <c r="M4" s="5"/>
      <c r="N4" s="5"/>
      <c r="O4" s="5"/>
      <c r="P4" s="5"/>
      <c r="Q4" s="5"/>
      <c r="S4" s="5"/>
    </row>
    <row r="5" spans="2:19" ht="9" customHeight="1">
      <c r="B5" s="5"/>
      <c r="C5" s="5"/>
      <c r="D5" s="5"/>
      <c r="E5" s="5"/>
      <c r="F5" s="5"/>
      <c r="G5" s="5"/>
      <c r="H5" s="5"/>
      <c r="I5" s="5"/>
      <c r="J5" s="5"/>
      <c r="K5" s="5"/>
      <c r="L5" s="5"/>
      <c r="M5" s="5"/>
      <c r="N5" s="5"/>
      <c r="O5" s="5"/>
      <c r="P5" s="5"/>
      <c r="Q5" s="5"/>
      <c r="S5" s="5"/>
    </row>
    <row r="6" spans="2:19" ht="17.25" customHeight="1">
      <c r="B6" s="5"/>
      <c r="C6" s="8"/>
      <c r="D6" s="8"/>
      <c r="E6" s="8"/>
      <c r="F6" s="8"/>
      <c r="G6" s="8"/>
      <c r="H6" s="8"/>
      <c r="I6" s="8"/>
      <c r="J6" s="8"/>
      <c r="K6" s="8"/>
      <c r="L6" s="8"/>
      <c r="M6" s="8"/>
      <c r="N6" s="8"/>
      <c r="O6" s="8"/>
      <c r="P6" s="8"/>
      <c r="Q6" s="8"/>
      <c r="S6" s="5"/>
    </row>
    <row r="7" spans="2:19" ht="25.5" customHeight="1">
      <c r="B7" s="5"/>
      <c r="C7" s="8"/>
      <c r="D7" s="8"/>
      <c r="E7" s="8"/>
      <c r="F7" s="8"/>
      <c r="G7" s="8"/>
      <c r="H7" s="8"/>
      <c r="I7" s="8"/>
      <c r="J7" s="8"/>
      <c r="K7" s="8"/>
      <c r="L7" s="8"/>
      <c r="M7" s="8"/>
      <c r="N7" s="8"/>
      <c r="O7" s="8"/>
      <c r="P7" s="8"/>
      <c r="Q7" s="8"/>
      <c r="S7" s="5"/>
    </row>
    <row r="8" spans="2:19">
      <c r="B8" s="5"/>
      <c r="C8" s="8"/>
      <c r="D8" s="8"/>
      <c r="E8" s="8"/>
      <c r="F8" s="8"/>
      <c r="G8" s="8"/>
      <c r="H8" s="8"/>
      <c r="I8" s="8"/>
      <c r="J8" s="8"/>
      <c r="K8" s="8"/>
      <c r="L8" s="8"/>
      <c r="M8" s="8"/>
      <c r="N8" s="8"/>
      <c r="O8" s="8"/>
      <c r="P8" s="8"/>
      <c r="Q8" s="8"/>
      <c r="S8" s="5"/>
    </row>
    <row r="9" spans="2:19">
      <c r="B9" s="5"/>
      <c r="C9" s="8"/>
      <c r="D9" s="8"/>
      <c r="E9" s="8"/>
      <c r="F9" s="8"/>
      <c r="G9" s="8"/>
      <c r="H9" s="8"/>
      <c r="I9" s="8"/>
      <c r="J9" s="8"/>
      <c r="K9" s="8"/>
      <c r="L9" s="8"/>
      <c r="M9" s="8"/>
      <c r="N9" s="8"/>
      <c r="O9" s="8"/>
      <c r="P9" s="8"/>
      <c r="Q9" s="8"/>
      <c r="S9" s="5"/>
    </row>
    <row r="10" spans="2:19" ht="26">
      <c r="B10" s="5"/>
      <c r="C10" s="8"/>
      <c r="D10" s="8"/>
      <c r="E10" s="8"/>
      <c r="F10" s="8"/>
      <c r="G10" s="8"/>
      <c r="H10" s="8"/>
      <c r="I10" s="16"/>
      <c r="J10" s="8"/>
      <c r="K10" s="8"/>
      <c r="L10" s="8"/>
      <c r="M10" s="8"/>
      <c r="N10" s="8"/>
      <c r="O10" s="8"/>
      <c r="P10" s="8"/>
      <c r="Q10" s="8"/>
      <c r="S10" s="5"/>
    </row>
    <row r="11" spans="2:19" ht="15.5">
      <c r="B11" s="5"/>
      <c r="C11" s="3"/>
      <c r="D11" s="3"/>
      <c r="E11" s="3"/>
      <c r="F11" s="3"/>
      <c r="G11" s="3"/>
      <c r="H11" s="3"/>
      <c r="I11" s="3"/>
      <c r="J11" s="3"/>
      <c r="K11" s="3"/>
      <c r="L11" s="3"/>
      <c r="M11" s="3"/>
      <c r="N11" s="3"/>
      <c r="O11" s="5"/>
      <c r="P11" s="5"/>
      <c r="Q11" s="5"/>
      <c r="S11" s="5"/>
    </row>
    <row r="12" spans="2:19" ht="12.75" customHeight="1">
      <c r="B12" s="5"/>
      <c r="C12" s="4"/>
      <c r="D12" s="4"/>
      <c r="E12" s="10"/>
      <c r="F12" s="10"/>
      <c r="G12" s="10"/>
      <c r="H12" s="10"/>
      <c r="I12" s="10"/>
      <c r="J12" s="10"/>
      <c r="K12" s="10"/>
      <c r="L12" s="10"/>
      <c r="M12" s="10"/>
      <c r="N12" s="10"/>
      <c r="O12" s="10"/>
      <c r="P12" s="10"/>
      <c r="Q12" s="10"/>
      <c r="S12" s="5"/>
    </row>
    <row r="13" spans="2:19">
      <c r="B13" s="5"/>
      <c r="C13" s="5"/>
      <c r="D13" s="5"/>
      <c r="E13" s="5"/>
      <c r="F13" s="5"/>
      <c r="G13" s="5"/>
      <c r="H13" s="5"/>
      <c r="I13" s="5"/>
      <c r="J13" s="5"/>
      <c r="K13" s="5"/>
      <c r="L13" s="5"/>
      <c r="M13" s="5"/>
      <c r="N13" s="5"/>
      <c r="O13" s="5"/>
      <c r="P13" s="9"/>
      <c r="Q13" s="9"/>
      <c r="S13" s="5"/>
    </row>
    <row r="14" spans="2:19" ht="12.75" customHeight="1">
      <c r="B14" s="5"/>
      <c r="C14" s="6"/>
      <c r="D14" s="6"/>
      <c r="E14" s="6"/>
      <c r="F14" s="6"/>
      <c r="G14" s="6"/>
      <c r="H14" s="6"/>
      <c r="I14" s="6"/>
      <c r="J14" s="6"/>
      <c r="K14" s="6"/>
      <c r="L14" s="6"/>
      <c r="M14" s="6"/>
      <c r="N14" s="6"/>
      <c r="O14" s="6"/>
      <c r="P14" s="6"/>
      <c r="Q14" s="6"/>
      <c r="S14" s="5"/>
    </row>
    <row r="15" spans="2:19" ht="18.75" customHeight="1">
      <c r="B15" s="5"/>
      <c r="C15" s="6"/>
      <c r="D15" s="6"/>
      <c r="E15" s="6"/>
      <c r="F15" s="6"/>
      <c r="G15" s="6"/>
      <c r="H15" s="6"/>
      <c r="I15" s="6"/>
      <c r="J15" s="6"/>
      <c r="K15" s="6"/>
      <c r="L15" s="6"/>
      <c r="M15" s="6"/>
      <c r="N15" s="6"/>
      <c r="O15" s="6"/>
      <c r="P15" s="6"/>
      <c r="Q15" s="6"/>
      <c r="S15" s="5"/>
    </row>
    <row r="16" spans="2:19" ht="15.5">
      <c r="B16" s="5"/>
      <c r="C16" s="6"/>
      <c r="D16" s="6"/>
      <c r="E16" s="6"/>
      <c r="F16" s="6"/>
      <c r="G16" s="6"/>
      <c r="H16" s="6"/>
      <c r="I16" s="6"/>
      <c r="J16" s="6"/>
      <c r="K16" s="6"/>
      <c r="L16" s="6"/>
      <c r="M16" s="6"/>
      <c r="N16" s="6"/>
      <c r="O16" s="6"/>
      <c r="P16" s="6"/>
      <c r="Q16" s="6"/>
      <c r="S16" s="5"/>
    </row>
    <row r="17" spans="2:19" ht="15.5">
      <c r="B17" s="5"/>
      <c r="C17" s="6"/>
      <c r="D17" s="6"/>
      <c r="E17" s="6"/>
      <c r="F17" s="6"/>
      <c r="G17" s="6"/>
      <c r="H17" s="6"/>
      <c r="I17" s="6"/>
      <c r="J17" s="6"/>
      <c r="K17" s="6"/>
      <c r="L17" s="6"/>
      <c r="M17" s="6"/>
      <c r="N17" s="6"/>
      <c r="O17" s="6"/>
      <c r="P17" s="6"/>
      <c r="Q17" s="6"/>
      <c r="S17" s="5"/>
    </row>
    <row r="18" spans="2:19" ht="15.5">
      <c r="B18" s="5"/>
      <c r="C18" s="6"/>
      <c r="D18" s="6"/>
      <c r="E18" s="6"/>
      <c r="F18" s="6"/>
      <c r="G18" s="6"/>
      <c r="H18" s="6"/>
      <c r="I18" s="6"/>
      <c r="J18" s="6"/>
      <c r="K18" s="6"/>
      <c r="L18" s="6"/>
      <c r="M18" s="6"/>
      <c r="N18" s="6"/>
      <c r="O18" s="6"/>
      <c r="P18" s="6"/>
      <c r="Q18" s="6"/>
      <c r="S18" s="5"/>
    </row>
    <row r="19" spans="2:19" ht="15.5">
      <c r="B19" s="5"/>
      <c r="C19" s="6"/>
      <c r="D19" s="6"/>
      <c r="E19" s="6"/>
      <c r="F19" s="6"/>
      <c r="G19" s="6"/>
      <c r="H19" s="6"/>
      <c r="I19" s="6"/>
      <c r="J19" s="6"/>
      <c r="K19" s="6"/>
      <c r="L19" s="6"/>
      <c r="M19" s="6"/>
      <c r="N19" s="6"/>
      <c r="O19" s="6"/>
      <c r="P19" s="6"/>
      <c r="Q19" s="6"/>
      <c r="S19" s="5"/>
    </row>
    <row r="20" spans="2:19" ht="15.5">
      <c r="B20" s="5"/>
      <c r="C20" s="6"/>
      <c r="D20" s="6"/>
      <c r="E20" s="6"/>
      <c r="F20" s="6"/>
      <c r="G20" s="6"/>
      <c r="H20" s="6"/>
      <c r="I20" s="6"/>
      <c r="J20" s="6"/>
      <c r="K20" s="6"/>
      <c r="L20" s="6"/>
      <c r="M20" s="6"/>
      <c r="N20" s="6"/>
      <c r="O20" s="6"/>
      <c r="P20" s="6"/>
      <c r="Q20" s="6"/>
      <c r="S20" s="5"/>
    </row>
    <row r="21" spans="2:19" ht="18.75" customHeight="1">
      <c r="B21" s="5"/>
      <c r="C21" s="6"/>
      <c r="D21" s="6"/>
      <c r="E21" s="6"/>
      <c r="F21" s="6"/>
      <c r="G21" s="6"/>
      <c r="H21" s="6"/>
      <c r="I21" s="6"/>
      <c r="J21" s="6"/>
      <c r="K21" s="6"/>
      <c r="L21" s="6"/>
      <c r="M21" s="6"/>
      <c r="N21" s="6"/>
      <c r="O21" s="6"/>
      <c r="P21" s="6"/>
      <c r="Q21" s="6"/>
      <c r="S21" s="5"/>
    </row>
    <row r="22" spans="2:19" ht="15.5">
      <c r="B22" s="5"/>
      <c r="C22" s="6"/>
      <c r="D22" s="6"/>
      <c r="E22" s="6"/>
      <c r="F22" s="6"/>
      <c r="G22" s="6"/>
      <c r="H22" s="6"/>
      <c r="I22" s="6"/>
      <c r="J22" s="6"/>
      <c r="K22" s="6"/>
      <c r="L22" s="6"/>
      <c r="M22" s="6"/>
      <c r="N22" s="6"/>
      <c r="O22" s="6"/>
      <c r="P22" s="6"/>
      <c r="Q22" s="6"/>
      <c r="S22" s="5"/>
    </row>
    <row r="23" spans="2:19" ht="15.5">
      <c r="B23" s="5"/>
      <c r="C23" s="6"/>
      <c r="D23" s="6"/>
      <c r="E23" s="6"/>
      <c r="F23" s="6"/>
      <c r="G23" s="6"/>
      <c r="H23" s="6"/>
      <c r="I23" s="6"/>
      <c r="J23" s="6"/>
      <c r="K23" s="6"/>
      <c r="L23" s="6"/>
      <c r="M23" s="6"/>
      <c r="N23" s="6"/>
      <c r="O23" s="6"/>
      <c r="P23" s="6"/>
      <c r="Q23" s="6"/>
      <c r="S23" s="5"/>
    </row>
    <row r="24" spans="2:19" ht="15.5">
      <c r="B24" s="5"/>
      <c r="C24" s="6"/>
      <c r="D24" s="6"/>
      <c r="E24" s="6"/>
      <c r="F24" s="6"/>
      <c r="G24" s="6"/>
      <c r="H24" s="6"/>
      <c r="I24" s="6"/>
      <c r="J24" s="6"/>
      <c r="K24" s="6"/>
      <c r="L24" s="6"/>
      <c r="M24" s="6"/>
      <c r="N24" s="6"/>
      <c r="O24" s="6"/>
      <c r="P24" s="6"/>
      <c r="Q24" s="6"/>
      <c r="S24" s="5"/>
    </row>
    <row r="25" spans="2:19" ht="15.5">
      <c r="B25" s="5"/>
      <c r="C25" s="6"/>
      <c r="D25" s="6"/>
      <c r="E25" s="6"/>
      <c r="F25" s="6"/>
      <c r="G25" s="6"/>
      <c r="H25" s="6"/>
      <c r="I25" s="6"/>
      <c r="J25" s="6"/>
      <c r="K25" s="6"/>
      <c r="L25" s="6"/>
      <c r="M25" s="6"/>
      <c r="N25" s="6"/>
      <c r="O25" s="6"/>
      <c r="P25" s="6"/>
      <c r="Q25" s="6"/>
      <c r="S25" s="5"/>
    </row>
    <row r="26" spans="2:19" ht="15.5">
      <c r="B26" s="5"/>
      <c r="C26" s="6"/>
      <c r="D26" s="6"/>
      <c r="E26" s="6"/>
      <c r="F26" s="6"/>
      <c r="G26" s="6"/>
      <c r="H26" s="6"/>
      <c r="I26" s="6"/>
      <c r="J26" s="6"/>
      <c r="K26" s="6"/>
      <c r="L26" s="6"/>
      <c r="M26" s="6"/>
      <c r="N26" s="6"/>
      <c r="O26" s="6"/>
      <c r="P26" s="6"/>
      <c r="Q26" s="6"/>
      <c r="S26" s="5"/>
    </row>
    <row r="27" spans="2:19" ht="15.5">
      <c r="B27" s="5"/>
      <c r="C27" s="6"/>
      <c r="D27" s="6"/>
      <c r="E27" s="6"/>
      <c r="F27" s="6"/>
      <c r="G27" s="6"/>
      <c r="H27" s="6"/>
      <c r="I27" s="6"/>
      <c r="J27" s="6"/>
      <c r="K27" s="6"/>
      <c r="L27" s="6"/>
      <c r="M27" s="6"/>
      <c r="N27" s="6"/>
      <c r="O27" s="6"/>
      <c r="P27" s="6"/>
      <c r="Q27" s="6"/>
      <c r="S27" s="5"/>
    </row>
    <row r="28" spans="2:19" ht="15.5">
      <c r="B28" s="5"/>
      <c r="C28" s="6"/>
      <c r="D28" s="6"/>
      <c r="E28" s="6"/>
      <c r="F28" s="6"/>
      <c r="G28" s="6"/>
      <c r="H28" s="6"/>
      <c r="I28" s="6"/>
      <c r="J28" s="6"/>
      <c r="K28" s="6"/>
      <c r="L28" s="6"/>
      <c r="M28" s="6"/>
      <c r="N28" s="6"/>
      <c r="O28" s="6"/>
      <c r="P28" s="6"/>
      <c r="Q28" s="6"/>
      <c r="S28" s="5"/>
    </row>
    <row r="29" spans="2:19" ht="15.5">
      <c r="B29" s="5"/>
      <c r="C29" s="6"/>
      <c r="D29" s="6"/>
      <c r="E29" s="6"/>
      <c r="F29" s="6"/>
      <c r="G29" s="6"/>
      <c r="H29" s="6"/>
      <c r="I29" s="6"/>
      <c r="J29" s="6"/>
      <c r="K29" s="6"/>
      <c r="L29" s="6"/>
      <c r="M29" s="6"/>
      <c r="N29" s="6"/>
      <c r="O29" s="6"/>
      <c r="P29" s="6"/>
      <c r="Q29" s="6"/>
      <c r="S29" s="5"/>
    </row>
    <row r="30" spans="2:19" ht="15.5">
      <c r="B30" s="5"/>
      <c r="C30" s="6"/>
      <c r="D30" s="6"/>
      <c r="E30" s="6"/>
      <c r="F30" s="6"/>
      <c r="G30" s="6"/>
      <c r="H30" s="6"/>
      <c r="I30" s="6"/>
      <c r="J30" s="6"/>
      <c r="K30" s="6"/>
      <c r="L30" s="6"/>
      <c r="M30" s="6"/>
      <c r="N30" s="6"/>
      <c r="O30" s="6"/>
      <c r="P30" s="6"/>
      <c r="Q30" s="6"/>
      <c r="S30" s="5"/>
    </row>
    <row r="31" spans="2:19" ht="15.5">
      <c r="B31" s="5"/>
      <c r="C31" s="6"/>
      <c r="D31" s="6"/>
      <c r="E31" s="6"/>
      <c r="F31" s="6"/>
      <c r="G31" s="6"/>
      <c r="H31" s="6"/>
      <c r="I31" s="6"/>
      <c r="J31" s="6"/>
      <c r="K31" s="6"/>
      <c r="L31" s="6"/>
      <c r="M31" s="6"/>
      <c r="N31" s="6"/>
      <c r="O31" s="6"/>
      <c r="P31" s="6"/>
      <c r="Q31" s="6"/>
      <c r="S31" s="5"/>
    </row>
    <row r="32" spans="2:19" ht="15.5">
      <c r="B32" s="5"/>
      <c r="C32" s="6"/>
      <c r="D32" s="6"/>
      <c r="E32" s="6"/>
      <c r="F32" s="6"/>
      <c r="G32" s="6"/>
      <c r="H32" s="6"/>
      <c r="I32" s="6"/>
      <c r="J32" s="6"/>
      <c r="K32" s="6"/>
      <c r="L32" s="6"/>
      <c r="M32" s="6"/>
      <c r="N32" s="6"/>
      <c r="O32" s="6"/>
      <c r="P32" s="6"/>
      <c r="Q32" s="6"/>
      <c r="S32" s="5"/>
    </row>
    <row r="33" spans="2:19" ht="15.5">
      <c r="B33" s="5"/>
      <c r="C33" s="6"/>
      <c r="D33" s="6"/>
      <c r="E33" s="6"/>
      <c r="F33" s="6"/>
      <c r="G33" s="6"/>
      <c r="H33" s="6"/>
      <c r="I33" s="6"/>
      <c r="J33" s="6"/>
      <c r="K33" s="6"/>
      <c r="L33" s="6"/>
      <c r="M33" s="6"/>
      <c r="N33" s="6"/>
      <c r="O33" s="6"/>
      <c r="P33" s="6"/>
      <c r="Q33" s="6"/>
      <c r="S33" s="5"/>
    </row>
    <row r="34" spans="2:19" ht="15.5">
      <c r="B34" s="5"/>
      <c r="C34" s="6"/>
      <c r="D34" s="6"/>
      <c r="E34" s="6"/>
      <c r="F34" s="6"/>
      <c r="G34" s="6"/>
      <c r="H34" s="6"/>
      <c r="I34" s="6"/>
      <c r="J34" s="6"/>
      <c r="K34" s="6"/>
      <c r="L34" s="6"/>
      <c r="M34" s="6"/>
      <c r="N34" s="6"/>
      <c r="O34" s="6"/>
      <c r="P34" s="6"/>
      <c r="Q34" s="6"/>
      <c r="S34" s="5"/>
    </row>
    <row r="35" spans="2:19" ht="15.5" hidden="1">
      <c r="B35" s="5"/>
      <c r="C35" s="6"/>
      <c r="D35" s="6"/>
      <c r="E35" s="6"/>
      <c r="F35" s="6"/>
      <c r="G35" s="6"/>
      <c r="H35" s="6"/>
      <c r="I35" s="6"/>
      <c r="J35" s="6"/>
      <c r="K35" s="6"/>
      <c r="L35" s="6"/>
      <c r="M35" s="6"/>
      <c r="N35" s="6"/>
      <c r="O35" s="6"/>
      <c r="P35" s="6"/>
      <c r="Q35" s="6"/>
      <c r="S35" s="5"/>
    </row>
    <row r="36" spans="2:19" ht="15.5" hidden="1">
      <c r="B36" s="5"/>
      <c r="C36" s="6"/>
      <c r="D36" s="6"/>
      <c r="E36" s="6"/>
      <c r="F36" s="6"/>
      <c r="G36" s="6"/>
      <c r="H36" s="6"/>
      <c r="I36" s="6"/>
      <c r="J36" s="6"/>
      <c r="K36" s="6"/>
      <c r="L36" s="6"/>
      <c r="M36" s="6"/>
      <c r="N36" s="6"/>
      <c r="O36" s="6"/>
      <c r="P36" s="6"/>
      <c r="Q36" s="6"/>
      <c r="S36" s="5"/>
    </row>
    <row r="37" spans="2:19" ht="15.5" hidden="1">
      <c r="B37" s="5"/>
      <c r="C37" s="6"/>
      <c r="D37" s="6"/>
      <c r="E37" s="6"/>
      <c r="F37" s="6"/>
      <c r="G37" s="6"/>
      <c r="H37" s="6"/>
      <c r="I37" s="6"/>
      <c r="J37" s="6"/>
      <c r="K37" s="6"/>
      <c r="L37" s="6"/>
      <c r="M37" s="6"/>
      <c r="N37" s="6"/>
      <c r="O37" s="6"/>
      <c r="P37" s="6"/>
      <c r="Q37" s="6"/>
      <c r="S37" s="5"/>
    </row>
    <row r="38" spans="2:19" ht="15.5" hidden="1">
      <c r="B38" s="5"/>
      <c r="C38" s="6"/>
      <c r="D38" s="6"/>
      <c r="E38" s="6"/>
      <c r="F38" s="6"/>
      <c r="G38" s="6"/>
      <c r="H38" s="6"/>
      <c r="I38" s="6"/>
      <c r="J38" s="6"/>
      <c r="K38" s="6"/>
      <c r="L38" s="6"/>
      <c r="M38" s="6"/>
      <c r="N38" s="6"/>
      <c r="O38" s="6"/>
      <c r="P38" s="6"/>
      <c r="Q38" s="6"/>
      <c r="S38" s="5"/>
    </row>
    <row r="39" spans="2:19" ht="15.5" hidden="1">
      <c r="B39" s="5"/>
      <c r="C39" s="6"/>
      <c r="D39" s="6"/>
      <c r="E39" s="6"/>
      <c r="F39" s="6"/>
      <c r="G39" s="6"/>
      <c r="H39" s="6"/>
      <c r="I39" s="6"/>
      <c r="J39" s="6"/>
      <c r="K39" s="6"/>
      <c r="L39" s="6"/>
      <c r="M39" s="6"/>
      <c r="N39" s="6"/>
      <c r="O39" s="6"/>
      <c r="P39" s="6"/>
      <c r="Q39" s="6"/>
      <c r="S39" s="5"/>
    </row>
    <row r="40" spans="2:19" ht="15.5" hidden="1">
      <c r="B40" s="5"/>
      <c r="C40" s="6"/>
      <c r="D40" s="6"/>
      <c r="E40" s="6"/>
      <c r="F40" s="6"/>
      <c r="G40" s="6"/>
      <c r="H40" s="6"/>
      <c r="I40" s="6"/>
      <c r="J40" s="6"/>
      <c r="K40" s="6"/>
      <c r="L40" s="6"/>
      <c r="M40" s="6"/>
      <c r="N40" s="6"/>
      <c r="O40" s="6"/>
      <c r="P40" s="6"/>
      <c r="Q40" s="6"/>
      <c r="S40" s="5"/>
    </row>
    <row r="41" spans="2:19" ht="15.5" hidden="1">
      <c r="B41" s="5"/>
      <c r="C41" s="6"/>
      <c r="D41" s="6"/>
      <c r="E41" s="6"/>
      <c r="F41" s="6"/>
      <c r="G41" s="6"/>
      <c r="H41" s="6"/>
      <c r="I41" s="6"/>
      <c r="J41" s="6"/>
      <c r="K41" s="6"/>
      <c r="L41" s="6"/>
      <c r="M41" s="6"/>
      <c r="N41" s="6"/>
      <c r="O41" s="6"/>
      <c r="P41" s="6"/>
      <c r="Q41" s="6"/>
      <c r="S41" s="5"/>
    </row>
    <row r="42" spans="2:19" ht="15.5" hidden="1">
      <c r="B42" s="5"/>
      <c r="C42" s="6"/>
      <c r="D42" s="6"/>
      <c r="E42" s="6"/>
      <c r="F42" s="6"/>
      <c r="G42" s="6"/>
      <c r="H42" s="6"/>
      <c r="I42" s="6"/>
      <c r="J42" s="6"/>
      <c r="K42" s="6"/>
      <c r="L42" s="6"/>
      <c r="M42" s="6"/>
      <c r="N42" s="6"/>
      <c r="O42" s="6"/>
      <c r="P42" s="6"/>
      <c r="Q42" s="6"/>
      <c r="S42" s="5"/>
    </row>
    <row r="43" spans="2:19" ht="15.5" hidden="1">
      <c r="B43" s="5"/>
      <c r="C43" s="6"/>
      <c r="D43" s="6"/>
      <c r="E43" s="6"/>
      <c r="F43" s="6"/>
      <c r="G43" s="6"/>
      <c r="H43" s="6"/>
      <c r="I43" s="6"/>
      <c r="J43" s="6"/>
      <c r="K43" s="6"/>
      <c r="L43" s="6"/>
      <c r="M43" s="6"/>
      <c r="N43" s="6"/>
      <c r="O43" s="6"/>
      <c r="P43" s="6"/>
      <c r="Q43" s="6"/>
      <c r="S43" s="5"/>
    </row>
    <row r="44" spans="2:19" ht="15.5" hidden="1">
      <c r="B44" s="5"/>
      <c r="C44" s="6"/>
      <c r="D44" s="6"/>
      <c r="E44" s="6"/>
      <c r="F44" s="6"/>
      <c r="G44" s="6"/>
      <c r="H44" s="6"/>
      <c r="I44" s="6"/>
      <c r="J44" s="6"/>
      <c r="K44" s="6"/>
      <c r="L44" s="6"/>
      <c r="M44" s="6"/>
      <c r="N44" s="6"/>
      <c r="O44" s="6"/>
      <c r="P44" s="6"/>
      <c r="Q44" s="6"/>
      <c r="S44" s="5"/>
    </row>
    <row r="45" spans="2:19" ht="15.5" hidden="1">
      <c r="B45" s="5"/>
      <c r="C45" s="6"/>
      <c r="D45" s="6"/>
      <c r="E45" s="6"/>
      <c r="F45" s="6"/>
      <c r="G45" s="6"/>
      <c r="H45" s="6"/>
      <c r="I45" s="6"/>
      <c r="J45" s="6"/>
      <c r="K45" s="6"/>
      <c r="L45" s="6"/>
      <c r="M45" s="6"/>
      <c r="N45" s="6"/>
      <c r="O45" s="6"/>
      <c r="P45" s="6"/>
      <c r="Q45" s="6"/>
      <c r="S45" s="5"/>
    </row>
    <row r="46" spans="2:19" ht="15.5" hidden="1">
      <c r="B46" s="5"/>
      <c r="C46" s="6"/>
      <c r="D46" s="6"/>
      <c r="E46" s="6"/>
      <c r="F46" s="6"/>
      <c r="G46" s="6"/>
      <c r="H46" s="6"/>
      <c r="I46" s="6"/>
      <c r="J46" s="6"/>
      <c r="K46" s="6"/>
      <c r="L46" s="6"/>
      <c r="M46" s="6"/>
      <c r="N46" s="6"/>
      <c r="O46" s="6"/>
      <c r="P46" s="6"/>
      <c r="Q46" s="6"/>
      <c r="S46" s="5"/>
    </row>
    <row r="47" spans="2:19" ht="15.5" hidden="1">
      <c r="B47" s="5"/>
      <c r="C47" s="6"/>
      <c r="D47" s="6"/>
      <c r="E47" s="6"/>
      <c r="F47" s="6"/>
      <c r="G47" s="6"/>
      <c r="H47" s="6"/>
      <c r="I47" s="6"/>
      <c r="J47" s="6"/>
      <c r="K47" s="6"/>
      <c r="L47" s="6"/>
      <c r="M47" s="6"/>
      <c r="N47" s="6"/>
      <c r="O47" s="6"/>
      <c r="P47" s="6"/>
      <c r="Q47" s="6"/>
      <c r="S47" s="5"/>
    </row>
    <row r="48" spans="2:19" hidden="1">
      <c r="B48" s="5"/>
      <c r="C48" s="5"/>
      <c r="D48" s="5"/>
      <c r="E48" s="5"/>
      <c r="F48" s="5"/>
      <c r="G48" s="5"/>
      <c r="H48" s="5"/>
      <c r="I48" s="5"/>
      <c r="J48" s="5"/>
      <c r="K48" s="5"/>
      <c r="L48" s="5"/>
      <c r="M48" s="5"/>
      <c r="N48" s="5"/>
      <c r="O48" s="5"/>
      <c r="P48" s="5"/>
      <c r="Q48" s="5"/>
      <c r="S48" s="5"/>
    </row>
    <row r="49" spans="2:19" ht="23.5" hidden="1">
      <c r="B49" s="5"/>
      <c r="C49" s="4"/>
      <c r="D49" s="4"/>
      <c r="E49" s="10"/>
      <c r="F49" s="10"/>
      <c r="G49" s="12"/>
      <c r="H49" s="12"/>
      <c r="I49" s="12"/>
      <c r="J49" s="12"/>
      <c r="K49" s="12"/>
      <c r="L49" s="12"/>
      <c r="M49" s="12"/>
      <c r="N49" s="12"/>
      <c r="O49" s="12"/>
      <c r="P49" s="12"/>
      <c r="Q49" s="12"/>
      <c r="S49" s="5"/>
    </row>
    <row r="50" spans="2:19" ht="15.5" hidden="1">
      <c r="B50" s="5"/>
      <c r="C50" s="6"/>
      <c r="D50" s="6"/>
      <c r="E50" s="6"/>
      <c r="F50" s="6"/>
      <c r="G50" s="6"/>
      <c r="H50" s="6"/>
      <c r="I50" s="6"/>
      <c r="J50" s="6"/>
      <c r="K50" s="6"/>
      <c r="L50" s="6"/>
      <c r="M50" s="6"/>
      <c r="N50" s="6"/>
      <c r="O50" s="6"/>
      <c r="P50" s="6"/>
      <c r="Q50" s="6"/>
      <c r="S50" s="5"/>
    </row>
    <row r="51" spans="2:19" ht="15.5" hidden="1">
      <c r="B51" s="5"/>
      <c r="C51" s="6"/>
      <c r="D51" s="6"/>
      <c r="E51" s="6"/>
      <c r="F51" s="6"/>
      <c r="G51" s="6"/>
      <c r="H51" s="6"/>
      <c r="I51" s="6"/>
      <c r="J51" s="6"/>
      <c r="K51" s="6"/>
      <c r="L51" s="6"/>
      <c r="M51" s="6"/>
      <c r="N51" s="6"/>
      <c r="O51" s="6"/>
      <c r="P51" s="6"/>
      <c r="Q51" s="6"/>
      <c r="S51" s="5"/>
    </row>
    <row r="52" spans="2:19" ht="15.5" hidden="1">
      <c r="B52" s="5"/>
      <c r="C52" s="6"/>
      <c r="D52" s="6"/>
      <c r="E52" s="6"/>
      <c r="F52" s="6"/>
      <c r="G52" s="6"/>
      <c r="H52" s="6"/>
      <c r="I52" s="6"/>
      <c r="J52" s="6"/>
      <c r="K52" s="6"/>
      <c r="L52" s="6"/>
      <c r="M52" s="6"/>
      <c r="N52" s="6"/>
      <c r="O52" s="6"/>
      <c r="P52" s="6"/>
      <c r="Q52" s="6"/>
      <c r="S52" s="5"/>
    </row>
    <row r="53" spans="2:19" ht="15.5" hidden="1">
      <c r="B53" s="5"/>
      <c r="C53" s="6"/>
      <c r="D53" s="6"/>
      <c r="E53" s="6"/>
      <c r="F53" s="6"/>
      <c r="G53" s="6"/>
      <c r="H53" s="6"/>
      <c r="I53" s="6"/>
      <c r="J53" s="6"/>
      <c r="K53" s="6"/>
      <c r="L53" s="6"/>
      <c r="M53" s="6"/>
      <c r="N53" s="6"/>
      <c r="O53" s="6"/>
      <c r="P53" s="6"/>
      <c r="Q53" s="6"/>
      <c r="S53" s="5"/>
    </row>
    <row r="54" spans="2:19" ht="15.5" hidden="1">
      <c r="B54" s="5"/>
      <c r="C54" s="6"/>
      <c r="D54" s="6"/>
      <c r="E54" s="6"/>
      <c r="F54" s="6"/>
      <c r="G54" s="6"/>
      <c r="H54" s="6"/>
      <c r="I54" s="6"/>
      <c r="J54" s="6"/>
      <c r="K54" s="6"/>
      <c r="L54" s="6"/>
      <c r="M54" s="6"/>
      <c r="N54" s="6"/>
      <c r="O54" s="6"/>
      <c r="P54" s="6"/>
      <c r="Q54" s="6"/>
      <c r="S54" s="5"/>
    </row>
    <row r="55" spans="2:19" ht="15.5" hidden="1">
      <c r="B55" s="5"/>
      <c r="C55" s="6"/>
      <c r="D55" s="6"/>
      <c r="E55" s="6"/>
      <c r="F55" s="6"/>
      <c r="G55" s="6"/>
      <c r="H55" s="6"/>
      <c r="I55" s="6"/>
      <c r="J55" s="6"/>
      <c r="K55" s="6"/>
      <c r="L55" s="6"/>
      <c r="M55" s="6"/>
      <c r="N55" s="6"/>
      <c r="O55" s="6"/>
      <c r="P55" s="6"/>
      <c r="Q55" s="6"/>
      <c r="S55" s="5"/>
    </row>
    <row r="56" spans="2:19" ht="15.5" hidden="1">
      <c r="B56" s="5"/>
      <c r="C56" s="6"/>
      <c r="D56" s="6"/>
      <c r="E56" s="6"/>
      <c r="F56" s="6"/>
      <c r="G56" s="6"/>
      <c r="H56" s="6"/>
      <c r="I56" s="6"/>
      <c r="J56" s="6"/>
      <c r="K56" s="6"/>
      <c r="L56" s="6"/>
      <c r="M56" s="6"/>
      <c r="N56" s="6"/>
      <c r="O56" s="6"/>
      <c r="P56" s="6"/>
      <c r="Q56" s="6"/>
      <c r="S56" s="5"/>
    </row>
    <row r="57" spans="2:19" ht="15.5" hidden="1">
      <c r="B57" s="5"/>
      <c r="C57" s="6"/>
      <c r="D57" s="6"/>
      <c r="E57" s="6"/>
      <c r="F57" s="6"/>
      <c r="G57" s="6"/>
      <c r="H57" s="6"/>
      <c r="I57" s="6"/>
      <c r="J57" s="6"/>
      <c r="K57" s="6"/>
      <c r="L57" s="6"/>
      <c r="M57" s="6"/>
      <c r="N57" s="6"/>
      <c r="O57" s="6"/>
      <c r="P57" s="6"/>
      <c r="Q57" s="6"/>
      <c r="S57" s="5"/>
    </row>
    <row r="58" spans="2:19" ht="15.5" hidden="1">
      <c r="B58" s="5"/>
      <c r="C58" s="6"/>
      <c r="D58" s="6"/>
      <c r="E58" s="6"/>
      <c r="F58" s="6"/>
      <c r="G58" s="6"/>
      <c r="H58" s="6"/>
      <c r="I58" s="6"/>
      <c r="J58" s="6"/>
      <c r="K58" s="6"/>
      <c r="L58" s="6"/>
      <c r="M58" s="6"/>
      <c r="N58" s="6"/>
      <c r="O58" s="6"/>
      <c r="P58" s="6"/>
      <c r="Q58" s="6"/>
      <c r="S58" s="5"/>
    </row>
    <row r="59" spans="2:19" ht="15.5" hidden="1">
      <c r="B59" s="5"/>
      <c r="C59" s="6"/>
      <c r="D59" s="6"/>
      <c r="E59" s="6"/>
      <c r="F59" s="6"/>
      <c r="G59" s="6"/>
      <c r="H59" s="6"/>
      <c r="I59" s="6"/>
      <c r="J59" s="6"/>
      <c r="K59" s="6"/>
      <c r="L59" s="6"/>
      <c r="M59" s="6"/>
      <c r="N59" s="6"/>
      <c r="O59" s="6"/>
      <c r="P59" s="6"/>
      <c r="Q59" s="6"/>
      <c r="S59" s="5"/>
    </row>
    <row r="60" spans="2:19" ht="15.5" hidden="1">
      <c r="B60" s="5"/>
      <c r="C60" s="6"/>
      <c r="D60" s="6"/>
      <c r="E60" s="6"/>
      <c r="F60" s="6"/>
      <c r="G60" s="6"/>
      <c r="H60" s="6"/>
      <c r="I60" s="6"/>
      <c r="J60" s="6"/>
      <c r="K60" s="6"/>
      <c r="L60" s="6"/>
      <c r="M60" s="6"/>
      <c r="N60" s="6"/>
      <c r="O60" s="6"/>
      <c r="P60" s="6"/>
      <c r="Q60" s="6"/>
      <c r="S60" s="5"/>
    </row>
    <row r="61" spans="2:19" ht="15.5" hidden="1">
      <c r="B61" s="5"/>
      <c r="C61" s="6"/>
      <c r="D61" s="6"/>
      <c r="E61" s="6"/>
      <c r="F61" s="6"/>
      <c r="G61" s="6"/>
      <c r="H61" s="6"/>
      <c r="I61" s="6"/>
      <c r="J61" s="6"/>
      <c r="K61" s="6"/>
      <c r="L61" s="6"/>
      <c r="M61" s="6"/>
      <c r="N61" s="6"/>
      <c r="O61" s="6"/>
      <c r="P61" s="6"/>
      <c r="Q61" s="6"/>
      <c r="S61" s="5"/>
    </row>
    <row r="62" spans="2:19" ht="15.5" hidden="1">
      <c r="B62" s="5"/>
      <c r="C62" s="6"/>
      <c r="D62" s="6"/>
      <c r="E62" s="6"/>
      <c r="F62" s="6"/>
      <c r="G62" s="6"/>
      <c r="H62" s="6"/>
      <c r="I62" s="6"/>
      <c r="J62" s="6"/>
      <c r="K62" s="6"/>
      <c r="L62" s="6"/>
      <c r="M62" s="6"/>
      <c r="N62" s="6"/>
      <c r="O62" s="6"/>
      <c r="P62" s="6"/>
      <c r="Q62" s="6"/>
      <c r="S62" s="5"/>
    </row>
    <row r="63" spans="2:19" ht="15.5" hidden="1">
      <c r="B63" s="5"/>
      <c r="C63" s="6"/>
      <c r="D63" s="6"/>
      <c r="E63" s="6"/>
      <c r="F63" s="6"/>
      <c r="G63" s="6"/>
      <c r="H63" s="6"/>
      <c r="I63" s="6"/>
      <c r="J63" s="6"/>
      <c r="K63" s="6"/>
      <c r="L63" s="6"/>
      <c r="M63" s="6"/>
      <c r="N63" s="6"/>
      <c r="O63" s="6"/>
      <c r="P63" s="6"/>
      <c r="Q63" s="6"/>
      <c r="S63" s="5"/>
    </row>
    <row r="64" spans="2:19" ht="15.5" hidden="1">
      <c r="B64" s="5"/>
      <c r="C64" s="6"/>
      <c r="D64" s="6"/>
      <c r="E64" s="6"/>
      <c r="F64" s="6"/>
      <c r="G64" s="6"/>
      <c r="H64" s="6"/>
      <c r="I64" s="6"/>
      <c r="J64" s="6"/>
      <c r="K64" s="6"/>
      <c r="L64" s="6"/>
      <c r="M64" s="6"/>
      <c r="N64" s="6"/>
      <c r="O64" s="6"/>
      <c r="P64" s="6"/>
      <c r="Q64" s="6"/>
      <c r="S64" s="5"/>
    </row>
    <row r="65" spans="2:19" ht="15.5" hidden="1">
      <c r="B65" s="5"/>
      <c r="C65" s="6"/>
      <c r="D65" s="6"/>
      <c r="E65" s="6"/>
      <c r="F65" s="6"/>
      <c r="G65" s="6"/>
      <c r="H65" s="6"/>
      <c r="I65" s="6"/>
      <c r="J65" s="6"/>
      <c r="K65" s="6"/>
      <c r="L65" s="6"/>
      <c r="M65" s="6"/>
      <c r="N65" s="6"/>
      <c r="O65" s="6"/>
      <c r="P65" s="6"/>
      <c r="Q65" s="6"/>
      <c r="S65" s="5"/>
    </row>
    <row r="66" spans="2:19" ht="15.5" hidden="1">
      <c r="B66" s="5"/>
      <c r="C66" s="6"/>
      <c r="D66" s="6"/>
      <c r="E66" s="6"/>
      <c r="F66" s="6"/>
      <c r="G66" s="6"/>
      <c r="H66" s="6"/>
      <c r="I66" s="6"/>
      <c r="J66" s="6"/>
      <c r="K66" s="6"/>
      <c r="L66" s="6"/>
      <c r="M66" s="6"/>
      <c r="N66" s="6"/>
      <c r="O66" s="6"/>
      <c r="P66" s="6"/>
      <c r="Q66" s="6"/>
      <c r="S66" s="5"/>
    </row>
    <row r="67" spans="2:19" ht="15.5" hidden="1">
      <c r="B67" s="5"/>
      <c r="C67" s="6"/>
      <c r="D67" s="6"/>
      <c r="E67" s="6"/>
      <c r="F67" s="6"/>
      <c r="G67" s="6"/>
      <c r="H67" s="6"/>
      <c r="I67" s="6"/>
      <c r="J67" s="6"/>
      <c r="K67" s="6"/>
      <c r="L67" s="6"/>
      <c r="M67" s="6"/>
      <c r="N67" s="6"/>
      <c r="O67" s="6"/>
      <c r="P67" s="6"/>
      <c r="Q67" s="6"/>
      <c r="S67" s="5"/>
    </row>
    <row r="68" spans="2:19" ht="15.5" hidden="1">
      <c r="B68" s="5"/>
      <c r="C68" s="6"/>
      <c r="D68" s="6"/>
      <c r="E68" s="6"/>
      <c r="F68" s="6"/>
      <c r="G68" s="6"/>
      <c r="H68" s="6"/>
      <c r="I68" s="6"/>
      <c r="J68" s="6"/>
      <c r="K68" s="6"/>
      <c r="L68" s="6"/>
      <c r="M68" s="6"/>
      <c r="N68" s="6"/>
      <c r="O68" s="6"/>
      <c r="P68" s="6"/>
      <c r="Q68" s="6"/>
      <c r="S68" s="5"/>
    </row>
    <row r="69" spans="2:19" ht="15.5" hidden="1">
      <c r="B69" s="5"/>
      <c r="C69" s="3"/>
      <c r="D69" s="3"/>
      <c r="E69" s="3"/>
      <c r="F69" s="3"/>
      <c r="G69" s="3"/>
      <c r="H69" s="3"/>
      <c r="I69" s="3"/>
      <c r="J69" s="3"/>
      <c r="K69" s="3"/>
      <c r="L69" s="3"/>
      <c r="M69" s="3"/>
      <c r="N69" s="3"/>
      <c r="O69" s="5"/>
      <c r="P69" s="5"/>
      <c r="Q69" s="5"/>
      <c r="S69" s="5"/>
    </row>
    <row r="70" spans="2:19" ht="23.5" hidden="1">
      <c r="B70" s="5"/>
      <c r="C70" s="7"/>
      <c r="D70" s="7"/>
      <c r="E70" s="7"/>
      <c r="F70" s="11"/>
      <c r="G70" s="11"/>
      <c r="H70" s="12"/>
      <c r="I70" s="12"/>
      <c r="J70" s="12"/>
      <c r="K70" s="12"/>
      <c r="L70" s="12"/>
      <c r="M70" s="12"/>
      <c r="N70" s="12"/>
      <c r="O70" s="12"/>
      <c r="P70" s="12"/>
      <c r="Q70" s="12"/>
      <c r="S70" s="5"/>
    </row>
    <row r="71" spans="2:19" ht="15.5" hidden="1">
      <c r="B71" s="5"/>
      <c r="C71" s="6"/>
      <c r="D71" s="6"/>
      <c r="E71" s="6"/>
      <c r="F71" s="6"/>
      <c r="G71" s="6"/>
      <c r="H71" s="6"/>
      <c r="I71" s="6"/>
      <c r="J71" s="6"/>
      <c r="K71" s="6"/>
      <c r="L71" s="6"/>
      <c r="M71" s="6"/>
      <c r="N71" s="6"/>
      <c r="O71" s="6"/>
      <c r="P71" s="6"/>
      <c r="Q71" s="6"/>
      <c r="S71" s="5"/>
    </row>
    <row r="72" spans="2:19" ht="15.5" hidden="1">
      <c r="B72" s="5"/>
      <c r="C72" s="6"/>
      <c r="D72" s="6"/>
      <c r="E72" s="6"/>
      <c r="F72" s="6"/>
      <c r="G72" s="6"/>
      <c r="H72" s="6"/>
      <c r="I72" s="6"/>
      <c r="J72" s="6"/>
      <c r="K72" s="6"/>
      <c r="L72" s="6"/>
      <c r="M72" s="6"/>
      <c r="N72" s="6"/>
      <c r="O72" s="6"/>
      <c r="P72" s="6"/>
      <c r="Q72" s="6"/>
      <c r="S72" s="5"/>
    </row>
    <row r="73" spans="2:19" ht="15.5" hidden="1">
      <c r="B73" s="5"/>
      <c r="C73" s="6"/>
      <c r="D73" s="6"/>
      <c r="E73" s="6"/>
      <c r="F73" s="6"/>
      <c r="G73" s="6"/>
      <c r="H73" s="6"/>
      <c r="I73" s="6"/>
      <c r="J73" s="6"/>
      <c r="K73" s="6"/>
      <c r="L73" s="6"/>
      <c r="M73" s="6"/>
      <c r="N73" s="6"/>
      <c r="O73" s="6"/>
      <c r="P73" s="6"/>
      <c r="Q73" s="6"/>
      <c r="S73" s="5"/>
    </row>
    <row r="74" spans="2:19" ht="15.5" hidden="1">
      <c r="B74" s="5"/>
      <c r="C74" s="6"/>
      <c r="D74" s="6"/>
      <c r="E74" s="6"/>
      <c r="F74" s="6"/>
      <c r="G74" s="6"/>
      <c r="H74" s="6"/>
      <c r="I74" s="6"/>
      <c r="J74" s="6"/>
      <c r="K74" s="6"/>
      <c r="L74" s="6"/>
      <c r="M74" s="6"/>
      <c r="N74" s="6"/>
      <c r="O74" s="6"/>
      <c r="P74" s="6"/>
      <c r="Q74" s="6"/>
      <c r="S74" s="5"/>
    </row>
    <row r="75" spans="2:19" ht="15.5" hidden="1">
      <c r="B75" s="5"/>
      <c r="C75" s="6"/>
      <c r="D75" s="6"/>
      <c r="E75" s="6"/>
      <c r="F75" s="6"/>
      <c r="G75" s="6"/>
      <c r="H75" s="6"/>
      <c r="I75" s="6"/>
      <c r="J75" s="6"/>
      <c r="K75" s="6"/>
      <c r="L75" s="6"/>
      <c r="M75" s="6"/>
      <c r="N75" s="6"/>
      <c r="O75" s="6"/>
      <c r="P75" s="6"/>
      <c r="Q75" s="6"/>
      <c r="S75" s="5"/>
    </row>
    <row r="76" spans="2:19" ht="15.5" hidden="1">
      <c r="B76" s="5"/>
      <c r="C76" s="6"/>
      <c r="D76" s="6"/>
      <c r="E76" s="6"/>
      <c r="F76" s="6"/>
      <c r="G76" s="6"/>
      <c r="H76" s="6"/>
      <c r="I76" s="6"/>
      <c r="J76" s="6"/>
      <c r="K76" s="6"/>
      <c r="L76" s="6"/>
      <c r="M76" s="6"/>
      <c r="N76" s="6"/>
      <c r="O76" s="6"/>
      <c r="P76" s="6"/>
      <c r="Q76" s="6"/>
      <c r="S76" s="5"/>
    </row>
    <row r="77" spans="2:19" ht="15.5" hidden="1">
      <c r="B77" s="5"/>
      <c r="C77" s="6"/>
      <c r="D77" s="6"/>
      <c r="E77" s="6"/>
      <c r="F77" s="6"/>
      <c r="G77" s="6"/>
      <c r="H77" s="6"/>
      <c r="I77" s="6"/>
      <c r="J77" s="6"/>
      <c r="K77" s="6"/>
      <c r="L77" s="6"/>
      <c r="M77" s="6"/>
      <c r="N77" s="6"/>
      <c r="O77" s="6"/>
      <c r="P77" s="6"/>
      <c r="Q77" s="6"/>
      <c r="S77" s="5"/>
    </row>
    <row r="78" spans="2:19" ht="15.5" hidden="1">
      <c r="B78" s="5"/>
      <c r="C78" s="6"/>
      <c r="D78" s="6"/>
      <c r="E78" s="6"/>
      <c r="F78" s="6"/>
      <c r="G78" s="6"/>
      <c r="H78" s="6"/>
      <c r="I78" s="6"/>
      <c r="J78" s="6"/>
      <c r="K78" s="6"/>
      <c r="L78" s="6"/>
      <c r="M78" s="6"/>
      <c r="N78" s="6"/>
      <c r="O78" s="6"/>
      <c r="P78" s="6"/>
      <c r="Q78" s="6"/>
      <c r="S78" s="5"/>
    </row>
    <row r="79" spans="2:19" ht="15.5" hidden="1">
      <c r="B79" s="5"/>
      <c r="C79" s="6"/>
      <c r="D79" s="6"/>
      <c r="E79" s="6"/>
      <c r="F79" s="6"/>
      <c r="G79" s="6"/>
      <c r="H79" s="6"/>
      <c r="I79" s="6"/>
      <c r="J79" s="6"/>
      <c r="K79" s="6"/>
      <c r="L79" s="6"/>
      <c r="M79" s="6"/>
      <c r="N79" s="6"/>
      <c r="O79" s="6"/>
      <c r="P79" s="6"/>
      <c r="Q79" s="6"/>
      <c r="S79" s="5"/>
    </row>
    <row r="80" spans="2:19" ht="15.5" hidden="1">
      <c r="B80" s="5"/>
      <c r="C80" s="6"/>
      <c r="D80" s="6"/>
      <c r="E80" s="6"/>
      <c r="F80" s="6"/>
      <c r="G80" s="6"/>
      <c r="H80" s="6"/>
      <c r="I80" s="6"/>
      <c r="J80" s="6"/>
      <c r="K80" s="6"/>
      <c r="L80" s="6"/>
      <c r="M80" s="6"/>
      <c r="N80" s="6"/>
      <c r="O80" s="6"/>
      <c r="P80" s="6"/>
      <c r="Q80" s="6"/>
      <c r="S80" s="5"/>
    </row>
    <row r="81" spans="2:19" ht="15.5" hidden="1">
      <c r="B81" s="5"/>
      <c r="C81" s="6"/>
      <c r="D81" s="6"/>
      <c r="E81" s="6"/>
      <c r="F81" s="6"/>
      <c r="G81" s="6"/>
      <c r="H81" s="6"/>
      <c r="I81" s="6"/>
      <c r="J81" s="6"/>
      <c r="K81" s="6"/>
      <c r="L81" s="6"/>
      <c r="M81" s="6"/>
      <c r="N81" s="6"/>
      <c r="O81" s="6"/>
      <c r="P81" s="6"/>
      <c r="Q81" s="6"/>
      <c r="S81" s="5"/>
    </row>
    <row r="82" spans="2:19" ht="15.5" hidden="1">
      <c r="B82" s="5"/>
      <c r="C82" s="6"/>
      <c r="D82" s="6"/>
      <c r="E82" s="6"/>
      <c r="F82" s="6"/>
      <c r="G82" s="6"/>
      <c r="H82" s="6"/>
      <c r="I82" s="6"/>
      <c r="J82" s="6"/>
      <c r="K82" s="6"/>
      <c r="L82" s="6"/>
      <c r="M82" s="6"/>
      <c r="N82" s="6"/>
      <c r="O82" s="6"/>
      <c r="P82" s="6"/>
      <c r="Q82" s="6"/>
      <c r="S82" s="5"/>
    </row>
    <row r="83" spans="2:19" ht="15.5" hidden="1">
      <c r="B83" s="5"/>
      <c r="C83" s="6"/>
      <c r="D83" s="6"/>
      <c r="E83" s="6"/>
      <c r="F83" s="6"/>
      <c r="G83" s="6"/>
      <c r="H83" s="6"/>
      <c r="I83" s="6"/>
      <c r="J83" s="6"/>
      <c r="K83" s="6"/>
      <c r="L83" s="6"/>
      <c r="M83" s="6"/>
      <c r="N83" s="6"/>
      <c r="O83" s="6"/>
      <c r="P83" s="6"/>
      <c r="Q83" s="6"/>
      <c r="S83" s="5"/>
    </row>
    <row r="84" spans="2:19" ht="15.5" hidden="1">
      <c r="B84" s="5"/>
      <c r="C84" s="6"/>
      <c r="D84" s="6"/>
      <c r="E84" s="6"/>
      <c r="F84" s="6"/>
      <c r="G84" s="6"/>
      <c r="H84" s="6"/>
      <c r="I84" s="6"/>
      <c r="J84" s="6"/>
      <c r="K84" s="6"/>
      <c r="L84" s="6"/>
      <c r="M84" s="6"/>
      <c r="N84" s="6"/>
      <c r="O84" s="6"/>
      <c r="P84" s="6"/>
      <c r="Q84" s="6"/>
      <c r="S84" s="5"/>
    </row>
    <row r="85" spans="2:19" ht="15.5" hidden="1">
      <c r="B85" s="5"/>
      <c r="C85" s="6"/>
      <c r="D85" s="6"/>
      <c r="E85" s="6"/>
      <c r="F85" s="6"/>
      <c r="G85" s="6"/>
      <c r="H85" s="6"/>
      <c r="I85" s="6"/>
      <c r="J85" s="6"/>
      <c r="K85" s="6"/>
      <c r="L85" s="6"/>
      <c r="M85" s="6"/>
      <c r="N85" s="6"/>
      <c r="O85" s="6"/>
      <c r="P85" s="6"/>
      <c r="Q85" s="6"/>
      <c r="S85" s="5"/>
    </row>
    <row r="86" spans="2:19" ht="15.5" hidden="1">
      <c r="B86" s="5"/>
      <c r="C86" s="6"/>
      <c r="D86" s="6"/>
      <c r="E86" s="6"/>
      <c r="F86" s="6"/>
      <c r="G86" s="6"/>
      <c r="H86" s="6"/>
      <c r="I86" s="6"/>
      <c r="J86" s="6"/>
      <c r="K86" s="6"/>
      <c r="L86" s="6"/>
      <c r="M86" s="6"/>
      <c r="N86" s="6"/>
      <c r="O86" s="6"/>
      <c r="P86" s="6"/>
      <c r="Q86" s="6"/>
      <c r="S86" s="5"/>
    </row>
    <row r="87" spans="2:19" ht="15.5" hidden="1">
      <c r="B87" s="5"/>
      <c r="C87" s="6"/>
      <c r="D87" s="6"/>
      <c r="E87" s="6"/>
      <c r="F87" s="6"/>
      <c r="G87" s="6"/>
      <c r="H87" s="6"/>
      <c r="I87" s="6"/>
      <c r="J87" s="6"/>
      <c r="K87" s="6"/>
      <c r="L87" s="6"/>
      <c r="M87" s="6"/>
      <c r="N87" s="6"/>
      <c r="O87" s="6"/>
      <c r="P87" s="6"/>
      <c r="Q87" s="6"/>
      <c r="S87" s="5"/>
    </row>
  </sheetData>
  <sheetProtection algorithmName="SHA-1" hashValue="KmmJJYl+0iKVuY08yPWutUj/9og=" saltValue="hGIB4lSf0hvTu6L8dROcmQ==" spinCount="100000" sheet="1" objects="1" scenarios="1" formatColumns="0" formatRows="0"/>
  <dataConsolidate/>
  <phoneticPr fontId="6" type="noConversion"/>
  <pageMargins left="0.7" right="0.7" top="0.75" bottom="0.75" header="0.3" footer="0.3"/>
  <pageSetup orientation="portrait" horizontalDpi="300" verticalDpi="300" r:id="rId1"/>
  <drawing r:id="rId2"/>
  <legacyDrawing r:id="rId3"/>
  <controls>
    <mc:AlternateContent xmlns:mc="http://schemas.openxmlformats.org/markup-compatibility/2006">
      <mc:Choice Requires="x14">
        <control shapeId="1026" r:id="rId4" name="TrinStgClass1">
          <controlPr defaultSize="0" autoLine="0" r:id="rId5">
            <anchor moveWithCells="1">
              <from>
                <xdr:col>0</xdr:col>
                <xdr:colOff>0</xdr:colOff>
                <xdr:row>0</xdr:row>
                <xdr:rowOff>0</xdr:rowOff>
              </from>
              <to>
                <xdr:col>0</xdr:col>
                <xdr:colOff>6350</xdr:colOff>
                <xdr:row>0</xdr:row>
                <xdr:rowOff>6350</xdr:rowOff>
              </to>
            </anchor>
          </controlPr>
        </control>
      </mc:Choice>
      <mc:Fallback>
        <control shapeId="1026" r:id="rId4" name="TrinStgClass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CD4D-98E9-40F6-B862-0E2F3638A0D2}">
  <dimension ref="A1:DZ100"/>
  <sheetViews>
    <sheetView showGridLines="0" workbookViewId="0">
      <pane ySplit="2" topLeftCell="A3" activePane="bottomLeft" state="frozen"/>
      <selection pane="bottomLeft" activeCell="B15" sqref="B15"/>
    </sheetView>
  </sheetViews>
  <sheetFormatPr defaultRowHeight="14.5"/>
  <cols>
    <col min="1" max="1" width="3.7265625" customWidth="1"/>
    <col min="2" max="2" width="100.7265625" customWidth="1"/>
    <col min="3" max="9" width="2.7265625" customWidth="1"/>
  </cols>
  <sheetData>
    <row r="1" spans="1:130" ht="63" customHeight="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row>
    <row r="2" spans="1:130" ht="25.15" customHeight="1">
      <c r="A2" s="86"/>
      <c r="B2" s="87" t="s">
        <v>3134</v>
      </c>
      <c r="C2" s="86"/>
      <c r="D2" s="86"/>
      <c r="E2" s="86"/>
      <c r="F2" s="86"/>
      <c r="G2" s="86"/>
      <c r="H2" s="86"/>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row>
    <row r="3" spans="1:130">
      <c r="A3" s="88"/>
      <c r="B3" s="89" t="s">
        <v>3135</v>
      </c>
      <c r="C3" s="88"/>
      <c r="D3" s="88"/>
      <c r="E3" s="88"/>
      <c r="F3" s="88"/>
      <c r="G3" s="88"/>
      <c r="H3" s="88"/>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row>
    <row r="4" spans="1:130" ht="40.15" customHeight="1">
      <c r="A4" s="88"/>
      <c r="B4" s="90" t="s">
        <v>3159</v>
      </c>
      <c r="C4" s="88"/>
      <c r="D4" s="88"/>
      <c r="E4" s="88"/>
      <c r="F4" s="88"/>
      <c r="G4" s="88"/>
      <c r="H4" s="88"/>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row>
    <row r="5" spans="1:130">
      <c r="A5" s="91"/>
      <c r="B5" s="92" t="s">
        <v>3136</v>
      </c>
      <c r="C5" s="91"/>
      <c r="D5" s="91"/>
      <c r="E5" s="91"/>
      <c r="F5" s="91"/>
      <c r="G5" s="91"/>
      <c r="H5" s="91"/>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c r="CX5" s="85"/>
      <c r="CY5" s="85"/>
      <c r="CZ5" s="85"/>
      <c r="DA5" s="85"/>
      <c r="DB5" s="85"/>
      <c r="DC5" s="85"/>
      <c r="DD5" s="85"/>
      <c r="DE5" s="85"/>
      <c r="DF5" s="85"/>
      <c r="DG5" s="85"/>
      <c r="DH5" s="85"/>
      <c r="DI5" s="85"/>
      <c r="DJ5" s="85"/>
      <c r="DK5" s="85"/>
      <c r="DL5" s="85"/>
      <c r="DM5" s="85"/>
      <c r="DN5" s="85"/>
      <c r="DO5" s="85"/>
      <c r="DP5" s="85"/>
      <c r="DQ5" s="85"/>
      <c r="DR5" s="85"/>
      <c r="DS5" s="85"/>
      <c r="DT5" s="85"/>
      <c r="DU5" s="85"/>
      <c r="DV5" s="85"/>
      <c r="DW5" s="85"/>
      <c r="DX5" s="85"/>
      <c r="DY5" s="85"/>
      <c r="DZ5" s="85"/>
    </row>
    <row r="6" spans="1:130">
      <c r="A6" s="91"/>
      <c r="B6" s="93" t="s">
        <v>3137</v>
      </c>
      <c r="C6" s="91"/>
      <c r="D6" s="91"/>
      <c r="E6" s="91"/>
      <c r="F6" s="91"/>
      <c r="G6" s="91"/>
      <c r="H6" s="91"/>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row>
    <row r="7" spans="1:130">
      <c r="A7" s="91"/>
      <c r="B7" s="91"/>
      <c r="C7" s="91"/>
      <c r="D7" s="91"/>
      <c r="E7" s="91"/>
      <c r="F7" s="91"/>
      <c r="G7" s="91"/>
      <c r="H7" s="91"/>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row>
    <row r="8" spans="1:130">
      <c r="A8" s="91"/>
      <c r="B8" s="92" t="s">
        <v>3138</v>
      </c>
      <c r="C8" s="91"/>
      <c r="D8" s="91"/>
      <c r="E8" s="91"/>
      <c r="F8" s="91"/>
      <c r="G8" s="91"/>
      <c r="H8" s="91"/>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row>
    <row r="9" spans="1:130">
      <c r="A9" s="91"/>
      <c r="B9" s="93" t="s">
        <v>3139</v>
      </c>
      <c r="C9" s="91"/>
      <c r="D9" s="91"/>
      <c r="E9" s="91"/>
      <c r="F9" s="91"/>
      <c r="G9" s="91"/>
      <c r="H9" s="91"/>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row>
    <row r="10" spans="1:130">
      <c r="A10" s="91"/>
      <c r="B10" s="93" t="s">
        <v>3140</v>
      </c>
      <c r="C10" s="91"/>
      <c r="D10" s="91"/>
      <c r="E10" s="91"/>
      <c r="F10" s="91"/>
      <c r="G10" s="91"/>
      <c r="H10" s="91"/>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row>
    <row r="11" spans="1:130">
      <c r="A11" s="91"/>
      <c r="B11" s="93" t="s">
        <v>3141</v>
      </c>
      <c r="C11" s="91"/>
      <c r="D11" s="91"/>
      <c r="E11" s="91"/>
      <c r="F11" s="91"/>
      <c r="G11" s="91"/>
      <c r="H11" s="91"/>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row>
    <row r="12" spans="1:130">
      <c r="A12" s="91"/>
      <c r="B12" s="93" t="s">
        <v>3142</v>
      </c>
      <c r="C12" s="91"/>
      <c r="D12" s="91"/>
      <c r="E12" s="91"/>
      <c r="F12" s="91"/>
      <c r="G12" s="91"/>
      <c r="H12" s="91"/>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row>
    <row r="13" spans="1:130">
      <c r="A13" s="91"/>
      <c r="B13" s="93" t="s">
        <v>3143</v>
      </c>
      <c r="C13" s="91"/>
      <c r="D13" s="91"/>
      <c r="E13" s="91"/>
      <c r="F13" s="91"/>
      <c r="G13" s="91"/>
      <c r="H13" s="91"/>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row>
    <row r="14" spans="1:130">
      <c r="A14" s="91"/>
      <c r="B14" s="93" t="s">
        <v>3144</v>
      </c>
      <c r="C14" s="91"/>
      <c r="D14" s="91"/>
      <c r="E14" s="91"/>
      <c r="F14" s="91"/>
      <c r="G14" s="91"/>
      <c r="H14" s="91"/>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row>
    <row r="15" spans="1:130">
      <c r="A15" s="91"/>
      <c r="B15" s="91"/>
      <c r="C15" s="91"/>
      <c r="D15" s="91"/>
      <c r="E15" s="91"/>
      <c r="F15" s="91"/>
      <c r="G15" s="91"/>
      <c r="H15" s="91"/>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c r="CY15" s="85"/>
      <c r="CZ15" s="85"/>
      <c r="DA15" s="85"/>
      <c r="DB15" s="85"/>
      <c r="DC15" s="85"/>
      <c r="DD15" s="85"/>
      <c r="DE15" s="85"/>
      <c r="DF15" s="85"/>
      <c r="DG15" s="85"/>
      <c r="DH15" s="85"/>
      <c r="DI15" s="85"/>
      <c r="DJ15" s="85"/>
      <c r="DK15" s="85"/>
      <c r="DL15" s="85"/>
      <c r="DM15" s="85"/>
      <c r="DN15" s="85"/>
      <c r="DO15" s="85"/>
      <c r="DP15" s="85"/>
      <c r="DQ15" s="85"/>
      <c r="DR15" s="85"/>
      <c r="DS15" s="85"/>
      <c r="DT15" s="85"/>
      <c r="DU15" s="85"/>
      <c r="DV15" s="85"/>
      <c r="DW15" s="85"/>
      <c r="DX15" s="85"/>
      <c r="DY15" s="85"/>
      <c r="DZ15" s="85"/>
    </row>
    <row r="16" spans="1:130">
      <c r="A16" s="91"/>
      <c r="B16" s="92" t="s">
        <v>3145</v>
      </c>
      <c r="C16" s="91"/>
      <c r="D16" s="91"/>
      <c r="E16" s="91"/>
      <c r="F16" s="91"/>
      <c r="G16" s="91"/>
      <c r="H16" s="91"/>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c r="DV16" s="85"/>
      <c r="DW16" s="85"/>
      <c r="DX16" s="85"/>
      <c r="DY16" s="85"/>
      <c r="DZ16" s="85"/>
    </row>
    <row r="17" spans="1:130">
      <c r="A17" s="91"/>
      <c r="B17" s="93" t="s">
        <v>3146</v>
      </c>
      <c r="C17" s="91"/>
      <c r="D17" s="91"/>
      <c r="E17" s="91"/>
      <c r="F17" s="91"/>
      <c r="G17" s="91"/>
      <c r="H17" s="91"/>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row>
    <row r="18" spans="1:130">
      <c r="A18" s="91"/>
      <c r="B18" s="93" t="s">
        <v>3147</v>
      </c>
      <c r="C18" s="91"/>
      <c r="D18" s="91"/>
      <c r="E18" s="91"/>
      <c r="F18" s="91"/>
      <c r="G18" s="91"/>
      <c r="H18" s="91"/>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row>
    <row r="19" spans="1:130">
      <c r="A19" s="91"/>
      <c r="B19" s="93" t="s">
        <v>3148</v>
      </c>
      <c r="C19" s="91"/>
      <c r="D19" s="91"/>
      <c r="E19" s="91"/>
      <c r="F19" s="91"/>
      <c r="G19" s="91"/>
      <c r="H19" s="91"/>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row>
    <row r="20" spans="1:130">
      <c r="A20" s="91"/>
      <c r="B20" s="93" t="s">
        <v>3149</v>
      </c>
      <c r="C20" s="91"/>
      <c r="D20" s="91"/>
      <c r="E20" s="91"/>
      <c r="F20" s="91"/>
      <c r="G20" s="91"/>
      <c r="H20" s="91"/>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row>
    <row r="21" spans="1:130">
      <c r="A21" s="91"/>
      <c r="B21" s="93" t="s">
        <v>3150</v>
      </c>
      <c r="C21" s="91"/>
      <c r="D21" s="91"/>
      <c r="E21" s="91"/>
      <c r="F21" s="91"/>
      <c r="G21" s="91"/>
      <c r="H21" s="91"/>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c r="DZ21" s="85"/>
    </row>
    <row r="22" spans="1:130">
      <c r="A22" s="91"/>
      <c r="B22" s="93" t="s">
        <v>3151</v>
      </c>
      <c r="C22" s="91"/>
      <c r="D22" s="91"/>
      <c r="E22" s="91"/>
      <c r="F22" s="91"/>
      <c r="G22" s="91"/>
      <c r="H22" s="91"/>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c r="DZ22" s="85"/>
    </row>
    <row r="23" spans="1:130">
      <c r="A23" s="91"/>
      <c r="B23" s="93" t="s">
        <v>3152</v>
      </c>
      <c r="C23" s="91"/>
      <c r="D23" s="91"/>
      <c r="E23" s="91"/>
      <c r="F23" s="91"/>
      <c r="G23" s="91"/>
      <c r="H23" s="91"/>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c r="CY23" s="85"/>
      <c r="CZ23" s="85"/>
      <c r="DA23" s="85"/>
      <c r="DB23" s="85"/>
      <c r="DC23" s="85"/>
      <c r="DD23" s="85"/>
      <c r="DE23" s="85"/>
      <c r="DF23" s="85"/>
      <c r="DG23" s="85"/>
      <c r="DH23" s="85"/>
      <c r="DI23" s="85"/>
      <c r="DJ23" s="85"/>
      <c r="DK23" s="85"/>
      <c r="DL23" s="85"/>
      <c r="DM23" s="85"/>
      <c r="DN23" s="85"/>
      <c r="DO23" s="85"/>
      <c r="DP23" s="85"/>
      <c r="DQ23" s="85"/>
      <c r="DR23" s="85"/>
      <c r="DS23" s="85"/>
      <c r="DT23" s="85"/>
      <c r="DU23" s="85"/>
      <c r="DV23" s="85"/>
      <c r="DW23" s="85"/>
      <c r="DX23" s="85"/>
      <c r="DY23" s="85"/>
      <c r="DZ23" s="85"/>
    </row>
    <row r="24" spans="1:130">
      <c r="A24" s="91"/>
      <c r="B24" s="91"/>
      <c r="C24" s="91"/>
      <c r="D24" s="91"/>
      <c r="E24" s="91"/>
      <c r="F24" s="91"/>
      <c r="G24" s="91"/>
      <c r="H24" s="91"/>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c r="CY24" s="85"/>
      <c r="CZ24" s="85"/>
      <c r="DA24" s="85"/>
      <c r="DB24" s="85"/>
      <c r="DC24" s="85"/>
      <c r="DD24" s="85"/>
      <c r="DE24" s="85"/>
      <c r="DF24" s="85"/>
      <c r="DG24" s="85"/>
      <c r="DH24" s="85"/>
      <c r="DI24" s="85"/>
      <c r="DJ24" s="85"/>
      <c r="DK24" s="85"/>
      <c r="DL24" s="85"/>
      <c r="DM24" s="85"/>
      <c r="DN24" s="85"/>
      <c r="DO24" s="85"/>
      <c r="DP24" s="85"/>
      <c r="DQ24" s="85"/>
      <c r="DR24" s="85"/>
      <c r="DS24" s="85"/>
      <c r="DT24" s="85"/>
      <c r="DU24" s="85"/>
      <c r="DV24" s="85"/>
      <c r="DW24" s="85"/>
      <c r="DX24" s="85"/>
      <c r="DY24" s="85"/>
      <c r="DZ24" s="85"/>
    </row>
    <row r="25" spans="1:130">
      <c r="A25" s="91"/>
      <c r="B25" s="92" t="s">
        <v>3153</v>
      </c>
      <c r="C25" s="91"/>
      <c r="D25" s="91"/>
      <c r="E25" s="91"/>
      <c r="F25" s="91"/>
      <c r="G25" s="91"/>
      <c r="H25" s="91"/>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row>
    <row r="26" spans="1:130">
      <c r="A26" s="91"/>
      <c r="B26" s="93" t="s">
        <v>3154</v>
      </c>
      <c r="C26" s="91"/>
      <c r="D26" s="91"/>
      <c r="E26" s="91"/>
      <c r="F26" s="91"/>
      <c r="G26" s="91"/>
      <c r="H26" s="91"/>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c r="CY26" s="85"/>
      <c r="CZ26" s="85"/>
      <c r="DA26" s="85"/>
      <c r="DB26" s="85"/>
      <c r="DC26" s="85"/>
      <c r="DD26" s="85"/>
      <c r="DE26" s="85"/>
      <c r="DF26" s="85"/>
      <c r="DG26" s="85"/>
      <c r="DH26" s="85"/>
      <c r="DI26" s="85"/>
      <c r="DJ26" s="85"/>
      <c r="DK26" s="85"/>
      <c r="DL26" s="85"/>
      <c r="DM26" s="85"/>
      <c r="DN26" s="85"/>
      <c r="DO26" s="85"/>
      <c r="DP26" s="85"/>
      <c r="DQ26" s="85"/>
      <c r="DR26" s="85"/>
      <c r="DS26" s="85"/>
      <c r="DT26" s="85"/>
      <c r="DU26" s="85"/>
      <c r="DV26" s="85"/>
      <c r="DW26" s="85"/>
      <c r="DX26" s="85"/>
      <c r="DY26" s="85"/>
      <c r="DZ26" s="85"/>
    </row>
    <row r="27" spans="1:130">
      <c r="A27" s="91"/>
      <c r="B27" s="93" t="s">
        <v>3155</v>
      </c>
      <c r="C27" s="91"/>
      <c r="D27" s="91"/>
      <c r="E27" s="91"/>
      <c r="F27" s="91"/>
      <c r="G27" s="91"/>
      <c r="H27" s="91"/>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c r="CY27" s="85"/>
      <c r="CZ27" s="85"/>
      <c r="DA27" s="85"/>
      <c r="DB27" s="85"/>
      <c r="DC27" s="85"/>
      <c r="DD27" s="85"/>
      <c r="DE27" s="85"/>
      <c r="DF27" s="85"/>
      <c r="DG27" s="85"/>
      <c r="DH27" s="85"/>
      <c r="DI27" s="85"/>
      <c r="DJ27" s="85"/>
      <c r="DK27" s="85"/>
      <c r="DL27" s="85"/>
      <c r="DM27" s="85"/>
      <c r="DN27" s="85"/>
      <c r="DO27" s="85"/>
      <c r="DP27" s="85"/>
      <c r="DQ27" s="85"/>
      <c r="DR27" s="85"/>
      <c r="DS27" s="85"/>
      <c r="DT27" s="85"/>
      <c r="DU27" s="85"/>
      <c r="DV27" s="85"/>
      <c r="DW27" s="85"/>
      <c r="DX27" s="85"/>
      <c r="DY27" s="85"/>
      <c r="DZ27" s="85"/>
    </row>
    <row r="28" spans="1:130">
      <c r="A28" s="91"/>
      <c r="B28" s="93" t="s">
        <v>3156</v>
      </c>
      <c r="C28" s="91"/>
      <c r="D28" s="91"/>
      <c r="E28" s="91"/>
      <c r="F28" s="91"/>
      <c r="G28" s="91"/>
      <c r="H28" s="91"/>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c r="CY28" s="85"/>
      <c r="CZ28" s="85"/>
      <c r="DA28" s="85"/>
      <c r="DB28" s="85"/>
      <c r="DC28" s="85"/>
      <c r="DD28" s="85"/>
      <c r="DE28" s="85"/>
      <c r="DF28" s="85"/>
      <c r="DG28" s="85"/>
      <c r="DH28" s="85"/>
      <c r="DI28" s="85"/>
      <c r="DJ28" s="85"/>
      <c r="DK28" s="85"/>
      <c r="DL28" s="85"/>
      <c r="DM28" s="85"/>
      <c r="DN28" s="85"/>
      <c r="DO28" s="85"/>
      <c r="DP28" s="85"/>
      <c r="DQ28" s="85"/>
      <c r="DR28" s="85"/>
      <c r="DS28" s="85"/>
      <c r="DT28" s="85"/>
      <c r="DU28" s="85"/>
      <c r="DV28" s="85"/>
      <c r="DW28" s="85"/>
      <c r="DX28" s="85"/>
      <c r="DY28" s="85"/>
      <c r="DZ28" s="85"/>
    </row>
    <row r="29" spans="1:130">
      <c r="A29" s="91"/>
      <c r="B29" s="93" t="s">
        <v>3157</v>
      </c>
      <c r="C29" s="91"/>
      <c r="D29" s="91"/>
      <c r="E29" s="91"/>
      <c r="F29" s="91"/>
      <c r="G29" s="91"/>
      <c r="H29" s="91"/>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c r="CY29" s="85"/>
      <c r="CZ29" s="85"/>
      <c r="DA29" s="85"/>
      <c r="DB29" s="85"/>
      <c r="DC29" s="85"/>
      <c r="DD29" s="85"/>
      <c r="DE29" s="85"/>
      <c r="DF29" s="85"/>
      <c r="DG29" s="85"/>
      <c r="DH29" s="85"/>
      <c r="DI29" s="85"/>
      <c r="DJ29" s="85"/>
      <c r="DK29" s="85"/>
      <c r="DL29" s="85"/>
      <c r="DM29" s="85"/>
      <c r="DN29" s="85"/>
      <c r="DO29" s="85"/>
      <c r="DP29" s="85"/>
      <c r="DQ29" s="85"/>
      <c r="DR29" s="85"/>
      <c r="DS29" s="85"/>
      <c r="DT29" s="85"/>
      <c r="DU29" s="85"/>
      <c r="DV29" s="85"/>
      <c r="DW29" s="85"/>
      <c r="DX29" s="85"/>
      <c r="DY29" s="85"/>
      <c r="DZ29" s="85"/>
    </row>
    <row r="30" spans="1:130">
      <c r="A30" s="91"/>
      <c r="B30" s="93" t="s">
        <v>3158</v>
      </c>
      <c r="C30" s="91"/>
      <c r="D30" s="91"/>
      <c r="E30" s="91"/>
      <c r="F30" s="91"/>
      <c r="G30" s="91"/>
      <c r="H30" s="91"/>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c r="CY30" s="85"/>
      <c r="CZ30" s="85"/>
      <c r="DA30" s="85"/>
      <c r="DB30" s="85"/>
      <c r="DC30" s="85"/>
      <c r="DD30" s="85"/>
      <c r="DE30" s="85"/>
      <c r="DF30" s="85"/>
      <c r="DG30" s="85"/>
      <c r="DH30" s="85"/>
      <c r="DI30" s="85"/>
      <c r="DJ30" s="85"/>
      <c r="DK30" s="85"/>
      <c r="DL30" s="85"/>
      <c r="DM30" s="85"/>
      <c r="DN30" s="85"/>
      <c r="DO30" s="85"/>
      <c r="DP30" s="85"/>
      <c r="DQ30" s="85"/>
      <c r="DR30" s="85"/>
      <c r="DS30" s="85"/>
      <c r="DT30" s="85"/>
      <c r="DU30" s="85"/>
      <c r="DV30" s="85"/>
      <c r="DW30" s="85"/>
      <c r="DX30" s="85"/>
      <c r="DY30" s="85"/>
      <c r="DZ30" s="85"/>
    </row>
    <row r="31" spans="1:130">
      <c r="A31" s="91"/>
      <c r="B31" s="91"/>
      <c r="C31" s="91"/>
      <c r="D31" s="91"/>
      <c r="E31" s="91"/>
      <c r="F31" s="91"/>
      <c r="G31" s="91"/>
      <c r="H31" s="91"/>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c r="CY31" s="85"/>
      <c r="CZ31" s="85"/>
      <c r="DA31" s="85"/>
      <c r="DB31" s="85"/>
      <c r="DC31" s="85"/>
      <c r="DD31" s="85"/>
      <c r="DE31" s="85"/>
      <c r="DF31" s="85"/>
      <c r="DG31" s="85"/>
      <c r="DH31" s="85"/>
      <c r="DI31" s="85"/>
      <c r="DJ31" s="85"/>
      <c r="DK31" s="85"/>
      <c r="DL31" s="85"/>
      <c r="DM31" s="85"/>
      <c r="DN31" s="85"/>
      <c r="DO31" s="85"/>
      <c r="DP31" s="85"/>
      <c r="DQ31" s="85"/>
      <c r="DR31" s="85"/>
      <c r="DS31" s="85"/>
      <c r="DT31" s="85"/>
      <c r="DU31" s="85"/>
      <c r="DV31" s="85"/>
      <c r="DW31" s="85"/>
      <c r="DX31" s="85"/>
      <c r="DY31" s="85"/>
      <c r="DZ31" s="85"/>
    </row>
    <row r="32" spans="1:130">
      <c r="A32" s="91"/>
      <c r="B32" s="91"/>
      <c r="C32" s="91"/>
      <c r="D32" s="91"/>
      <c r="E32" s="91"/>
      <c r="F32" s="91"/>
      <c r="G32" s="91"/>
      <c r="H32" s="91"/>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c r="CY32" s="85"/>
      <c r="CZ32" s="85"/>
      <c r="DA32" s="85"/>
      <c r="DB32" s="85"/>
      <c r="DC32" s="85"/>
      <c r="DD32" s="85"/>
      <c r="DE32" s="85"/>
      <c r="DF32" s="85"/>
      <c r="DG32" s="85"/>
      <c r="DH32" s="85"/>
      <c r="DI32" s="85"/>
      <c r="DJ32" s="85"/>
      <c r="DK32" s="85"/>
      <c r="DL32" s="85"/>
      <c r="DM32" s="85"/>
      <c r="DN32" s="85"/>
      <c r="DO32" s="85"/>
      <c r="DP32" s="85"/>
      <c r="DQ32" s="85"/>
      <c r="DR32" s="85"/>
      <c r="DS32" s="85"/>
      <c r="DT32" s="85"/>
      <c r="DU32" s="85"/>
      <c r="DV32" s="85"/>
      <c r="DW32" s="85"/>
      <c r="DX32" s="85"/>
      <c r="DY32" s="85"/>
      <c r="DZ32" s="85"/>
    </row>
    <row r="33" spans="1:130">
      <c r="A33" s="91"/>
      <c r="B33" s="91"/>
      <c r="C33" s="91"/>
      <c r="D33" s="91"/>
      <c r="E33" s="91"/>
      <c r="F33" s="91"/>
      <c r="G33" s="91"/>
      <c r="H33" s="91"/>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row>
    <row r="34" spans="1:130">
      <c r="A34" s="91"/>
      <c r="B34" s="91"/>
      <c r="C34" s="91"/>
      <c r="D34" s="91"/>
      <c r="E34" s="91"/>
      <c r="F34" s="91"/>
      <c r="G34" s="91"/>
      <c r="H34" s="91"/>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row>
    <row r="35" spans="1:130">
      <c r="A35" s="91"/>
      <c r="B35" s="91"/>
      <c r="C35" s="91"/>
      <c r="D35" s="91"/>
      <c r="E35" s="91"/>
      <c r="F35" s="91"/>
      <c r="G35" s="91"/>
      <c r="H35" s="91"/>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row>
    <row r="36" spans="1:130">
      <c r="A36" s="91"/>
      <c r="B36" s="91"/>
      <c r="C36" s="91"/>
      <c r="D36" s="91"/>
      <c r="E36" s="91"/>
      <c r="F36" s="91"/>
      <c r="G36" s="91"/>
      <c r="H36" s="91"/>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c r="CY36" s="85"/>
      <c r="CZ36" s="85"/>
      <c r="DA36" s="85"/>
      <c r="DB36" s="85"/>
      <c r="DC36" s="85"/>
      <c r="DD36" s="85"/>
      <c r="DE36" s="85"/>
      <c r="DF36" s="85"/>
      <c r="DG36" s="85"/>
      <c r="DH36" s="85"/>
      <c r="DI36" s="85"/>
      <c r="DJ36" s="85"/>
      <c r="DK36" s="85"/>
      <c r="DL36" s="85"/>
      <c r="DM36" s="85"/>
      <c r="DN36" s="85"/>
      <c r="DO36" s="85"/>
      <c r="DP36" s="85"/>
      <c r="DQ36" s="85"/>
      <c r="DR36" s="85"/>
      <c r="DS36" s="85"/>
      <c r="DT36" s="85"/>
      <c r="DU36" s="85"/>
      <c r="DV36" s="85"/>
      <c r="DW36" s="85"/>
      <c r="DX36" s="85"/>
      <c r="DY36" s="85"/>
      <c r="DZ36" s="85"/>
    </row>
    <row r="37" spans="1:130">
      <c r="A37" s="91"/>
      <c r="B37" s="91"/>
      <c r="C37" s="91"/>
      <c r="D37" s="91"/>
      <c r="E37" s="91"/>
      <c r="F37" s="91"/>
      <c r="G37" s="91"/>
      <c r="H37" s="91"/>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c r="CY37" s="85"/>
      <c r="CZ37" s="85"/>
      <c r="DA37" s="85"/>
      <c r="DB37" s="85"/>
      <c r="DC37" s="85"/>
      <c r="DD37" s="85"/>
      <c r="DE37" s="85"/>
      <c r="DF37" s="85"/>
      <c r="DG37" s="85"/>
      <c r="DH37" s="85"/>
      <c r="DI37" s="85"/>
      <c r="DJ37" s="85"/>
      <c r="DK37" s="85"/>
      <c r="DL37" s="85"/>
      <c r="DM37" s="85"/>
      <c r="DN37" s="85"/>
      <c r="DO37" s="85"/>
      <c r="DP37" s="85"/>
      <c r="DQ37" s="85"/>
      <c r="DR37" s="85"/>
      <c r="DS37" s="85"/>
      <c r="DT37" s="85"/>
      <c r="DU37" s="85"/>
      <c r="DV37" s="85"/>
      <c r="DW37" s="85"/>
      <c r="DX37" s="85"/>
      <c r="DY37" s="85"/>
      <c r="DZ37" s="85"/>
    </row>
    <row r="38" spans="1:130">
      <c r="A38" s="91"/>
      <c r="B38" s="91"/>
      <c r="C38" s="91"/>
      <c r="D38" s="91"/>
      <c r="E38" s="91"/>
      <c r="F38" s="91"/>
      <c r="G38" s="91"/>
      <c r="H38" s="91"/>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c r="CY38" s="85"/>
      <c r="CZ38" s="85"/>
      <c r="DA38" s="85"/>
      <c r="DB38" s="85"/>
      <c r="DC38" s="85"/>
      <c r="DD38" s="85"/>
      <c r="DE38" s="85"/>
      <c r="DF38" s="85"/>
      <c r="DG38" s="85"/>
      <c r="DH38" s="85"/>
      <c r="DI38" s="85"/>
      <c r="DJ38" s="85"/>
      <c r="DK38" s="85"/>
      <c r="DL38" s="85"/>
      <c r="DM38" s="85"/>
      <c r="DN38" s="85"/>
      <c r="DO38" s="85"/>
      <c r="DP38" s="85"/>
      <c r="DQ38" s="85"/>
      <c r="DR38" s="85"/>
      <c r="DS38" s="85"/>
      <c r="DT38" s="85"/>
      <c r="DU38" s="85"/>
      <c r="DV38" s="85"/>
      <c r="DW38" s="85"/>
      <c r="DX38" s="85"/>
      <c r="DY38" s="85"/>
      <c r="DZ38" s="85"/>
    </row>
    <row r="39" spans="1:130">
      <c r="A39" s="91"/>
      <c r="B39" s="91"/>
      <c r="C39" s="91"/>
      <c r="D39" s="91"/>
      <c r="E39" s="91"/>
      <c r="F39" s="91"/>
      <c r="G39" s="91"/>
      <c r="H39" s="91"/>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c r="CY39" s="85"/>
      <c r="CZ39" s="85"/>
      <c r="DA39" s="85"/>
      <c r="DB39" s="85"/>
      <c r="DC39" s="85"/>
      <c r="DD39" s="85"/>
      <c r="DE39" s="85"/>
      <c r="DF39" s="85"/>
      <c r="DG39" s="85"/>
      <c r="DH39" s="85"/>
      <c r="DI39" s="85"/>
      <c r="DJ39" s="85"/>
      <c r="DK39" s="85"/>
      <c r="DL39" s="85"/>
      <c r="DM39" s="85"/>
      <c r="DN39" s="85"/>
      <c r="DO39" s="85"/>
      <c r="DP39" s="85"/>
      <c r="DQ39" s="85"/>
      <c r="DR39" s="85"/>
      <c r="DS39" s="85"/>
      <c r="DT39" s="85"/>
      <c r="DU39" s="85"/>
      <c r="DV39" s="85"/>
      <c r="DW39" s="85"/>
      <c r="DX39" s="85"/>
      <c r="DY39" s="85"/>
      <c r="DZ39" s="85"/>
    </row>
    <row r="40" spans="1:130">
      <c r="A40" s="91"/>
      <c r="B40" s="91"/>
      <c r="C40" s="91"/>
      <c r="D40" s="91"/>
      <c r="E40" s="91"/>
      <c r="F40" s="91"/>
      <c r="G40" s="91"/>
      <c r="H40" s="91"/>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c r="CY40" s="85"/>
      <c r="CZ40" s="85"/>
      <c r="DA40" s="85"/>
      <c r="DB40" s="85"/>
      <c r="DC40" s="85"/>
      <c r="DD40" s="85"/>
      <c r="DE40" s="85"/>
      <c r="DF40" s="85"/>
      <c r="DG40" s="85"/>
      <c r="DH40" s="85"/>
      <c r="DI40" s="85"/>
      <c r="DJ40" s="85"/>
      <c r="DK40" s="85"/>
      <c r="DL40" s="85"/>
      <c r="DM40" s="85"/>
      <c r="DN40" s="85"/>
      <c r="DO40" s="85"/>
      <c r="DP40" s="85"/>
      <c r="DQ40" s="85"/>
      <c r="DR40" s="85"/>
      <c r="DS40" s="85"/>
      <c r="DT40" s="85"/>
      <c r="DU40" s="85"/>
      <c r="DV40" s="85"/>
      <c r="DW40" s="85"/>
      <c r="DX40" s="85"/>
      <c r="DY40" s="85"/>
      <c r="DZ40" s="85"/>
    </row>
    <row r="41" spans="1:130">
      <c r="A41" s="91"/>
      <c r="B41" s="91"/>
      <c r="C41" s="91"/>
      <c r="D41" s="91"/>
      <c r="E41" s="91"/>
      <c r="F41" s="91"/>
      <c r="G41" s="91"/>
      <c r="H41" s="91"/>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c r="CY41" s="85"/>
      <c r="CZ41" s="85"/>
      <c r="DA41" s="85"/>
      <c r="DB41" s="85"/>
      <c r="DC41" s="85"/>
      <c r="DD41" s="85"/>
      <c r="DE41" s="85"/>
      <c r="DF41" s="85"/>
      <c r="DG41" s="85"/>
      <c r="DH41" s="85"/>
      <c r="DI41" s="85"/>
      <c r="DJ41" s="85"/>
      <c r="DK41" s="85"/>
      <c r="DL41" s="85"/>
      <c r="DM41" s="85"/>
      <c r="DN41" s="85"/>
      <c r="DO41" s="85"/>
      <c r="DP41" s="85"/>
      <c r="DQ41" s="85"/>
      <c r="DR41" s="85"/>
      <c r="DS41" s="85"/>
      <c r="DT41" s="85"/>
      <c r="DU41" s="85"/>
      <c r="DV41" s="85"/>
      <c r="DW41" s="85"/>
      <c r="DX41" s="85"/>
      <c r="DY41" s="85"/>
      <c r="DZ41" s="85"/>
    </row>
    <row r="42" spans="1:130">
      <c r="A42" s="91"/>
      <c r="B42" s="91"/>
      <c r="C42" s="91"/>
      <c r="D42" s="91"/>
      <c r="E42" s="91"/>
      <c r="F42" s="91"/>
      <c r="G42" s="91"/>
      <c r="H42" s="91"/>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c r="CY42" s="85"/>
      <c r="CZ42" s="85"/>
      <c r="DA42" s="85"/>
      <c r="DB42" s="85"/>
      <c r="DC42" s="85"/>
      <c r="DD42" s="85"/>
      <c r="DE42" s="85"/>
      <c r="DF42" s="85"/>
      <c r="DG42" s="85"/>
      <c r="DH42" s="85"/>
      <c r="DI42" s="85"/>
      <c r="DJ42" s="85"/>
      <c r="DK42" s="85"/>
      <c r="DL42" s="85"/>
      <c r="DM42" s="85"/>
      <c r="DN42" s="85"/>
      <c r="DO42" s="85"/>
      <c r="DP42" s="85"/>
      <c r="DQ42" s="85"/>
      <c r="DR42" s="85"/>
      <c r="DS42" s="85"/>
      <c r="DT42" s="85"/>
      <c r="DU42" s="85"/>
      <c r="DV42" s="85"/>
      <c r="DW42" s="85"/>
      <c r="DX42" s="85"/>
      <c r="DY42" s="85"/>
      <c r="DZ42" s="85"/>
    </row>
    <row r="43" spans="1:130">
      <c r="A43" s="91"/>
      <c r="B43" s="91"/>
      <c r="C43" s="91"/>
      <c r="D43" s="91"/>
      <c r="E43" s="91"/>
      <c r="F43" s="91"/>
      <c r="G43" s="91"/>
      <c r="H43" s="91"/>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c r="CY43" s="85"/>
      <c r="CZ43" s="85"/>
      <c r="DA43" s="85"/>
      <c r="DB43" s="85"/>
      <c r="DC43" s="85"/>
      <c r="DD43" s="85"/>
      <c r="DE43" s="85"/>
      <c r="DF43" s="85"/>
      <c r="DG43" s="85"/>
      <c r="DH43" s="85"/>
      <c r="DI43" s="85"/>
      <c r="DJ43" s="85"/>
      <c r="DK43" s="85"/>
      <c r="DL43" s="85"/>
      <c r="DM43" s="85"/>
      <c r="DN43" s="85"/>
      <c r="DO43" s="85"/>
      <c r="DP43" s="85"/>
      <c r="DQ43" s="85"/>
      <c r="DR43" s="85"/>
      <c r="DS43" s="85"/>
      <c r="DT43" s="85"/>
      <c r="DU43" s="85"/>
      <c r="DV43" s="85"/>
      <c r="DW43" s="85"/>
      <c r="DX43" s="85"/>
      <c r="DY43" s="85"/>
      <c r="DZ43" s="85"/>
    </row>
    <row r="44" spans="1:130">
      <c r="A44" s="91"/>
      <c r="B44" s="91"/>
      <c r="C44" s="91"/>
      <c r="D44" s="91"/>
      <c r="E44" s="91"/>
      <c r="F44" s="91"/>
      <c r="G44" s="91"/>
      <c r="H44" s="91"/>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c r="CY44" s="85"/>
      <c r="CZ44" s="85"/>
      <c r="DA44" s="85"/>
      <c r="DB44" s="85"/>
      <c r="DC44" s="85"/>
      <c r="DD44" s="85"/>
      <c r="DE44" s="85"/>
      <c r="DF44" s="85"/>
      <c r="DG44" s="85"/>
      <c r="DH44" s="85"/>
      <c r="DI44" s="85"/>
      <c r="DJ44" s="85"/>
      <c r="DK44" s="85"/>
      <c r="DL44" s="85"/>
      <c r="DM44" s="85"/>
      <c r="DN44" s="85"/>
      <c r="DO44" s="85"/>
      <c r="DP44" s="85"/>
      <c r="DQ44" s="85"/>
      <c r="DR44" s="85"/>
      <c r="DS44" s="85"/>
      <c r="DT44" s="85"/>
      <c r="DU44" s="85"/>
      <c r="DV44" s="85"/>
      <c r="DW44" s="85"/>
      <c r="DX44" s="85"/>
      <c r="DY44" s="85"/>
      <c r="DZ44" s="85"/>
    </row>
    <row r="45" spans="1:130">
      <c r="A45" s="91"/>
      <c r="B45" s="91"/>
      <c r="C45" s="91"/>
      <c r="D45" s="91"/>
      <c r="E45" s="91"/>
      <c r="F45" s="91"/>
      <c r="G45" s="91"/>
      <c r="H45" s="91"/>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c r="CY45" s="85"/>
      <c r="CZ45" s="85"/>
      <c r="DA45" s="85"/>
      <c r="DB45" s="85"/>
      <c r="DC45" s="85"/>
      <c r="DD45" s="85"/>
      <c r="DE45" s="85"/>
      <c r="DF45" s="85"/>
      <c r="DG45" s="85"/>
      <c r="DH45" s="85"/>
      <c r="DI45" s="85"/>
      <c r="DJ45" s="85"/>
      <c r="DK45" s="85"/>
      <c r="DL45" s="85"/>
      <c r="DM45" s="85"/>
      <c r="DN45" s="85"/>
      <c r="DO45" s="85"/>
      <c r="DP45" s="85"/>
      <c r="DQ45" s="85"/>
      <c r="DR45" s="85"/>
      <c r="DS45" s="85"/>
      <c r="DT45" s="85"/>
      <c r="DU45" s="85"/>
      <c r="DV45" s="85"/>
      <c r="DW45" s="85"/>
      <c r="DX45" s="85"/>
      <c r="DY45" s="85"/>
      <c r="DZ45" s="85"/>
    </row>
    <row r="46" spans="1:130">
      <c r="A46" s="91"/>
      <c r="B46" s="91"/>
      <c r="C46" s="91"/>
      <c r="D46" s="91"/>
      <c r="E46" s="91"/>
      <c r="F46" s="91"/>
      <c r="G46" s="91"/>
      <c r="H46" s="91"/>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c r="CY46" s="85"/>
      <c r="CZ46" s="85"/>
      <c r="DA46" s="85"/>
      <c r="DB46" s="85"/>
      <c r="DC46" s="85"/>
      <c r="DD46" s="85"/>
      <c r="DE46" s="85"/>
      <c r="DF46" s="85"/>
      <c r="DG46" s="85"/>
      <c r="DH46" s="85"/>
      <c r="DI46" s="85"/>
      <c r="DJ46" s="85"/>
      <c r="DK46" s="85"/>
      <c r="DL46" s="85"/>
      <c r="DM46" s="85"/>
      <c r="DN46" s="85"/>
      <c r="DO46" s="85"/>
      <c r="DP46" s="85"/>
      <c r="DQ46" s="85"/>
      <c r="DR46" s="85"/>
      <c r="DS46" s="85"/>
      <c r="DT46" s="85"/>
      <c r="DU46" s="85"/>
      <c r="DV46" s="85"/>
      <c r="DW46" s="85"/>
      <c r="DX46" s="85"/>
      <c r="DY46" s="85"/>
      <c r="DZ46" s="85"/>
    </row>
    <row r="47" spans="1:130">
      <c r="A47" s="91"/>
      <c r="B47" s="91"/>
      <c r="C47" s="91"/>
      <c r="D47" s="91"/>
      <c r="E47" s="91"/>
      <c r="F47" s="91"/>
      <c r="G47" s="91"/>
      <c r="H47" s="91"/>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c r="CY47" s="85"/>
      <c r="CZ47" s="85"/>
      <c r="DA47" s="85"/>
      <c r="DB47" s="85"/>
      <c r="DC47" s="85"/>
      <c r="DD47" s="85"/>
      <c r="DE47" s="85"/>
      <c r="DF47" s="85"/>
      <c r="DG47" s="85"/>
      <c r="DH47" s="85"/>
      <c r="DI47" s="85"/>
      <c r="DJ47" s="85"/>
      <c r="DK47" s="85"/>
      <c r="DL47" s="85"/>
      <c r="DM47" s="85"/>
      <c r="DN47" s="85"/>
      <c r="DO47" s="85"/>
      <c r="DP47" s="85"/>
      <c r="DQ47" s="85"/>
      <c r="DR47" s="85"/>
      <c r="DS47" s="85"/>
      <c r="DT47" s="85"/>
      <c r="DU47" s="85"/>
      <c r="DV47" s="85"/>
      <c r="DW47" s="85"/>
      <c r="DX47" s="85"/>
      <c r="DY47" s="85"/>
      <c r="DZ47" s="85"/>
    </row>
    <row r="48" spans="1:130">
      <c r="A48" s="91"/>
      <c r="B48" s="91"/>
      <c r="C48" s="91"/>
      <c r="D48" s="91"/>
      <c r="E48" s="91"/>
      <c r="F48" s="91"/>
      <c r="G48" s="91"/>
      <c r="H48" s="91"/>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c r="CY48" s="85"/>
      <c r="CZ48" s="85"/>
      <c r="DA48" s="85"/>
      <c r="DB48" s="85"/>
      <c r="DC48" s="85"/>
      <c r="DD48" s="85"/>
      <c r="DE48" s="85"/>
      <c r="DF48" s="85"/>
      <c r="DG48" s="85"/>
      <c r="DH48" s="85"/>
      <c r="DI48" s="85"/>
      <c r="DJ48" s="85"/>
      <c r="DK48" s="85"/>
      <c r="DL48" s="85"/>
      <c r="DM48" s="85"/>
      <c r="DN48" s="85"/>
      <c r="DO48" s="85"/>
      <c r="DP48" s="85"/>
      <c r="DQ48" s="85"/>
      <c r="DR48" s="85"/>
      <c r="DS48" s="85"/>
      <c r="DT48" s="85"/>
      <c r="DU48" s="85"/>
      <c r="DV48" s="85"/>
      <c r="DW48" s="85"/>
      <c r="DX48" s="85"/>
      <c r="DY48" s="85"/>
      <c r="DZ48" s="85"/>
    </row>
    <row r="49" spans="1:130">
      <c r="A49" s="91"/>
      <c r="B49" s="91"/>
      <c r="C49" s="91"/>
      <c r="D49" s="91"/>
      <c r="E49" s="91"/>
      <c r="F49" s="91"/>
      <c r="G49" s="91"/>
      <c r="H49" s="91"/>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c r="CY49" s="85"/>
      <c r="CZ49" s="85"/>
      <c r="DA49" s="85"/>
      <c r="DB49" s="85"/>
      <c r="DC49" s="85"/>
      <c r="DD49" s="85"/>
      <c r="DE49" s="85"/>
      <c r="DF49" s="85"/>
      <c r="DG49" s="85"/>
      <c r="DH49" s="85"/>
      <c r="DI49" s="85"/>
      <c r="DJ49" s="85"/>
      <c r="DK49" s="85"/>
      <c r="DL49" s="85"/>
      <c r="DM49" s="85"/>
      <c r="DN49" s="85"/>
      <c r="DO49" s="85"/>
      <c r="DP49" s="85"/>
      <c r="DQ49" s="85"/>
      <c r="DR49" s="85"/>
      <c r="DS49" s="85"/>
      <c r="DT49" s="85"/>
      <c r="DU49" s="85"/>
      <c r="DV49" s="85"/>
      <c r="DW49" s="85"/>
      <c r="DX49" s="85"/>
      <c r="DY49" s="85"/>
      <c r="DZ49" s="85"/>
    </row>
    <row r="50" spans="1:130">
      <c r="A50" s="91"/>
      <c r="B50" s="91"/>
      <c r="C50" s="91"/>
      <c r="D50" s="91"/>
      <c r="E50" s="91"/>
      <c r="F50" s="91"/>
      <c r="G50" s="91"/>
      <c r="H50" s="91"/>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c r="CY50" s="85"/>
      <c r="CZ50" s="85"/>
      <c r="DA50" s="85"/>
      <c r="DB50" s="85"/>
      <c r="DC50" s="85"/>
      <c r="DD50" s="85"/>
      <c r="DE50" s="85"/>
      <c r="DF50" s="85"/>
      <c r="DG50" s="85"/>
      <c r="DH50" s="85"/>
      <c r="DI50" s="85"/>
      <c r="DJ50" s="85"/>
      <c r="DK50" s="85"/>
      <c r="DL50" s="85"/>
      <c r="DM50" s="85"/>
      <c r="DN50" s="85"/>
      <c r="DO50" s="85"/>
      <c r="DP50" s="85"/>
      <c r="DQ50" s="85"/>
      <c r="DR50" s="85"/>
      <c r="DS50" s="85"/>
      <c r="DT50" s="85"/>
      <c r="DU50" s="85"/>
      <c r="DV50" s="85"/>
      <c r="DW50" s="85"/>
      <c r="DX50" s="85"/>
      <c r="DY50" s="85"/>
      <c r="DZ50" s="85"/>
    </row>
    <row r="51" spans="1:130">
      <c r="A51" s="91"/>
      <c r="B51" s="91"/>
      <c r="C51" s="91"/>
      <c r="D51" s="91"/>
      <c r="E51" s="91"/>
      <c r="F51" s="91"/>
      <c r="G51" s="91"/>
      <c r="H51" s="91"/>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c r="CY51" s="85"/>
      <c r="CZ51" s="85"/>
      <c r="DA51" s="85"/>
      <c r="DB51" s="85"/>
      <c r="DC51" s="85"/>
      <c r="DD51" s="85"/>
      <c r="DE51" s="85"/>
      <c r="DF51" s="85"/>
      <c r="DG51" s="85"/>
      <c r="DH51" s="85"/>
      <c r="DI51" s="85"/>
      <c r="DJ51" s="85"/>
      <c r="DK51" s="85"/>
      <c r="DL51" s="85"/>
      <c r="DM51" s="85"/>
      <c r="DN51" s="85"/>
      <c r="DO51" s="85"/>
      <c r="DP51" s="85"/>
      <c r="DQ51" s="85"/>
      <c r="DR51" s="85"/>
      <c r="DS51" s="85"/>
      <c r="DT51" s="85"/>
      <c r="DU51" s="85"/>
      <c r="DV51" s="85"/>
      <c r="DW51" s="85"/>
      <c r="DX51" s="85"/>
      <c r="DY51" s="85"/>
      <c r="DZ51" s="85"/>
    </row>
    <row r="52" spans="1:130">
      <c r="A52" s="91"/>
      <c r="B52" s="91"/>
      <c r="C52" s="91"/>
      <c r="D52" s="91"/>
      <c r="E52" s="91"/>
      <c r="F52" s="91"/>
      <c r="G52" s="91"/>
      <c r="H52" s="91"/>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c r="CY52" s="85"/>
      <c r="CZ52" s="85"/>
      <c r="DA52" s="85"/>
      <c r="DB52" s="85"/>
      <c r="DC52" s="85"/>
      <c r="DD52" s="85"/>
      <c r="DE52" s="85"/>
      <c r="DF52" s="85"/>
      <c r="DG52" s="85"/>
      <c r="DH52" s="85"/>
      <c r="DI52" s="85"/>
      <c r="DJ52" s="85"/>
      <c r="DK52" s="85"/>
      <c r="DL52" s="85"/>
      <c r="DM52" s="85"/>
      <c r="DN52" s="85"/>
      <c r="DO52" s="85"/>
      <c r="DP52" s="85"/>
      <c r="DQ52" s="85"/>
      <c r="DR52" s="85"/>
      <c r="DS52" s="85"/>
      <c r="DT52" s="85"/>
      <c r="DU52" s="85"/>
      <c r="DV52" s="85"/>
      <c r="DW52" s="85"/>
      <c r="DX52" s="85"/>
      <c r="DY52" s="85"/>
      <c r="DZ52" s="85"/>
    </row>
    <row r="53" spans="1:130">
      <c r="A53" s="91"/>
      <c r="B53" s="91"/>
      <c r="C53" s="91"/>
      <c r="D53" s="91"/>
      <c r="E53" s="91"/>
      <c r="F53" s="91"/>
      <c r="G53" s="91"/>
      <c r="H53" s="91"/>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c r="CY53" s="85"/>
      <c r="CZ53" s="85"/>
      <c r="DA53" s="85"/>
      <c r="DB53" s="85"/>
      <c r="DC53" s="85"/>
      <c r="DD53" s="85"/>
      <c r="DE53" s="85"/>
      <c r="DF53" s="85"/>
      <c r="DG53" s="85"/>
      <c r="DH53" s="85"/>
      <c r="DI53" s="85"/>
      <c r="DJ53" s="85"/>
      <c r="DK53" s="85"/>
      <c r="DL53" s="85"/>
      <c r="DM53" s="85"/>
      <c r="DN53" s="85"/>
      <c r="DO53" s="85"/>
      <c r="DP53" s="85"/>
      <c r="DQ53" s="85"/>
      <c r="DR53" s="85"/>
      <c r="DS53" s="85"/>
      <c r="DT53" s="85"/>
      <c r="DU53" s="85"/>
      <c r="DV53" s="85"/>
      <c r="DW53" s="85"/>
      <c r="DX53" s="85"/>
      <c r="DY53" s="85"/>
      <c r="DZ53" s="85"/>
    </row>
    <row r="54" spans="1:130">
      <c r="A54" s="91"/>
      <c r="B54" s="91"/>
      <c r="C54" s="91"/>
      <c r="D54" s="91"/>
      <c r="E54" s="91"/>
      <c r="F54" s="91"/>
      <c r="G54" s="91"/>
      <c r="H54" s="91"/>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c r="CY54" s="85"/>
      <c r="CZ54" s="85"/>
      <c r="DA54" s="85"/>
      <c r="DB54" s="85"/>
      <c r="DC54" s="85"/>
      <c r="DD54" s="85"/>
      <c r="DE54" s="85"/>
      <c r="DF54" s="85"/>
      <c r="DG54" s="85"/>
      <c r="DH54" s="85"/>
      <c r="DI54" s="85"/>
      <c r="DJ54" s="85"/>
      <c r="DK54" s="85"/>
      <c r="DL54" s="85"/>
      <c r="DM54" s="85"/>
      <c r="DN54" s="85"/>
      <c r="DO54" s="85"/>
      <c r="DP54" s="85"/>
      <c r="DQ54" s="85"/>
      <c r="DR54" s="85"/>
      <c r="DS54" s="85"/>
      <c r="DT54" s="85"/>
      <c r="DU54" s="85"/>
      <c r="DV54" s="85"/>
      <c r="DW54" s="85"/>
      <c r="DX54" s="85"/>
      <c r="DY54" s="85"/>
      <c r="DZ54" s="85"/>
    </row>
    <row r="55" spans="1:130">
      <c r="A55" s="91"/>
      <c r="B55" s="91"/>
      <c r="C55" s="91"/>
      <c r="D55" s="91"/>
      <c r="E55" s="91"/>
      <c r="F55" s="91"/>
      <c r="G55" s="91"/>
      <c r="H55" s="91"/>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c r="CY55" s="85"/>
      <c r="CZ55" s="85"/>
      <c r="DA55" s="85"/>
      <c r="DB55" s="85"/>
      <c r="DC55" s="85"/>
      <c r="DD55" s="85"/>
      <c r="DE55" s="85"/>
      <c r="DF55" s="85"/>
      <c r="DG55" s="85"/>
      <c r="DH55" s="85"/>
      <c r="DI55" s="85"/>
      <c r="DJ55" s="85"/>
      <c r="DK55" s="85"/>
      <c r="DL55" s="85"/>
      <c r="DM55" s="85"/>
      <c r="DN55" s="85"/>
      <c r="DO55" s="85"/>
      <c r="DP55" s="85"/>
      <c r="DQ55" s="85"/>
      <c r="DR55" s="85"/>
      <c r="DS55" s="85"/>
      <c r="DT55" s="85"/>
      <c r="DU55" s="85"/>
      <c r="DV55" s="85"/>
      <c r="DW55" s="85"/>
      <c r="DX55" s="85"/>
      <c r="DY55" s="85"/>
      <c r="DZ55" s="85"/>
    </row>
    <row r="56" spans="1:130">
      <c r="A56" s="91"/>
      <c r="B56" s="91"/>
      <c r="C56" s="91"/>
      <c r="D56" s="91"/>
      <c r="E56" s="91"/>
      <c r="F56" s="91"/>
      <c r="G56" s="91"/>
      <c r="H56" s="91"/>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c r="CY56" s="85"/>
      <c r="CZ56" s="85"/>
      <c r="DA56" s="85"/>
      <c r="DB56" s="85"/>
      <c r="DC56" s="85"/>
      <c r="DD56" s="85"/>
      <c r="DE56" s="85"/>
      <c r="DF56" s="85"/>
      <c r="DG56" s="85"/>
      <c r="DH56" s="85"/>
      <c r="DI56" s="85"/>
      <c r="DJ56" s="85"/>
      <c r="DK56" s="85"/>
      <c r="DL56" s="85"/>
      <c r="DM56" s="85"/>
      <c r="DN56" s="85"/>
      <c r="DO56" s="85"/>
      <c r="DP56" s="85"/>
      <c r="DQ56" s="85"/>
      <c r="DR56" s="85"/>
      <c r="DS56" s="85"/>
      <c r="DT56" s="85"/>
      <c r="DU56" s="85"/>
      <c r="DV56" s="85"/>
      <c r="DW56" s="85"/>
      <c r="DX56" s="85"/>
      <c r="DY56" s="85"/>
      <c r="DZ56" s="85"/>
    </row>
    <row r="57" spans="1:130">
      <c r="A57" s="91"/>
      <c r="B57" s="91"/>
      <c r="C57" s="91"/>
      <c r="D57" s="91"/>
      <c r="E57" s="91"/>
      <c r="F57" s="91"/>
      <c r="G57" s="91"/>
      <c r="H57" s="91"/>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c r="CY57" s="85"/>
      <c r="CZ57" s="85"/>
      <c r="DA57" s="85"/>
      <c r="DB57" s="85"/>
      <c r="DC57" s="85"/>
      <c r="DD57" s="85"/>
      <c r="DE57" s="85"/>
      <c r="DF57" s="85"/>
      <c r="DG57" s="85"/>
      <c r="DH57" s="85"/>
      <c r="DI57" s="85"/>
      <c r="DJ57" s="85"/>
      <c r="DK57" s="85"/>
      <c r="DL57" s="85"/>
      <c r="DM57" s="85"/>
      <c r="DN57" s="85"/>
      <c r="DO57" s="85"/>
      <c r="DP57" s="85"/>
      <c r="DQ57" s="85"/>
      <c r="DR57" s="85"/>
      <c r="DS57" s="85"/>
      <c r="DT57" s="85"/>
      <c r="DU57" s="85"/>
      <c r="DV57" s="85"/>
      <c r="DW57" s="85"/>
      <c r="DX57" s="85"/>
      <c r="DY57" s="85"/>
      <c r="DZ57" s="85"/>
    </row>
    <row r="58" spans="1:130">
      <c r="A58" s="91"/>
      <c r="B58" s="91"/>
      <c r="C58" s="91"/>
      <c r="D58" s="91"/>
      <c r="E58" s="91"/>
      <c r="F58" s="91"/>
      <c r="G58" s="91"/>
      <c r="H58" s="91"/>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c r="CY58" s="85"/>
      <c r="CZ58" s="85"/>
      <c r="DA58" s="85"/>
      <c r="DB58" s="85"/>
      <c r="DC58" s="85"/>
      <c r="DD58" s="85"/>
      <c r="DE58" s="85"/>
      <c r="DF58" s="85"/>
      <c r="DG58" s="85"/>
      <c r="DH58" s="85"/>
      <c r="DI58" s="85"/>
      <c r="DJ58" s="85"/>
      <c r="DK58" s="85"/>
      <c r="DL58" s="85"/>
      <c r="DM58" s="85"/>
      <c r="DN58" s="85"/>
      <c r="DO58" s="85"/>
      <c r="DP58" s="85"/>
      <c r="DQ58" s="85"/>
      <c r="DR58" s="85"/>
      <c r="DS58" s="85"/>
      <c r="DT58" s="85"/>
      <c r="DU58" s="85"/>
      <c r="DV58" s="85"/>
      <c r="DW58" s="85"/>
      <c r="DX58" s="85"/>
      <c r="DY58" s="85"/>
      <c r="DZ58" s="85"/>
    </row>
    <row r="59" spans="1:130">
      <c r="A59" s="91"/>
      <c r="B59" s="91"/>
      <c r="C59" s="91"/>
      <c r="D59" s="91"/>
      <c r="E59" s="91"/>
      <c r="F59" s="91"/>
      <c r="G59" s="91"/>
      <c r="H59" s="91"/>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c r="CY59" s="85"/>
      <c r="CZ59" s="85"/>
      <c r="DA59" s="85"/>
      <c r="DB59" s="85"/>
      <c r="DC59" s="85"/>
      <c r="DD59" s="85"/>
      <c r="DE59" s="85"/>
      <c r="DF59" s="85"/>
      <c r="DG59" s="85"/>
      <c r="DH59" s="85"/>
      <c r="DI59" s="85"/>
      <c r="DJ59" s="85"/>
      <c r="DK59" s="85"/>
      <c r="DL59" s="85"/>
      <c r="DM59" s="85"/>
      <c r="DN59" s="85"/>
      <c r="DO59" s="85"/>
      <c r="DP59" s="85"/>
      <c r="DQ59" s="85"/>
      <c r="DR59" s="85"/>
      <c r="DS59" s="85"/>
      <c r="DT59" s="85"/>
      <c r="DU59" s="85"/>
      <c r="DV59" s="85"/>
      <c r="DW59" s="85"/>
      <c r="DX59" s="85"/>
      <c r="DY59" s="85"/>
      <c r="DZ59" s="85"/>
    </row>
    <row r="60" spans="1:130">
      <c r="A60" s="91"/>
      <c r="B60" s="91"/>
      <c r="C60" s="91"/>
      <c r="D60" s="91"/>
      <c r="E60" s="91"/>
      <c r="F60" s="91"/>
      <c r="G60" s="91"/>
      <c r="H60" s="91"/>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c r="CY60" s="85"/>
      <c r="CZ60" s="85"/>
      <c r="DA60" s="85"/>
      <c r="DB60" s="85"/>
      <c r="DC60" s="85"/>
      <c r="DD60" s="85"/>
      <c r="DE60" s="85"/>
      <c r="DF60" s="85"/>
      <c r="DG60" s="85"/>
      <c r="DH60" s="85"/>
      <c r="DI60" s="85"/>
      <c r="DJ60" s="85"/>
      <c r="DK60" s="85"/>
      <c r="DL60" s="85"/>
      <c r="DM60" s="85"/>
      <c r="DN60" s="85"/>
      <c r="DO60" s="85"/>
      <c r="DP60" s="85"/>
      <c r="DQ60" s="85"/>
      <c r="DR60" s="85"/>
      <c r="DS60" s="85"/>
      <c r="DT60" s="85"/>
      <c r="DU60" s="85"/>
      <c r="DV60" s="85"/>
      <c r="DW60" s="85"/>
      <c r="DX60" s="85"/>
      <c r="DY60" s="85"/>
      <c r="DZ60" s="85"/>
    </row>
    <row r="61" spans="1:130">
      <c r="A61" s="91"/>
      <c r="B61" s="91"/>
      <c r="C61" s="91"/>
      <c r="D61" s="91"/>
      <c r="E61" s="91"/>
      <c r="F61" s="91"/>
      <c r="G61" s="91"/>
      <c r="H61" s="91"/>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c r="CY61" s="85"/>
      <c r="CZ61" s="85"/>
      <c r="DA61" s="85"/>
      <c r="DB61" s="85"/>
      <c r="DC61" s="85"/>
      <c r="DD61" s="85"/>
      <c r="DE61" s="85"/>
      <c r="DF61" s="85"/>
      <c r="DG61" s="85"/>
      <c r="DH61" s="85"/>
      <c r="DI61" s="85"/>
      <c r="DJ61" s="85"/>
      <c r="DK61" s="85"/>
      <c r="DL61" s="85"/>
      <c r="DM61" s="85"/>
      <c r="DN61" s="85"/>
      <c r="DO61" s="85"/>
      <c r="DP61" s="85"/>
      <c r="DQ61" s="85"/>
      <c r="DR61" s="85"/>
      <c r="DS61" s="85"/>
      <c r="DT61" s="85"/>
      <c r="DU61" s="85"/>
      <c r="DV61" s="85"/>
      <c r="DW61" s="85"/>
      <c r="DX61" s="85"/>
      <c r="DY61" s="85"/>
      <c r="DZ61" s="85"/>
    </row>
    <row r="62" spans="1:130">
      <c r="A62" s="91"/>
      <c r="B62" s="91"/>
      <c r="C62" s="91"/>
      <c r="D62" s="91"/>
      <c r="E62" s="91"/>
      <c r="F62" s="91"/>
      <c r="G62" s="91"/>
      <c r="H62" s="91"/>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85"/>
      <c r="CM62" s="85"/>
      <c r="CN62" s="85"/>
      <c r="CO62" s="85"/>
      <c r="CP62" s="85"/>
      <c r="CQ62" s="85"/>
      <c r="CR62" s="85"/>
      <c r="CS62" s="85"/>
      <c r="CT62" s="85"/>
      <c r="CU62" s="85"/>
      <c r="CV62" s="85"/>
      <c r="CW62" s="85"/>
      <c r="CX62" s="85"/>
      <c r="CY62" s="85"/>
      <c r="CZ62" s="85"/>
      <c r="DA62" s="85"/>
      <c r="DB62" s="85"/>
      <c r="DC62" s="85"/>
      <c r="DD62" s="85"/>
      <c r="DE62" s="85"/>
      <c r="DF62" s="85"/>
      <c r="DG62" s="85"/>
      <c r="DH62" s="85"/>
      <c r="DI62" s="85"/>
      <c r="DJ62" s="85"/>
      <c r="DK62" s="85"/>
      <c r="DL62" s="85"/>
      <c r="DM62" s="85"/>
      <c r="DN62" s="85"/>
      <c r="DO62" s="85"/>
      <c r="DP62" s="85"/>
      <c r="DQ62" s="85"/>
      <c r="DR62" s="85"/>
      <c r="DS62" s="85"/>
      <c r="DT62" s="85"/>
      <c r="DU62" s="85"/>
      <c r="DV62" s="85"/>
      <c r="DW62" s="85"/>
      <c r="DX62" s="85"/>
      <c r="DY62" s="85"/>
      <c r="DZ62" s="85"/>
    </row>
    <row r="63" spans="1:130">
      <c r="A63" s="91"/>
      <c r="B63" s="91"/>
      <c r="C63" s="91"/>
      <c r="D63" s="91"/>
      <c r="E63" s="91"/>
      <c r="F63" s="91"/>
      <c r="G63" s="91"/>
      <c r="H63" s="91"/>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c r="CY63" s="85"/>
      <c r="CZ63" s="85"/>
      <c r="DA63" s="85"/>
      <c r="DB63" s="85"/>
      <c r="DC63" s="85"/>
      <c r="DD63" s="85"/>
      <c r="DE63" s="85"/>
      <c r="DF63" s="85"/>
      <c r="DG63" s="85"/>
      <c r="DH63" s="85"/>
      <c r="DI63" s="85"/>
      <c r="DJ63" s="85"/>
      <c r="DK63" s="85"/>
      <c r="DL63" s="85"/>
      <c r="DM63" s="85"/>
      <c r="DN63" s="85"/>
      <c r="DO63" s="85"/>
      <c r="DP63" s="85"/>
      <c r="DQ63" s="85"/>
      <c r="DR63" s="85"/>
      <c r="DS63" s="85"/>
      <c r="DT63" s="85"/>
      <c r="DU63" s="85"/>
      <c r="DV63" s="85"/>
      <c r="DW63" s="85"/>
      <c r="DX63" s="85"/>
      <c r="DY63" s="85"/>
      <c r="DZ63" s="85"/>
    </row>
    <row r="64" spans="1:130">
      <c r="A64" s="91"/>
      <c r="B64" s="91"/>
      <c r="C64" s="91"/>
      <c r="D64" s="91"/>
      <c r="E64" s="91"/>
      <c r="F64" s="91"/>
      <c r="G64" s="91"/>
      <c r="H64" s="91"/>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c r="BF64" s="85"/>
      <c r="BG64" s="85"/>
      <c r="BH64" s="85"/>
      <c r="BI64" s="85"/>
      <c r="BJ64" s="85"/>
      <c r="BK64" s="85"/>
      <c r="BL64" s="85"/>
      <c r="BM64" s="85"/>
      <c r="BN64" s="85"/>
      <c r="BO64" s="85"/>
      <c r="BP64" s="85"/>
      <c r="BQ64" s="85"/>
      <c r="BR64" s="85"/>
      <c r="BS64" s="85"/>
      <c r="BT64" s="85"/>
      <c r="BU64" s="85"/>
      <c r="BV64" s="85"/>
      <c r="BW64" s="85"/>
      <c r="BX64" s="85"/>
      <c r="BY64" s="85"/>
      <c r="BZ64" s="85"/>
      <c r="CA64" s="85"/>
      <c r="CB64" s="85"/>
      <c r="CC64" s="85"/>
      <c r="CD64" s="85"/>
      <c r="CE64" s="85"/>
      <c r="CF64" s="85"/>
      <c r="CG64" s="85"/>
      <c r="CH64" s="85"/>
      <c r="CI64" s="85"/>
      <c r="CJ64" s="85"/>
      <c r="CK64" s="85"/>
      <c r="CL64" s="85"/>
      <c r="CM64" s="85"/>
      <c r="CN64" s="85"/>
      <c r="CO64" s="85"/>
      <c r="CP64" s="85"/>
      <c r="CQ64" s="85"/>
      <c r="CR64" s="85"/>
      <c r="CS64" s="85"/>
      <c r="CT64" s="85"/>
      <c r="CU64" s="85"/>
      <c r="CV64" s="85"/>
      <c r="CW64" s="85"/>
      <c r="CX64" s="85"/>
      <c r="CY64" s="85"/>
      <c r="CZ64" s="85"/>
      <c r="DA64" s="85"/>
      <c r="DB64" s="85"/>
      <c r="DC64" s="85"/>
      <c r="DD64" s="85"/>
      <c r="DE64" s="85"/>
      <c r="DF64" s="85"/>
      <c r="DG64" s="85"/>
      <c r="DH64" s="85"/>
      <c r="DI64" s="85"/>
      <c r="DJ64" s="85"/>
      <c r="DK64" s="85"/>
      <c r="DL64" s="85"/>
      <c r="DM64" s="85"/>
      <c r="DN64" s="85"/>
      <c r="DO64" s="85"/>
      <c r="DP64" s="85"/>
      <c r="DQ64" s="85"/>
      <c r="DR64" s="85"/>
      <c r="DS64" s="85"/>
      <c r="DT64" s="85"/>
      <c r="DU64" s="85"/>
      <c r="DV64" s="85"/>
      <c r="DW64" s="85"/>
      <c r="DX64" s="85"/>
      <c r="DY64" s="85"/>
      <c r="DZ64" s="85"/>
    </row>
    <row r="65" spans="1:130">
      <c r="A65" s="91"/>
      <c r="B65" s="91"/>
      <c r="C65" s="91"/>
      <c r="D65" s="91"/>
      <c r="E65" s="91"/>
      <c r="F65" s="91"/>
      <c r="G65" s="91"/>
      <c r="H65" s="91"/>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c r="BO65" s="85"/>
      <c r="BP65" s="85"/>
      <c r="BQ65" s="85"/>
      <c r="BR65" s="85"/>
      <c r="BS65" s="85"/>
      <c r="BT65" s="85"/>
      <c r="BU65" s="85"/>
      <c r="BV65" s="85"/>
      <c r="BW65" s="85"/>
      <c r="BX65" s="85"/>
      <c r="BY65" s="85"/>
      <c r="BZ65" s="85"/>
      <c r="CA65" s="85"/>
      <c r="CB65" s="85"/>
      <c r="CC65" s="85"/>
      <c r="CD65" s="85"/>
      <c r="CE65" s="85"/>
      <c r="CF65" s="85"/>
      <c r="CG65" s="85"/>
      <c r="CH65" s="85"/>
      <c r="CI65" s="85"/>
      <c r="CJ65" s="85"/>
      <c r="CK65" s="85"/>
      <c r="CL65" s="85"/>
      <c r="CM65" s="85"/>
      <c r="CN65" s="85"/>
      <c r="CO65" s="85"/>
      <c r="CP65" s="85"/>
      <c r="CQ65" s="85"/>
      <c r="CR65" s="85"/>
      <c r="CS65" s="85"/>
      <c r="CT65" s="85"/>
      <c r="CU65" s="85"/>
      <c r="CV65" s="85"/>
      <c r="CW65" s="85"/>
      <c r="CX65" s="85"/>
      <c r="CY65" s="85"/>
      <c r="CZ65" s="85"/>
      <c r="DA65" s="85"/>
      <c r="DB65" s="85"/>
      <c r="DC65" s="85"/>
      <c r="DD65" s="85"/>
      <c r="DE65" s="85"/>
      <c r="DF65" s="85"/>
      <c r="DG65" s="85"/>
      <c r="DH65" s="85"/>
      <c r="DI65" s="85"/>
      <c r="DJ65" s="85"/>
      <c r="DK65" s="85"/>
      <c r="DL65" s="85"/>
      <c r="DM65" s="85"/>
      <c r="DN65" s="85"/>
      <c r="DO65" s="85"/>
      <c r="DP65" s="85"/>
      <c r="DQ65" s="85"/>
      <c r="DR65" s="85"/>
      <c r="DS65" s="85"/>
      <c r="DT65" s="85"/>
      <c r="DU65" s="85"/>
      <c r="DV65" s="85"/>
      <c r="DW65" s="85"/>
      <c r="DX65" s="85"/>
      <c r="DY65" s="85"/>
      <c r="DZ65" s="85"/>
    </row>
    <row r="66" spans="1:130">
      <c r="A66" s="91"/>
      <c r="B66" s="91"/>
      <c r="C66" s="91"/>
      <c r="D66" s="91"/>
      <c r="E66" s="91"/>
      <c r="F66" s="91"/>
      <c r="G66" s="91"/>
      <c r="H66" s="91"/>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c r="BO66" s="85"/>
      <c r="BP66" s="85"/>
      <c r="BQ66" s="85"/>
      <c r="BR66" s="85"/>
      <c r="BS66" s="85"/>
      <c r="BT66" s="85"/>
      <c r="BU66" s="85"/>
      <c r="BV66" s="85"/>
      <c r="BW66" s="85"/>
      <c r="BX66" s="85"/>
      <c r="BY66" s="85"/>
      <c r="BZ66" s="85"/>
      <c r="CA66" s="85"/>
      <c r="CB66" s="85"/>
      <c r="CC66" s="85"/>
      <c r="CD66" s="85"/>
      <c r="CE66" s="85"/>
      <c r="CF66" s="85"/>
      <c r="CG66" s="85"/>
      <c r="CH66" s="85"/>
      <c r="CI66" s="85"/>
      <c r="CJ66" s="85"/>
      <c r="CK66" s="85"/>
      <c r="CL66" s="85"/>
      <c r="CM66" s="85"/>
      <c r="CN66" s="85"/>
      <c r="CO66" s="85"/>
      <c r="CP66" s="85"/>
      <c r="CQ66" s="85"/>
      <c r="CR66" s="85"/>
      <c r="CS66" s="85"/>
      <c r="CT66" s="85"/>
      <c r="CU66" s="85"/>
      <c r="CV66" s="85"/>
      <c r="CW66" s="85"/>
      <c r="CX66" s="85"/>
      <c r="CY66" s="85"/>
      <c r="CZ66" s="85"/>
      <c r="DA66" s="85"/>
      <c r="DB66" s="85"/>
      <c r="DC66" s="85"/>
      <c r="DD66" s="85"/>
      <c r="DE66" s="85"/>
      <c r="DF66" s="85"/>
      <c r="DG66" s="85"/>
      <c r="DH66" s="85"/>
      <c r="DI66" s="85"/>
      <c r="DJ66" s="85"/>
      <c r="DK66" s="85"/>
      <c r="DL66" s="85"/>
      <c r="DM66" s="85"/>
      <c r="DN66" s="85"/>
      <c r="DO66" s="85"/>
      <c r="DP66" s="85"/>
      <c r="DQ66" s="85"/>
      <c r="DR66" s="85"/>
      <c r="DS66" s="85"/>
      <c r="DT66" s="85"/>
      <c r="DU66" s="85"/>
      <c r="DV66" s="85"/>
      <c r="DW66" s="85"/>
      <c r="DX66" s="85"/>
      <c r="DY66" s="85"/>
      <c r="DZ66" s="85"/>
    </row>
    <row r="67" spans="1:130">
      <c r="A67" s="91"/>
      <c r="B67" s="91"/>
      <c r="C67" s="91"/>
      <c r="D67" s="91"/>
      <c r="E67" s="91"/>
      <c r="F67" s="91"/>
      <c r="G67" s="91"/>
      <c r="H67" s="91"/>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c r="BP67" s="85"/>
      <c r="BQ67" s="85"/>
      <c r="BR67" s="85"/>
      <c r="BS67" s="85"/>
      <c r="BT67" s="85"/>
      <c r="BU67" s="85"/>
      <c r="BV67" s="85"/>
      <c r="BW67" s="85"/>
      <c r="BX67" s="85"/>
      <c r="BY67" s="85"/>
      <c r="BZ67" s="85"/>
      <c r="CA67" s="85"/>
      <c r="CB67" s="85"/>
      <c r="CC67" s="85"/>
      <c r="CD67" s="85"/>
      <c r="CE67" s="85"/>
      <c r="CF67" s="85"/>
      <c r="CG67" s="85"/>
      <c r="CH67" s="85"/>
      <c r="CI67" s="85"/>
      <c r="CJ67" s="85"/>
      <c r="CK67" s="85"/>
      <c r="CL67" s="85"/>
      <c r="CM67" s="85"/>
      <c r="CN67" s="85"/>
      <c r="CO67" s="85"/>
      <c r="CP67" s="85"/>
      <c r="CQ67" s="85"/>
      <c r="CR67" s="85"/>
      <c r="CS67" s="85"/>
      <c r="CT67" s="85"/>
      <c r="CU67" s="85"/>
      <c r="CV67" s="85"/>
      <c r="CW67" s="85"/>
      <c r="CX67" s="85"/>
      <c r="CY67" s="85"/>
      <c r="CZ67" s="85"/>
      <c r="DA67" s="85"/>
      <c r="DB67" s="85"/>
      <c r="DC67" s="85"/>
      <c r="DD67" s="85"/>
      <c r="DE67" s="85"/>
      <c r="DF67" s="85"/>
      <c r="DG67" s="85"/>
      <c r="DH67" s="85"/>
      <c r="DI67" s="85"/>
      <c r="DJ67" s="85"/>
      <c r="DK67" s="85"/>
      <c r="DL67" s="85"/>
      <c r="DM67" s="85"/>
      <c r="DN67" s="85"/>
      <c r="DO67" s="85"/>
      <c r="DP67" s="85"/>
      <c r="DQ67" s="85"/>
      <c r="DR67" s="85"/>
      <c r="DS67" s="85"/>
      <c r="DT67" s="85"/>
      <c r="DU67" s="85"/>
      <c r="DV67" s="85"/>
      <c r="DW67" s="85"/>
      <c r="DX67" s="85"/>
      <c r="DY67" s="85"/>
      <c r="DZ67" s="85"/>
    </row>
    <row r="68" spans="1:130">
      <c r="A68" s="91"/>
      <c r="B68" s="91"/>
      <c r="C68" s="91"/>
      <c r="D68" s="91"/>
      <c r="E68" s="91"/>
      <c r="F68" s="91"/>
      <c r="G68" s="91"/>
      <c r="H68" s="91"/>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85"/>
      <c r="CM68" s="85"/>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85"/>
      <c r="DO68" s="85"/>
      <c r="DP68" s="85"/>
      <c r="DQ68" s="85"/>
      <c r="DR68" s="85"/>
      <c r="DS68" s="85"/>
      <c r="DT68" s="85"/>
      <c r="DU68" s="85"/>
      <c r="DV68" s="85"/>
      <c r="DW68" s="85"/>
      <c r="DX68" s="85"/>
      <c r="DY68" s="85"/>
      <c r="DZ68" s="85"/>
    </row>
    <row r="69" spans="1:130">
      <c r="A69" s="91"/>
      <c r="B69" s="91"/>
      <c r="C69" s="91"/>
      <c r="D69" s="91"/>
      <c r="E69" s="91"/>
      <c r="F69" s="91"/>
      <c r="G69" s="91"/>
      <c r="H69" s="91"/>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85"/>
      <c r="CM69" s="85"/>
      <c r="CN69" s="85"/>
      <c r="CO69" s="85"/>
      <c r="CP69" s="85"/>
      <c r="CQ69" s="85"/>
      <c r="CR69" s="85"/>
      <c r="CS69" s="85"/>
      <c r="CT69" s="85"/>
      <c r="CU69" s="85"/>
      <c r="CV69" s="85"/>
      <c r="CW69" s="85"/>
      <c r="CX69" s="85"/>
      <c r="CY69" s="85"/>
      <c r="CZ69" s="85"/>
      <c r="DA69" s="85"/>
      <c r="DB69" s="85"/>
      <c r="DC69" s="85"/>
      <c r="DD69" s="85"/>
      <c r="DE69" s="85"/>
      <c r="DF69" s="85"/>
      <c r="DG69" s="85"/>
      <c r="DH69" s="85"/>
      <c r="DI69" s="85"/>
      <c r="DJ69" s="85"/>
      <c r="DK69" s="85"/>
      <c r="DL69" s="85"/>
      <c r="DM69" s="85"/>
      <c r="DN69" s="85"/>
      <c r="DO69" s="85"/>
      <c r="DP69" s="85"/>
      <c r="DQ69" s="85"/>
      <c r="DR69" s="85"/>
      <c r="DS69" s="85"/>
      <c r="DT69" s="85"/>
      <c r="DU69" s="85"/>
      <c r="DV69" s="85"/>
      <c r="DW69" s="85"/>
      <c r="DX69" s="85"/>
      <c r="DY69" s="85"/>
      <c r="DZ69" s="85"/>
    </row>
    <row r="70" spans="1:130">
      <c r="A70" s="91"/>
      <c r="B70" s="91"/>
      <c r="C70" s="91"/>
      <c r="D70" s="91"/>
      <c r="E70" s="91"/>
      <c r="F70" s="91"/>
      <c r="G70" s="91"/>
      <c r="H70" s="91"/>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c r="BO70" s="85"/>
      <c r="BP70" s="85"/>
      <c r="BQ70" s="85"/>
      <c r="BR70" s="85"/>
      <c r="BS70" s="85"/>
      <c r="BT70" s="85"/>
      <c r="BU70" s="85"/>
      <c r="BV70" s="85"/>
      <c r="BW70" s="85"/>
      <c r="BX70" s="85"/>
      <c r="BY70" s="85"/>
      <c r="BZ70" s="85"/>
      <c r="CA70" s="85"/>
      <c r="CB70" s="85"/>
      <c r="CC70" s="85"/>
      <c r="CD70" s="85"/>
      <c r="CE70" s="85"/>
      <c r="CF70" s="85"/>
      <c r="CG70" s="85"/>
      <c r="CH70" s="85"/>
      <c r="CI70" s="85"/>
      <c r="CJ70" s="85"/>
      <c r="CK70" s="85"/>
      <c r="CL70" s="85"/>
      <c r="CM70" s="85"/>
      <c r="CN70" s="85"/>
      <c r="CO70" s="85"/>
      <c r="CP70" s="85"/>
      <c r="CQ70" s="85"/>
      <c r="CR70" s="85"/>
      <c r="CS70" s="85"/>
      <c r="CT70" s="85"/>
      <c r="CU70" s="85"/>
      <c r="CV70" s="85"/>
      <c r="CW70" s="85"/>
      <c r="CX70" s="85"/>
      <c r="CY70" s="85"/>
      <c r="CZ70" s="85"/>
      <c r="DA70" s="85"/>
      <c r="DB70" s="85"/>
      <c r="DC70" s="85"/>
      <c r="DD70" s="85"/>
      <c r="DE70" s="85"/>
      <c r="DF70" s="85"/>
      <c r="DG70" s="85"/>
      <c r="DH70" s="85"/>
      <c r="DI70" s="85"/>
      <c r="DJ70" s="85"/>
      <c r="DK70" s="85"/>
      <c r="DL70" s="85"/>
      <c r="DM70" s="85"/>
      <c r="DN70" s="85"/>
      <c r="DO70" s="85"/>
      <c r="DP70" s="85"/>
      <c r="DQ70" s="85"/>
      <c r="DR70" s="85"/>
      <c r="DS70" s="85"/>
      <c r="DT70" s="85"/>
      <c r="DU70" s="85"/>
      <c r="DV70" s="85"/>
      <c r="DW70" s="85"/>
      <c r="DX70" s="85"/>
      <c r="DY70" s="85"/>
      <c r="DZ70" s="85"/>
    </row>
    <row r="71" spans="1:130">
      <c r="A71" s="91"/>
      <c r="B71" s="91"/>
      <c r="C71" s="91"/>
      <c r="D71" s="91"/>
      <c r="E71" s="91"/>
      <c r="F71" s="91"/>
      <c r="G71" s="91"/>
      <c r="H71" s="91"/>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c r="BO71" s="85"/>
      <c r="BP71" s="85"/>
      <c r="BQ71" s="85"/>
      <c r="BR71" s="85"/>
      <c r="BS71" s="85"/>
      <c r="BT71" s="85"/>
      <c r="BU71" s="85"/>
      <c r="BV71" s="85"/>
      <c r="BW71" s="85"/>
      <c r="BX71" s="85"/>
      <c r="BY71" s="85"/>
      <c r="BZ71" s="85"/>
      <c r="CA71" s="85"/>
      <c r="CB71" s="85"/>
      <c r="CC71" s="85"/>
      <c r="CD71" s="85"/>
      <c r="CE71" s="85"/>
      <c r="CF71" s="85"/>
      <c r="CG71" s="85"/>
      <c r="CH71" s="85"/>
      <c r="CI71" s="85"/>
      <c r="CJ71" s="85"/>
      <c r="CK71" s="85"/>
      <c r="CL71" s="85"/>
      <c r="CM71" s="85"/>
      <c r="CN71" s="85"/>
      <c r="CO71" s="85"/>
      <c r="CP71" s="85"/>
      <c r="CQ71" s="85"/>
      <c r="CR71" s="85"/>
      <c r="CS71" s="85"/>
      <c r="CT71" s="85"/>
      <c r="CU71" s="85"/>
      <c r="CV71" s="85"/>
      <c r="CW71" s="85"/>
      <c r="CX71" s="85"/>
      <c r="CY71" s="85"/>
      <c r="CZ71" s="85"/>
      <c r="DA71" s="85"/>
      <c r="DB71" s="85"/>
      <c r="DC71" s="85"/>
      <c r="DD71" s="85"/>
      <c r="DE71" s="85"/>
      <c r="DF71" s="85"/>
      <c r="DG71" s="85"/>
      <c r="DH71" s="85"/>
      <c r="DI71" s="85"/>
      <c r="DJ71" s="85"/>
      <c r="DK71" s="85"/>
      <c r="DL71" s="85"/>
      <c r="DM71" s="85"/>
      <c r="DN71" s="85"/>
      <c r="DO71" s="85"/>
      <c r="DP71" s="85"/>
      <c r="DQ71" s="85"/>
      <c r="DR71" s="85"/>
      <c r="DS71" s="85"/>
      <c r="DT71" s="85"/>
      <c r="DU71" s="85"/>
      <c r="DV71" s="85"/>
      <c r="DW71" s="85"/>
      <c r="DX71" s="85"/>
      <c r="DY71" s="85"/>
      <c r="DZ71" s="85"/>
    </row>
    <row r="72" spans="1:130">
      <c r="A72" s="91"/>
      <c r="B72" s="91"/>
      <c r="C72" s="91"/>
      <c r="D72" s="91"/>
      <c r="E72" s="91"/>
      <c r="F72" s="91"/>
      <c r="G72" s="91"/>
      <c r="H72" s="91"/>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85"/>
      <c r="BK72" s="85"/>
      <c r="BL72" s="85"/>
      <c r="BM72" s="85"/>
      <c r="BN72" s="85"/>
      <c r="BO72" s="85"/>
      <c r="BP72" s="85"/>
      <c r="BQ72" s="85"/>
      <c r="BR72" s="85"/>
      <c r="BS72" s="85"/>
      <c r="BT72" s="85"/>
      <c r="BU72" s="85"/>
      <c r="BV72" s="85"/>
      <c r="BW72" s="85"/>
      <c r="BX72" s="85"/>
      <c r="BY72" s="85"/>
      <c r="BZ72" s="85"/>
      <c r="CA72" s="85"/>
      <c r="CB72" s="85"/>
      <c r="CC72" s="85"/>
      <c r="CD72" s="85"/>
      <c r="CE72" s="85"/>
      <c r="CF72" s="85"/>
      <c r="CG72" s="85"/>
      <c r="CH72" s="85"/>
      <c r="CI72" s="85"/>
      <c r="CJ72" s="85"/>
      <c r="CK72" s="85"/>
      <c r="CL72" s="85"/>
      <c r="CM72" s="85"/>
      <c r="CN72" s="85"/>
      <c r="CO72" s="85"/>
      <c r="CP72" s="85"/>
      <c r="CQ72" s="85"/>
      <c r="CR72" s="85"/>
      <c r="CS72" s="85"/>
      <c r="CT72" s="85"/>
      <c r="CU72" s="85"/>
      <c r="CV72" s="85"/>
      <c r="CW72" s="85"/>
      <c r="CX72" s="85"/>
      <c r="CY72" s="85"/>
      <c r="CZ72" s="85"/>
      <c r="DA72" s="85"/>
      <c r="DB72" s="85"/>
      <c r="DC72" s="85"/>
      <c r="DD72" s="85"/>
      <c r="DE72" s="85"/>
      <c r="DF72" s="85"/>
      <c r="DG72" s="85"/>
      <c r="DH72" s="85"/>
      <c r="DI72" s="85"/>
      <c r="DJ72" s="85"/>
      <c r="DK72" s="85"/>
      <c r="DL72" s="85"/>
      <c r="DM72" s="85"/>
      <c r="DN72" s="85"/>
      <c r="DO72" s="85"/>
      <c r="DP72" s="85"/>
      <c r="DQ72" s="85"/>
      <c r="DR72" s="85"/>
      <c r="DS72" s="85"/>
      <c r="DT72" s="85"/>
      <c r="DU72" s="85"/>
      <c r="DV72" s="85"/>
      <c r="DW72" s="85"/>
      <c r="DX72" s="85"/>
      <c r="DY72" s="85"/>
      <c r="DZ72" s="85"/>
    </row>
    <row r="73" spans="1:130">
      <c r="A73" s="91"/>
      <c r="B73" s="91"/>
      <c r="C73" s="91"/>
      <c r="D73" s="91"/>
      <c r="E73" s="91"/>
      <c r="F73" s="91"/>
      <c r="G73" s="91"/>
      <c r="H73" s="91"/>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c r="BO73" s="85"/>
      <c r="BP73" s="85"/>
      <c r="BQ73" s="85"/>
      <c r="BR73" s="85"/>
      <c r="BS73" s="85"/>
      <c r="BT73" s="85"/>
      <c r="BU73" s="85"/>
      <c r="BV73" s="85"/>
      <c r="BW73" s="85"/>
      <c r="BX73" s="85"/>
      <c r="BY73" s="85"/>
      <c r="BZ73" s="85"/>
      <c r="CA73" s="85"/>
      <c r="CB73" s="85"/>
      <c r="CC73" s="85"/>
      <c r="CD73" s="85"/>
      <c r="CE73" s="85"/>
      <c r="CF73" s="85"/>
      <c r="CG73" s="85"/>
      <c r="CH73" s="85"/>
      <c r="CI73" s="85"/>
      <c r="CJ73" s="85"/>
      <c r="CK73" s="85"/>
      <c r="CL73" s="85"/>
      <c r="CM73" s="85"/>
      <c r="CN73" s="85"/>
      <c r="CO73" s="85"/>
      <c r="CP73" s="85"/>
      <c r="CQ73" s="85"/>
      <c r="CR73" s="85"/>
      <c r="CS73" s="85"/>
      <c r="CT73" s="85"/>
      <c r="CU73" s="85"/>
      <c r="CV73" s="85"/>
      <c r="CW73" s="85"/>
      <c r="CX73" s="85"/>
      <c r="CY73" s="85"/>
      <c r="CZ73" s="85"/>
      <c r="DA73" s="85"/>
      <c r="DB73" s="85"/>
      <c r="DC73" s="85"/>
      <c r="DD73" s="85"/>
      <c r="DE73" s="85"/>
      <c r="DF73" s="85"/>
      <c r="DG73" s="85"/>
      <c r="DH73" s="85"/>
      <c r="DI73" s="85"/>
      <c r="DJ73" s="85"/>
      <c r="DK73" s="85"/>
      <c r="DL73" s="85"/>
      <c r="DM73" s="85"/>
      <c r="DN73" s="85"/>
      <c r="DO73" s="85"/>
      <c r="DP73" s="85"/>
      <c r="DQ73" s="85"/>
      <c r="DR73" s="85"/>
      <c r="DS73" s="85"/>
      <c r="DT73" s="85"/>
      <c r="DU73" s="85"/>
      <c r="DV73" s="85"/>
      <c r="DW73" s="85"/>
      <c r="DX73" s="85"/>
      <c r="DY73" s="85"/>
      <c r="DZ73" s="85"/>
    </row>
    <row r="74" spans="1:130">
      <c r="A74" s="91"/>
      <c r="B74" s="91"/>
      <c r="C74" s="91"/>
      <c r="D74" s="91"/>
      <c r="E74" s="91"/>
      <c r="F74" s="91"/>
      <c r="G74" s="91"/>
      <c r="H74" s="91"/>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85"/>
      <c r="BO74" s="85"/>
      <c r="BP74" s="85"/>
      <c r="BQ74" s="85"/>
      <c r="BR74" s="85"/>
      <c r="BS74" s="85"/>
      <c r="BT74" s="85"/>
      <c r="BU74" s="85"/>
      <c r="BV74" s="85"/>
      <c r="BW74" s="85"/>
      <c r="BX74" s="85"/>
      <c r="BY74" s="85"/>
      <c r="BZ74" s="85"/>
      <c r="CA74" s="85"/>
      <c r="CB74" s="85"/>
      <c r="CC74" s="85"/>
      <c r="CD74" s="85"/>
      <c r="CE74" s="85"/>
      <c r="CF74" s="85"/>
      <c r="CG74" s="85"/>
      <c r="CH74" s="85"/>
      <c r="CI74" s="85"/>
      <c r="CJ74" s="85"/>
      <c r="CK74" s="85"/>
      <c r="CL74" s="85"/>
      <c r="CM74" s="85"/>
      <c r="CN74" s="85"/>
      <c r="CO74" s="85"/>
      <c r="CP74" s="85"/>
      <c r="CQ74" s="85"/>
      <c r="CR74" s="85"/>
      <c r="CS74" s="85"/>
      <c r="CT74" s="85"/>
      <c r="CU74" s="85"/>
      <c r="CV74" s="85"/>
      <c r="CW74" s="85"/>
      <c r="CX74" s="85"/>
      <c r="CY74" s="85"/>
      <c r="CZ74" s="85"/>
      <c r="DA74" s="85"/>
      <c r="DB74" s="85"/>
      <c r="DC74" s="85"/>
      <c r="DD74" s="85"/>
      <c r="DE74" s="85"/>
      <c r="DF74" s="85"/>
      <c r="DG74" s="85"/>
      <c r="DH74" s="85"/>
      <c r="DI74" s="85"/>
      <c r="DJ74" s="85"/>
      <c r="DK74" s="85"/>
      <c r="DL74" s="85"/>
      <c r="DM74" s="85"/>
      <c r="DN74" s="85"/>
      <c r="DO74" s="85"/>
      <c r="DP74" s="85"/>
      <c r="DQ74" s="85"/>
      <c r="DR74" s="85"/>
      <c r="DS74" s="85"/>
      <c r="DT74" s="85"/>
      <c r="DU74" s="85"/>
      <c r="DV74" s="85"/>
      <c r="DW74" s="85"/>
      <c r="DX74" s="85"/>
      <c r="DY74" s="85"/>
      <c r="DZ74" s="85"/>
    </row>
    <row r="75" spans="1:130">
      <c r="A75" s="91"/>
      <c r="B75" s="91"/>
      <c r="C75" s="91"/>
      <c r="D75" s="91"/>
      <c r="E75" s="91"/>
      <c r="F75" s="91"/>
      <c r="G75" s="91"/>
      <c r="H75" s="91"/>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c r="BF75" s="85"/>
      <c r="BG75" s="85"/>
      <c r="BH75" s="85"/>
      <c r="BI75" s="85"/>
      <c r="BJ75" s="85"/>
      <c r="BK75" s="85"/>
      <c r="BL75" s="85"/>
      <c r="BM75" s="85"/>
      <c r="BN75" s="85"/>
      <c r="BO75" s="85"/>
      <c r="BP75" s="85"/>
      <c r="BQ75" s="85"/>
      <c r="BR75" s="85"/>
      <c r="BS75" s="85"/>
      <c r="BT75" s="85"/>
      <c r="BU75" s="85"/>
      <c r="BV75" s="85"/>
      <c r="BW75" s="85"/>
      <c r="BX75" s="85"/>
      <c r="BY75" s="85"/>
      <c r="BZ75" s="85"/>
      <c r="CA75" s="85"/>
      <c r="CB75" s="85"/>
      <c r="CC75" s="85"/>
      <c r="CD75" s="85"/>
      <c r="CE75" s="85"/>
      <c r="CF75" s="85"/>
      <c r="CG75" s="85"/>
      <c r="CH75" s="85"/>
      <c r="CI75" s="85"/>
      <c r="CJ75" s="85"/>
      <c r="CK75" s="85"/>
      <c r="CL75" s="85"/>
      <c r="CM75" s="85"/>
      <c r="CN75" s="85"/>
      <c r="CO75" s="85"/>
      <c r="CP75" s="85"/>
      <c r="CQ75" s="85"/>
      <c r="CR75" s="85"/>
      <c r="CS75" s="85"/>
      <c r="CT75" s="85"/>
      <c r="CU75" s="85"/>
      <c r="CV75" s="85"/>
      <c r="CW75" s="85"/>
      <c r="CX75" s="85"/>
      <c r="CY75" s="85"/>
      <c r="CZ75" s="85"/>
      <c r="DA75" s="85"/>
      <c r="DB75" s="85"/>
      <c r="DC75" s="85"/>
      <c r="DD75" s="85"/>
      <c r="DE75" s="85"/>
      <c r="DF75" s="85"/>
      <c r="DG75" s="85"/>
      <c r="DH75" s="85"/>
      <c r="DI75" s="85"/>
      <c r="DJ75" s="85"/>
      <c r="DK75" s="85"/>
      <c r="DL75" s="85"/>
      <c r="DM75" s="85"/>
      <c r="DN75" s="85"/>
      <c r="DO75" s="85"/>
      <c r="DP75" s="85"/>
      <c r="DQ75" s="85"/>
      <c r="DR75" s="85"/>
      <c r="DS75" s="85"/>
      <c r="DT75" s="85"/>
      <c r="DU75" s="85"/>
      <c r="DV75" s="85"/>
      <c r="DW75" s="85"/>
      <c r="DX75" s="85"/>
      <c r="DY75" s="85"/>
      <c r="DZ75" s="85"/>
    </row>
    <row r="76" spans="1:130">
      <c r="A76" s="91"/>
      <c r="B76" s="91"/>
      <c r="C76" s="91"/>
      <c r="D76" s="91"/>
      <c r="E76" s="91"/>
      <c r="F76" s="91"/>
      <c r="G76" s="91"/>
      <c r="H76" s="91"/>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c r="BP76" s="85"/>
      <c r="BQ76" s="85"/>
      <c r="BR76" s="85"/>
      <c r="BS76" s="85"/>
      <c r="BT76" s="85"/>
      <c r="BU76" s="85"/>
      <c r="BV76" s="85"/>
      <c r="BW76" s="85"/>
      <c r="BX76" s="85"/>
      <c r="BY76" s="85"/>
      <c r="BZ76" s="85"/>
      <c r="CA76" s="85"/>
      <c r="CB76" s="85"/>
      <c r="CC76" s="85"/>
      <c r="CD76" s="85"/>
      <c r="CE76" s="85"/>
      <c r="CF76" s="85"/>
      <c r="CG76" s="85"/>
      <c r="CH76" s="85"/>
      <c r="CI76" s="85"/>
      <c r="CJ76" s="85"/>
      <c r="CK76" s="85"/>
      <c r="CL76" s="85"/>
      <c r="CM76" s="85"/>
      <c r="CN76" s="85"/>
      <c r="CO76" s="85"/>
      <c r="CP76" s="85"/>
      <c r="CQ76" s="85"/>
      <c r="CR76" s="85"/>
      <c r="CS76" s="85"/>
      <c r="CT76" s="85"/>
      <c r="CU76" s="85"/>
      <c r="CV76" s="85"/>
      <c r="CW76" s="85"/>
      <c r="CX76" s="85"/>
      <c r="CY76" s="85"/>
      <c r="CZ76" s="85"/>
      <c r="DA76" s="85"/>
      <c r="DB76" s="85"/>
      <c r="DC76" s="85"/>
      <c r="DD76" s="85"/>
      <c r="DE76" s="85"/>
      <c r="DF76" s="85"/>
      <c r="DG76" s="85"/>
      <c r="DH76" s="85"/>
      <c r="DI76" s="85"/>
      <c r="DJ76" s="85"/>
      <c r="DK76" s="85"/>
      <c r="DL76" s="85"/>
      <c r="DM76" s="85"/>
      <c r="DN76" s="85"/>
      <c r="DO76" s="85"/>
      <c r="DP76" s="85"/>
      <c r="DQ76" s="85"/>
      <c r="DR76" s="85"/>
      <c r="DS76" s="85"/>
      <c r="DT76" s="85"/>
      <c r="DU76" s="85"/>
      <c r="DV76" s="85"/>
      <c r="DW76" s="85"/>
      <c r="DX76" s="85"/>
      <c r="DY76" s="85"/>
      <c r="DZ76" s="85"/>
    </row>
    <row r="77" spans="1:130">
      <c r="A77" s="91"/>
      <c r="B77" s="91"/>
      <c r="C77" s="91"/>
      <c r="D77" s="91"/>
      <c r="E77" s="91"/>
      <c r="F77" s="91"/>
      <c r="G77" s="91"/>
      <c r="H77" s="91"/>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c r="BO77" s="85"/>
      <c r="BP77" s="85"/>
      <c r="BQ77" s="85"/>
      <c r="BR77" s="85"/>
      <c r="BS77" s="85"/>
      <c r="BT77" s="85"/>
      <c r="BU77" s="85"/>
      <c r="BV77" s="85"/>
      <c r="BW77" s="85"/>
      <c r="BX77" s="85"/>
      <c r="BY77" s="85"/>
      <c r="BZ77" s="85"/>
      <c r="CA77" s="85"/>
      <c r="CB77" s="85"/>
      <c r="CC77" s="85"/>
      <c r="CD77" s="85"/>
      <c r="CE77" s="85"/>
      <c r="CF77" s="85"/>
      <c r="CG77" s="85"/>
      <c r="CH77" s="85"/>
      <c r="CI77" s="85"/>
      <c r="CJ77" s="85"/>
      <c r="CK77" s="85"/>
      <c r="CL77" s="85"/>
      <c r="CM77" s="85"/>
      <c r="CN77" s="85"/>
      <c r="CO77" s="85"/>
      <c r="CP77" s="85"/>
      <c r="CQ77" s="85"/>
      <c r="CR77" s="85"/>
      <c r="CS77" s="85"/>
      <c r="CT77" s="85"/>
      <c r="CU77" s="85"/>
      <c r="CV77" s="85"/>
      <c r="CW77" s="85"/>
      <c r="CX77" s="85"/>
      <c r="CY77" s="85"/>
      <c r="CZ77" s="85"/>
      <c r="DA77" s="85"/>
      <c r="DB77" s="85"/>
      <c r="DC77" s="85"/>
      <c r="DD77" s="85"/>
      <c r="DE77" s="85"/>
      <c r="DF77" s="85"/>
      <c r="DG77" s="85"/>
      <c r="DH77" s="85"/>
      <c r="DI77" s="85"/>
      <c r="DJ77" s="85"/>
      <c r="DK77" s="85"/>
      <c r="DL77" s="85"/>
      <c r="DM77" s="85"/>
      <c r="DN77" s="85"/>
      <c r="DO77" s="85"/>
      <c r="DP77" s="85"/>
      <c r="DQ77" s="85"/>
      <c r="DR77" s="85"/>
      <c r="DS77" s="85"/>
      <c r="DT77" s="85"/>
      <c r="DU77" s="85"/>
      <c r="DV77" s="85"/>
      <c r="DW77" s="85"/>
      <c r="DX77" s="85"/>
      <c r="DY77" s="85"/>
      <c r="DZ77" s="85"/>
    </row>
    <row r="78" spans="1:130">
      <c r="A78" s="91"/>
      <c r="B78" s="91"/>
      <c r="C78" s="91"/>
      <c r="D78" s="91"/>
      <c r="E78" s="91"/>
      <c r="F78" s="91"/>
      <c r="G78" s="91"/>
      <c r="H78" s="91"/>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85"/>
      <c r="BO78" s="85"/>
      <c r="BP78" s="85"/>
      <c r="BQ78" s="85"/>
      <c r="BR78" s="85"/>
      <c r="BS78" s="85"/>
      <c r="BT78" s="85"/>
      <c r="BU78" s="85"/>
      <c r="BV78" s="85"/>
      <c r="BW78" s="85"/>
      <c r="BX78" s="85"/>
      <c r="BY78" s="85"/>
      <c r="BZ78" s="85"/>
      <c r="CA78" s="85"/>
      <c r="CB78" s="85"/>
      <c r="CC78" s="85"/>
      <c r="CD78" s="85"/>
      <c r="CE78" s="85"/>
      <c r="CF78" s="85"/>
      <c r="CG78" s="85"/>
      <c r="CH78" s="85"/>
      <c r="CI78" s="85"/>
      <c r="CJ78" s="85"/>
      <c r="CK78" s="85"/>
      <c r="CL78" s="85"/>
      <c r="CM78" s="85"/>
      <c r="CN78" s="85"/>
      <c r="CO78" s="85"/>
      <c r="CP78" s="85"/>
      <c r="CQ78" s="85"/>
      <c r="CR78" s="85"/>
      <c r="CS78" s="85"/>
      <c r="CT78" s="85"/>
      <c r="CU78" s="85"/>
      <c r="CV78" s="85"/>
      <c r="CW78" s="85"/>
      <c r="CX78" s="85"/>
      <c r="CY78" s="85"/>
      <c r="CZ78" s="85"/>
      <c r="DA78" s="85"/>
      <c r="DB78" s="85"/>
      <c r="DC78" s="85"/>
      <c r="DD78" s="85"/>
      <c r="DE78" s="85"/>
      <c r="DF78" s="85"/>
      <c r="DG78" s="85"/>
      <c r="DH78" s="85"/>
      <c r="DI78" s="85"/>
      <c r="DJ78" s="85"/>
      <c r="DK78" s="85"/>
      <c r="DL78" s="85"/>
      <c r="DM78" s="85"/>
      <c r="DN78" s="85"/>
      <c r="DO78" s="85"/>
      <c r="DP78" s="85"/>
      <c r="DQ78" s="85"/>
      <c r="DR78" s="85"/>
      <c r="DS78" s="85"/>
      <c r="DT78" s="85"/>
      <c r="DU78" s="85"/>
      <c r="DV78" s="85"/>
      <c r="DW78" s="85"/>
      <c r="DX78" s="85"/>
      <c r="DY78" s="85"/>
      <c r="DZ78" s="85"/>
    </row>
    <row r="79" spans="1:130">
      <c r="A79" s="91"/>
      <c r="B79" s="91"/>
      <c r="C79" s="91"/>
      <c r="D79" s="91"/>
      <c r="E79" s="91"/>
      <c r="F79" s="91"/>
      <c r="G79" s="91"/>
      <c r="H79" s="91"/>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c r="AY79" s="85"/>
      <c r="AZ79" s="85"/>
      <c r="BA79" s="85"/>
      <c r="BB79" s="85"/>
      <c r="BC79" s="85"/>
      <c r="BD79" s="85"/>
      <c r="BE79" s="85"/>
      <c r="BF79" s="85"/>
      <c r="BG79" s="85"/>
      <c r="BH79" s="85"/>
      <c r="BI79" s="85"/>
      <c r="BJ79" s="85"/>
      <c r="BK79" s="85"/>
      <c r="BL79" s="85"/>
      <c r="BM79" s="85"/>
      <c r="BN79" s="85"/>
      <c r="BO79" s="85"/>
      <c r="BP79" s="85"/>
      <c r="BQ79" s="85"/>
      <c r="BR79" s="85"/>
      <c r="BS79" s="85"/>
      <c r="BT79" s="85"/>
      <c r="BU79" s="85"/>
      <c r="BV79" s="85"/>
      <c r="BW79" s="85"/>
      <c r="BX79" s="85"/>
      <c r="BY79" s="85"/>
      <c r="BZ79" s="85"/>
      <c r="CA79" s="85"/>
      <c r="CB79" s="85"/>
      <c r="CC79" s="85"/>
      <c r="CD79" s="85"/>
      <c r="CE79" s="85"/>
      <c r="CF79" s="85"/>
      <c r="CG79" s="85"/>
      <c r="CH79" s="85"/>
      <c r="CI79" s="85"/>
      <c r="CJ79" s="85"/>
      <c r="CK79" s="85"/>
      <c r="CL79" s="85"/>
      <c r="CM79" s="85"/>
      <c r="CN79" s="85"/>
      <c r="CO79" s="85"/>
      <c r="CP79" s="85"/>
      <c r="CQ79" s="85"/>
      <c r="CR79" s="85"/>
      <c r="CS79" s="85"/>
      <c r="CT79" s="85"/>
      <c r="CU79" s="85"/>
      <c r="CV79" s="85"/>
      <c r="CW79" s="85"/>
      <c r="CX79" s="85"/>
      <c r="CY79" s="85"/>
      <c r="CZ79" s="85"/>
      <c r="DA79" s="85"/>
      <c r="DB79" s="85"/>
      <c r="DC79" s="85"/>
      <c r="DD79" s="85"/>
      <c r="DE79" s="85"/>
      <c r="DF79" s="85"/>
      <c r="DG79" s="85"/>
      <c r="DH79" s="85"/>
      <c r="DI79" s="85"/>
      <c r="DJ79" s="85"/>
      <c r="DK79" s="85"/>
      <c r="DL79" s="85"/>
      <c r="DM79" s="85"/>
      <c r="DN79" s="85"/>
      <c r="DO79" s="85"/>
      <c r="DP79" s="85"/>
      <c r="DQ79" s="85"/>
      <c r="DR79" s="85"/>
      <c r="DS79" s="85"/>
      <c r="DT79" s="85"/>
      <c r="DU79" s="85"/>
      <c r="DV79" s="85"/>
      <c r="DW79" s="85"/>
      <c r="DX79" s="85"/>
      <c r="DY79" s="85"/>
      <c r="DZ79" s="85"/>
    </row>
    <row r="80" spans="1:130">
      <c r="A80" s="91"/>
      <c r="B80" s="91"/>
      <c r="C80" s="91"/>
      <c r="D80" s="91"/>
      <c r="E80" s="91"/>
      <c r="F80" s="91"/>
      <c r="G80" s="91"/>
      <c r="H80" s="91"/>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5"/>
      <c r="BO80" s="85"/>
      <c r="BP80" s="85"/>
      <c r="BQ80" s="85"/>
      <c r="BR80" s="85"/>
      <c r="BS80" s="85"/>
      <c r="BT80" s="85"/>
      <c r="BU80" s="85"/>
      <c r="BV80" s="85"/>
      <c r="BW80" s="85"/>
      <c r="BX80" s="85"/>
      <c r="BY80" s="85"/>
      <c r="BZ80" s="85"/>
      <c r="CA80" s="85"/>
      <c r="CB80" s="85"/>
      <c r="CC80" s="85"/>
      <c r="CD80" s="85"/>
      <c r="CE80" s="85"/>
      <c r="CF80" s="85"/>
      <c r="CG80" s="85"/>
      <c r="CH80" s="85"/>
      <c r="CI80" s="85"/>
      <c r="CJ80" s="85"/>
      <c r="CK80" s="85"/>
      <c r="CL80" s="85"/>
      <c r="CM80" s="85"/>
      <c r="CN80" s="85"/>
      <c r="CO80" s="85"/>
      <c r="CP80" s="85"/>
      <c r="CQ80" s="85"/>
      <c r="CR80" s="85"/>
      <c r="CS80" s="85"/>
      <c r="CT80" s="85"/>
      <c r="CU80" s="85"/>
      <c r="CV80" s="85"/>
      <c r="CW80" s="85"/>
      <c r="CX80" s="85"/>
      <c r="CY80" s="85"/>
      <c r="CZ80" s="85"/>
      <c r="DA80" s="85"/>
      <c r="DB80" s="85"/>
      <c r="DC80" s="85"/>
      <c r="DD80" s="85"/>
      <c r="DE80" s="85"/>
      <c r="DF80" s="85"/>
      <c r="DG80" s="85"/>
      <c r="DH80" s="85"/>
      <c r="DI80" s="85"/>
      <c r="DJ80" s="85"/>
      <c r="DK80" s="85"/>
      <c r="DL80" s="85"/>
      <c r="DM80" s="85"/>
      <c r="DN80" s="85"/>
      <c r="DO80" s="85"/>
      <c r="DP80" s="85"/>
      <c r="DQ80" s="85"/>
      <c r="DR80" s="85"/>
      <c r="DS80" s="85"/>
      <c r="DT80" s="85"/>
      <c r="DU80" s="85"/>
      <c r="DV80" s="85"/>
      <c r="DW80" s="85"/>
      <c r="DX80" s="85"/>
      <c r="DY80" s="85"/>
      <c r="DZ80" s="85"/>
    </row>
    <row r="81" spans="1:130">
      <c r="A81" s="91"/>
      <c r="B81" s="91"/>
      <c r="C81" s="91"/>
      <c r="D81" s="91"/>
      <c r="E81" s="91"/>
      <c r="F81" s="91"/>
      <c r="G81" s="91"/>
      <c r="H81" s="91"/>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c r="BO81" s="85"/>
      <c r="BP81" s="85"/>
      <c r="BQ81" s="85"/>
      <c r="BR81" s="85"/>
      <c r="BS81" s="85"/>
      <c r="BT81" s="85"/>
      <c r="BU81" s="85"/>
      <c r="BV81" s="85"/>
      <c r="BW81" s="85"/>
      <c r="BX81" s="85"/>
      <c r="BY81" s="85"/>
      <c r="BZ81" s="85"/>
      <c r="CA81" s="85"/>
      <c r="CB81" s="85"/>
      <c r="CC81" s="85"/>
      <c r="CD81" s="85"/>
      <c r="CE81" s="85"/>
      <c r="CF81" s="85"/>
      <c r="CG81" s="85"/>
      <c r="CH81" s="85"/>
      <c r="CI81" s="85"/>
      <c r="CJ81" s="85"/>
      <c r="CK81" s="85"/>
      <c r="CL81" s="85"/>
      <c r="CM81" s="85"/>
      <c r="CN81" s="85"/>
      <c r="CO81" s="85"/>
      <c r="CP81" s="85"/>
      <c r="CQ81" s="85"/>
      <c r="CR81" s="85"/>
      <c r="CS81" s="85"/>
      <c r="CT81" s="85"/>
      <c r="CU81" s="85"/>
      <c r="CV81" s="85"/>
      <c r="CW81" s="85"/>
      <c r="CX81" s="85"/>
      <c r="CY81" s="85"/>
      <c r="CZ81" s="85"/>
      <c r="DA81" s="85"/>
      <c r="DB81" s="85"/>
      <c r="DC81" s="85"/>
      <c r="DD81" s="85"/>
      <c r="DE81" s="85"/>
      <c r="DF81" s="85"/>
      <c r="DG81" s="85"/>
      <c r="DH81" s="85"/>
      <c r="DI81" s="85"/>
      <c r="DJ81" s="85"/>
      <c r="DK81" s="85"/>
      <c r="DL81" s="85"/>
      <c r="DM81" s="85"/>
      <c r="DN81" s="85"/>
      <c r="DO81" s="85"/>
      <c r="DP81" s="85"/>
      <c r="DQ81" s="85"/>
      <c r="DR81" s="85"/>
      <c r="DS81" s="85"/>
      <c r="DT81" s="85"/>
      <c r="DU81" s="85"/>
      <c r="DV81" s="85"/>
      <c r="DW81" s="85"/>
      <c r="DX81" s="85"/>
      <c r="DY81" s="85"/>
      <c r="DZ81" s="85"/>
    </row>
    <row r="82" spans="1:130">
      <c r="A82" s="91"/>
      <c r="B82" s="91"/>
      <c r="C82" s="91"/>
      <c r="D82" s="91"/>
      <c r="E82" s="91"/>
      <c r="F82" s="91"/>
      <c r="G82" s="91"/>
      <c r="H82" s="91"/>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85"/>
      <c r="BO82" s="85"/>
      <c r="BP82" s="85"/>
      <c r="BQ82" s="85"/>
      <c r="BR82" s="85"/>
      <c r="BS82" s="85"/>
      <c r="BT82" s="85"/>
      <c r="BU82" s="85"/>
      <c r="BV82" s="85"/>
      <c r="BW82" s="85"/>
      <c r="BX82" s="85"/>
      <c r="BY82" s="85"/>
      <c r="BZ82" s="85"/>
      <c r="CA82" s="85"/>
      <c r="CB82" s="85"/>
      <c r="CC82" s="85"/>
      <c r="CD82" s="85"/>
      <c r="CE82" s="85"/>
      <c r="CF82" s="85"/>
      <c r="CG82" s="85"/>
      <c r="CH82" s="85"/>
      <c r="CI82" s="85"/>
      <c r="CJ82" s="85"/>
      <c r="CK82" s="85"/>
      <c r="CL82" s="85"/>
      <c r="CM82" s="85"/>
      <c r="CN82" s="85"/>
      <c r="CO82" s="85"/>
      <c r="CP82" s="85"/>
      <c r="CQ82" s="85"/>
      <c r="CR82" s="85"/>
      <c r="CS82" s="85"/>
      <c r="CT82" s="85"/>
      <c r="CU82" s="85"/>
      <c r="CV82" s="85"/>
      <c r="CW82" s="85"/>
      <c r="CX82" s="85"/>
      <c r="CY82" s="85"/>
      <c r="CZ82" s="85"/>
      <c r="DA82" s="85"/>
      <c r="DB82" s="85"/>
      <c r="DC82" s="85"/>
      <c r="DD82" s="85"/>
      <c r="DE82" s="85"/>
      <c r="DF82" s="85"/>
      <c r="DG82" s="85"/>
      <c r="DH82" s="85"/>
      <c r="DI82" s="85"/>
      <c r="DJ82" s="85"/>
      <c r="DK82" s="85"/>
      <c r="DL82" s="85"/>
      <c r="DM82" s="85"/>
      <c r="DN82" s="85"/>
      <c r="DO82" s="85"/>
      <c r="DP82" s="85"/>
      <c r="DQ82" s="85"/>
      <c r="DR82" s="85"/>
      <c r="DS82" s="85"/>
      <c r="DT82" s="85"/>
      <c r="DU82" s="85"/>
      <c r="DV82" s="85"/>
      <c r="DW82" s="85"/>
      <c r="DX82" s="85"/>
      <c r="DY82" s="85"/>
      <c r="DZ82" s="85"/>
    </row>
    <row r="83" spans="1:130">
      <c r="A83" s="91"/>
      <c r="B83" s="91"/>
      <c r="C83" s="91"/>
      <c r="D83" s="91"/>
      <c r="E83" s="91"/>
      <c r="F83" s="91"/>
      <c r="G83" s="91"/>
      <c r="H83" s="91"/>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85"/>
      <c r="BC83" s="85"/>
      <c r="BD83" s="85"/>
      <c r="BE83" s="85"/>
      <c r="BF83" s="85"/>
      <c r="BG83" s="85"/>
      <c r="BH83" s="85"/>
      <c r="BI83" s="85"/>
      <c r="BJ83" s="85"/>
      <c r="BK83" s="85"/>
      <c r="BL83" s="85"/>
      <c r="BM83" s="85"/>
      <c r="BN83" s="85"/>
      <c r="BO83" s="85"/>
      <c r="BP83" s="85"/>
      <c r="BQ83" s="85"/>
      <c r="BR83" s="85"/>
      <c r="BS83" s="85"/>
      <c r="BT83" s="85"/>
      <c r="BU83" s="85"/>
      <c r="BV83" s="85"/>
      <c r="BW83" s="85"/>
      <c r="BX83" s="85"/>
      <c r="BY83" s="85"/>
      <c r="BZ83" s="85"/>
      <c r="CA83" s="85"/>
      <c r="CB83" s="85"/>
      <c r="CC83" s="85"/>
      <c r="CD83" s="85"/>
      <c r="CE83" s="85"/>
      <c r="CF83" s="85"/>
      <c r="CG83" s="85"/>
      <c r="CH83" s="85"/>
      <c r="CI83" s="85"/>
      <c r="CJ83" s="85"/>
      <c r="CK83" s="85"/>
      <c r="CL83" s="85"/>
      <c r="CM83" s="85"/>
      <c r="CN83" s="85"/>
      <c r="CO83" s="85"/>
      <c r="CP83" s="85"/>
      <c r="CQ83" s="85"/>
      <c r="CR83" s="85"/>
      <c r="CS83" s="85"/>
      <c r="CT83" s="85"/>
      <c r="CU83" s="85"/>
      <c r="CV83" s="85"/>
      <c r="CW83" s="85"/>
      <c r="CX83" s="85"/>
      <c r="CY83" s="85"/>
      <c r="CZ83" s="85"/>
      <c r="DA83" s="85"/>
      <c r="DB83" s="85"/>
      <c r="DC83" s="85"/>
      <c r="DD83" s="85"/>
      <c r="DE83" s="85"/>
      <c r="DF83" s="85"/>
      <c r="DG83" s="85"/>
      <c r="DH83" s="85"/>
      <c r="DI83" s="85"/>
      <c r="DJ83" s="85"/>
      <c r="DK83" s="85"/>
      <c r="DL83" s="85"/>
      <c r="DM83" s="85"/>
      <c r="DN83" s="85"/>
      <c r="DO83" s="85"/>
      <c r="DP83" s="85"/>
      <c r="DQ83" s="85"/>
      <c r="DR83" s="85"/>
      <c r="DS83" s="85"/>
      <c r="DT83" s="85"/>
      <c r="DU83" s="85"/>
      <c r="DV83" s="85"/>
      <c r="DW83" s="85"/>
      <c r="DX83" s="85"/>
      <c r="DY83" s="85"/>
      <c r="DZ83" s="85"/>
    </row>
    <row r="84" spans="1:130">
      <c r="A84" s="91"/>
      <c r="B84" s="91"/>
      <c r="C84" s="91"/>
      <c r="D84" s="91"/>
      <c r="E84" s="91"/>
      <c r="F84" s="91"/>
      <c r="G84" s="91"/>
      <c r="H84" s="91"/>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85"/>
      <c r="BE84" s="85"/>
      <c r="BF84" s="85"/>
      <c r="BG84" s="85"/>
      <c r="BH84" s="85"/>
      <c r="BI84" s="85"/>
      <c r="BJ84" s="85"/>
      <c r="BK84" s="85"/>
      <c r="BL84" s="85"/>
      <c r="BM84" s="85"/>
      <c r="BN84" s="85"/>
      <c r="BO84" s="85"/>
      <c r="BP84" s="85"/>
      <c r="BQ84" s="85"/>
      <c r="BR84" s="85"/>
      <c r="BS84" s="85"/>
      <c r="BT84" s="85"/>
      <c r="BU84" s="85"/>
      <c r="BV84" s="85"/>
      <c r="BW84" s="85"/>
      <c r="BX84" s="85"/>
      <c r="BY84" s="85"/>
      <c r="BZ84" s="85"/>
      <c r="CA84" s="85"/>
      <c r="CB84" s="85"/>
      <c r="CC84" s="85"/>
      <c r="CD84" s="85"/>
      <c r="CE84" s="85"/>
      <c r="CF84" s="85"/>
      <c r="CG84" s="85"/>
      <c r="CH84" s="85"/>
      <c r="CI84" s="85"/>
      <c r="CJ84" s="85"/>
      <c r="CK84" s="85"/>
      <c r="CL84" s="85"/>
      <c r="CM84" s="85"/>
      <c r="CN84" s="85"/>
      <c r="CO84" s="85"/>
      <c r="CP84" s="85"/>
      <c r="CQ84" s="85"/>
      <c r="CR84" s="85"/>
      <c r="CS84" s="85"/>
      <c r="CT84" s="85"/>
      <c r="CU84" s="85"/>
      <c r="CV84" s="85"/>
      <c r="CW84" s="85"/>
      <c r="CX84" s="85"/>
      <c r="CY84" s="85"/>
      <c r="CZ84" s="85"/>
      <c r="DA84" s="85"/>
      <c r="DB84" s="85"/>
      <c r="DC84" s="85"/>
      <c r="DD84" s="85"/>
      <c r="DE84" s="85"/>
      <c r="DF84" s="85"/>
      <c r="DG84" s="85"/>
      <c r="DH84" s="85"/>
      <c r="DI84" s="85"/>
      <c r="DJ84" s="85"/>
      <c r="DK84" s="85"/>
      <c r="DL84" s="85"/>
      <c r="DM84" s="85"/>
      <c r="DN84" s="85"/>
      <c r="DO84" s="85"/>
      <c r="DP84" s="85"/>
      <c r="DQ84" s="85"/>
      <c r="DR84" s="85"/>
      <c r="DS84" s="85"/>
      <c r="DT84" s="85"/>
      <c r="DU84" s="85"/>
      <c r="DV84" s="85"/>
      <c r="DW84" s="85"/>
      <c r="DX84" s="85"/>
      <c r="DY84" s="85"/>
      <c r="DZ84" s="85"/>
    </row>
    <row r="85" spans="1:130">
      <c r="A85" s="91"/>
      <c r="B85" s="91"/>
      <c r="C85" s="91"/>
      <c r="D85" s="91"/>
      <c r="E85" s="91"/>
      <c r="F85" s="91"/>
      <c r="G85" s="91"/>
      <c r="H85" s="91"/>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c r="AY85" s="85"/>
      <c r="AZ85" s="85"/>
      <c r="BA85" s="85"/>
      <c r="BB85" s="85"/>
      <c r="BC85" s="85"/>
      <c r="BD85" s="85"/>
      <c r="BE85" s="85"/>
      <c r="BF85" s="85"/>
      <c r="BG85" s="85"/>
      <c r="BH85" s="85"/>
      <c r="BI85" s="85"/>
      <c r="BJ85" s="85"/>
      <c r="BK85" s="85"/>
      <c r="BL85" s="85"/>
      <c r="BM85" s="85"/>
      <c r="BN85" s="85"/>
      <c r="BO85" s="85"/>
      <c r="BP85" s="85"/>
      <c r="BQ85" s="85"/>
      <c r="BR85" s="85"/>
      <c r="BS85" s="85"/>
      <c r="BT85" s="85"/>
      <c r="BU85" s="85"/>
      <c r="BV85" s="85"/>
      <c r="BW85" s="85"/>
      <c r="BX85" s="85"/>
      <c r="BY85" s="85"/>
      <c r="BZ85" s="85"/>
      <c r="CA85" s="85"/>
      <c r="CB85" s="85"/>
      <c r="CC85" s="85"/>
      <c r="CD85" s="85"/>
      <c r="CE85" s="85"/>
      <c r="CF85" s="85"/>
      <c r="CG85" s="85"/>
      <c r="CH85" s="85"/>
      <c r="CI85" s="85"/>
      <c r="CJ85" s="85"/>
      <c r="CK85" s="85"/>
      <c r="CL85" s="85"/>
      <c r="CM85" s="85"/>
      <c r="CN85" s="85"/>
      <c r="CO85" s="85"/>
      <c r="CP85" s="85"/>
      <c r="CQ85" s="85"/>
      <c r="CR85" s="85"/>
      <c r="CS85" s="85"/>
      <c r="CT85" s="85"/>
      <c r="CU85" s="85"/>
      <c r="CV85" s="85"/>
      <c r="CW85" s="85"/>
      <c r="CX85" s="85"/>
      <c r="CY85" s="85"/>
      <c r="CZ85" s="85"/>
      <c r="DA85" s="85"/>
      <c r="DB85" s="85"/>
      <c r="DC85" s="85"/>
      <c r="DD85" s="85"/>
      <c r="DE85" s="85"/>
      <c r="DF85" s="85"/>
      <c r="DG85" s="85"/>
      <c r="DH85" s="85"/>
      <c r="DI85" s="85"/>
      <c r="DJ85" s="85"/>
      <c r="DK85" s="85"/>
      <c r="DL85" s="85"/>
      <c r="DM85" s="85"/>
      <c r="DN85" s="85"/>
      <c r="DO85" s="85"/>
      <c r="DP85" s="85"/>
      <c r="DQ85" s="85"/>
      <c r="DR85" s="85"/>
      <c r="DS85" s="85"/>
      <c r="DT85" s="85"/>
      <c r="DU85" s="85"/>
      <c r="DV85" s="85"/>
      <c r="DW85" s="85"/>
      <c r="DX85" s="85"/>
      <c r="DY85" s="85"/>
      <c r="DZ85" s="85"/>
    </row>
    <row r="86" spans="1:130">
      <c r="A86" s="91"/>
      <c r="B86" s="91"/>
      <c r="C86" s="91"/>
      <c r="D86" s="91"/>
      <c r="E86" s="91"/>
      <c r="F86" s="91"/>
      <c r="G86" s="91"/>
      <c r="H86" s="91"/>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85"/>
      <c r="BO86" s="85"/>
      <c r="BP86" s="85"/>
      <c r="BQ86" s="85"/>
      <c r="BR86" s="85"/>
      <c r="BS86" s="85"/>
      <c r="BT86" s="85"/>
      <c r="BU86" s="85"/>
      <c r="BV86" s="85"/>
      <c r="BW86" s="85"/>
      <c r="BX86" s="85"/>
      <c r="BY86" s="85"/>
      <c r="BZ86" s="85"/>
      <c r="CA86" s="85"/>
      <c r="CB86" s="85"/>
      <c r="CC86" s="85"/>
      <c r="CD86" s="85"/>
      <c r="CE86" s="85"/>
      <c r="CF86" s="85"/>
      <c r="CG86" s="85"/>
      <c r="CH86" s="85"/>
      <c r="CI86" s="85"/>
      <c r="CJ86" s="85"/>
      <c r="CK86" s="85"/>
      <c r="CL86" s="85"/>
      <c r="CM86" s="85"/>
      <c r="CN86" s="85"/>
      <c r="CO86" s="85"/>
      <c r="CP86" s="85"/>
      <c r="CQ86" s="85"/>
      <c r="CR86" s="85"/>
      <c r="CS86" s="85"/>
      <c r="CT86" s="85"/>
      <c r="CU86" s="85"/>
      <c r="CV86" s="85"/>
      <c r="CW86" s="85"/>
      <c r="CX86" s="85"/>
      <c r="CY86" s="85"/>
      <c r="CZ86" s="85"/>
      <c r="DA86" s="85"/>
      <c r="DB86" s="85"/>
      <c r="DC86" s="85"/>
      <c r="DD86" s="85"/>
      <c r="DE86" s="85"/>
      <c r="DF86" s="85"/>
      <c r="DG86" s="85"/>
      <c r="DH86" s="85"/>
      <c r="DI86" s="85"/>
      <c r="DJ86" s="85"/>
      <c r="DK86" s="85"/>
      <c r="DL86" s="85"/>
      <c r="DM86" s="85"/>
      <c r="DN86" s="85"/>
      <c r="DO86" s="85"/>
      <c r="DP86" s="85"/>
      <c r="DQ86" s="85"/>
      <c r="DR86" s="85"/>
      <c r="DS86" s="85"/>
      <c r="DT86" s="85"/>
      <c r="DU86" s="85"/>
      <c r="DV86" s="85"/>
      <c r="DW86" s="85"/>
      <c r="DX86" s="85"/>
      <c r="DY86" s="85"/>
      <c r="DZ86" s="85"/>
    </row>
    <row r="87" spans="1:130">
      <c r="A87" s="91"/>
      <c r="B87" s="91"/>
      <c r="C87" s="91"/>
      <c r="D87" s="91"/>
      <c r="E87" s="91"/>
      <c r="F87" s="91"/>
      <c r="G87" s="91"/>
      <c r="H87" s="91"/>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c r="BF87" s="85"/>
      <c r="BG87" s="85"/>
      <c r="BH87" s="85"/>
      <c r="BI87" s="85"/>
      <c r="BJ87" s="85"/>
      <c r="BK87" s="85"/>
      <c r="BL87" s="85"/>
      <c r="BM87" s="85"/>
      <c r="BN87" s="85"/>
      <c r="BO87" s="85"/>
      <c r="BP87" s="85"/>
      <c r="BQ87" s="85"/>
      <c r="BR87" s="85"/>
      <c r="BS87" s="85"/>
      <c r="BT87" s="85"/>
      <c r="BU87" s="85"/>
      <c r="BV87" s="85"/>
      <c r="BW87" s="85"/>
      <c r="BX87" s="85"/>
      <c r="BY87" s="85"/>
      <c r="BZ87" s="85"/>
      <c r="CA87" s="85"/>
      <c r="CB87" s="85"/>
      <c r="CC87" s="85"/>
      <c r="CD87" s="85"/>
      <c r="CE87" s="85"/>
      <c r="CF87" s="85"/>
      <c r="CG87" s="85"/>
      <c r="CH87" s="85"/>
      <c r="CI87" s="85"/>
      <c r="CJ87" s="85"/>
      <c r="CK87" s="85"/>
      <c r="CL87" s="85"/>
      <c r="CM87" s="85"/>
      <c r="CN87" s="85"/>
      <c r="CO87" s="85"/>
      <c r="CP87" s="85"/>
      <c r="CQ87" s="85"/>
      <c r="CR87" s="85"/>
      <c r="CS87" s="85"/>
      <c r="CT87" s="85"/>
      <c r="CU87" s="85"/>
      <c r="CV87" s="85"/>
      <c r="CW87" s="85"/>
      <c r="CX87" s="85"/>
      <c r="CY87" s="85"/>
      <c r="CZ87" s="85"/>
      <c r="DA87" s="85"/>
      <c r="DB87" s="85"/>
      <c r="DC87" s="85"/>
      <c r="DD87" s="85"/>
      <c r="DE87" s="85"/>
      <c r="DF87" s="85"/>
      <c r="DG87" s="85"/>
      <c r="DH87" s="85"/>
      <c r="DI87" s="85"/>
      <c r="DJ87" s="85"/>
      <c r="DK87" s="85"/>
      <c r="DL87" s="85"/>
      <c r="DM87" s="85"/>
      <c r="DN87" s="85"/>
      <c r="DO87" s="85"/>
      <c r="DP87" s="85"/>
      <c r="DQ87" s="85"/>
      <c r="DR87" s="85"/>
      <c r="DS87" s="85"/>
      <c r="DT87" s="85"/>
      <c r="DU87" s="85"/>
      <c r="DV87" s="85"/>
      <c r="DW87" s="85"/>
      <c r="DX87" s="85"/>
      <c r="DY87" s="85"/>
      <c r="DZ87" s="85"/>
    </row>
    <row r="88" spans="1:130">
      <c r="A88" s="91"/>
      <c r="B88" s="91"/>
      <c r="C88" s="91"/>
      <c r="D88" s="91"/>
      <c r="E88" s="91"/>
      <c r="F88" s="91"/>
      <c r="G88" s="91"/>
      <c r="H88" s="91"/>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c r="BF88" s="85"/>
      <c r="BG88" s="85"/>
      <c r="BH88" s="85"/>
      <c r="BI88" s="85"/>
      <c r="BJ88" s="85"/>
      <c r="BK88" s="85"/>
      <c r="BL88" s="85"/>
      <c r="BM88" s="85"/>
      <c r="BN88" s="85"/>
      <c r="BO88" s="85"/>
      <c r="BP88" s="85"/>
      <c r="BQ88" s="85"/>
      <c r="BR88" s="85"/>
      <c r="BS88" s="85"/>
      <c r="BT88" s="85"/>
      <c r="BU88" s="85"/>
      <c r="BV88" s="85"/>
      <c r="BW88" s="85"/>
      <c r="BX88" s="85"/>
      <c r="BY88" s="85"/>
      <c r="BZ88" s="85"/>
      <c r="CA88" s="85"/>
      <c r="CB88" s="85"/>
      <c r="CC88" s="85"/>
      <c r="CD88" s="85"/>
      <c r="CE88" s="85"/>
      <c r="CF88" s="85"/>
      <c r="CG88" s="85"/>
      <c r="CH88" s="85"/>
      <c r="CI88" s="85"/>
      <c r="CJ88" s="85"/>
      <c r="CK88" s="85"/>
      <c r="CL88" s="85"/>
      <c r="CM88" s="85"/>
      <c r="CN88" s="85"/>
      <c r="CO88" s="85"/>
      <c r="CP88" s="85"/>
      <c r="CQ88" s="85"/>
      <c r="CR88" s="85"/>
      <c r="CS88" s="85"/>
      <c r="CT88" s="85"/>
      <c r="CU88" s="85"/>
      <c r="CV88" s="85"/>
      <c r="CW88" s="85"/>
      <c r="CX88" s="85"/>
      <c r="CY88" s="85"/>
      <c r="CZ88" s="85"/>
      <c r="DA88" s="85"/>
      <c r="DB88" s="85"/>
      <c r="DC88" s="85"/>
      <c r="DD88" s="85"/>
      <c r="DE88" s="85"/>
      <c r="DF88" s="85"/>
      <c r="DG88" s="85"/>
      <c r="DH88" s="85"/>
      <c r="DI88" s="85"/>
      <c r="DJ88" s="85"/>
      <c r="DK88" s="85"/>
      <c r="DL88" s="85"/>
      <c r="DM88" s="85"/>
      <c r="DN88" s="85"/>
      <c r="DO88" s="85"/>
      <c r="DP88" s="85"/>
      <c r="DQ88" s="85"/>
      <c r="DR88" s="85"/>
      <c r="DS88" s="85"/>
      <c r="DT88" s="85"/>
      <c r="DU88" s="85"/>
      <c r="DV88" s="85"/>
      <c r="DW88" s="85"/>
      <c r="DX88" s="85"/>
      <c r="DY88" s="85"/>
      <c r="DZ88" s="85"/>
    </row>
    <row r="89" spans="1:130">
      <c r="A89" s="91"/>
      <c r="B89" s="91"/>
      <c r="C89" s="91"/>
      <c r="D89" s="91"/>
      <c r="E89" s="91"/>
      <c r="F89" s="91"/>
      <c r="G89" s="91"/>
      <c r="H89" s="91"/>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85"/>
      <c r="BO89" s="85"/>
      <c r="BP89" s="85"/>
      <c r="BQ89" s="85"/>
      <c r="BR89" s="85"/>
      <c r="BS89" s="85"/>
      <c r="BT89" s="85"/>
      <c r="BU89" s="85"/>
      <c r="BV89" s="85"/>
      <c r="BW89" s="85"/>
      <c r="BX89" s="85"/>
      <c r="BY89" s="85"/>
      <c r="BZ89" s="85"/>
      <c r="CA89" s="85"/>
      <c r="CB89" s="85"/>
      <c r="CC89" s="85"/>
      <c r="CD89" s="85"/>
      <c r="CE89" s="85"/>
      <c r="CF89" s="85"/>
      <c r="CG89" s="85"/>
      <c r="CH89" s="85"/>
      <c r="CI89" s="85"/>
      <c r="CJ89" s="85"/>
      <c r="CK89" s="85"/>
      <c r="CL89" s="85"/>
      <c r="CM89" s="85"/>
      <c r="CN89" s="85"/>
      <c r="CO89" s="85"/>
      <c r="CP89" s="85"/>
      <c r="CQ89" s="85"/>
      <c r="CR89" s="85"/>
      <c r="CS89" s="85"/>
      <c r="CT89" s="85"/>
      <c r="CU89" s="85"/>
      <c r="CV89" s="85"/>
      <c r="CW89" s="85"/>
      <c r="CX89" s="85"/>
      <c r="CY89" s="85"/>
      <c r="CZ89" s="85"/>
      <c r="DA89" s="85"/>
      <c r="DB89" s="85"/>
      <c r="DC89" s="85"/>
      <c r="DD89" s="85"/>
      <c r="DE89" s="85"/>
      <c r="DF89" s="85"/>
      <c r="DG89" s="85"/>
      <c r="DH89" s="85"/>
      <c r="DI89" s="85"/>
      <c r="DJ89" s="85"/>
      <c r="DK89" s="85"/>
      <c r="DL89" s="85"/>
      <c r="DM89" s="85"/>
      <c r="DN89" s="85"/>
      <c r="DO89" s="85"/>
      <c r="DP89" s="85"/>
      <c r="DQ89" s="85"/>
      <c r="DR89" s="85"/>
      <c r="DS89" s="85"/>
      <c r="DT89" s="85"/>
      <c r="DU89" s="85"/>
      <c r="DV89" s="85"/>
      <c r="DW89" s="85"/>
      <c r="DX89" s="85"/>
      <c r="DY89" s="85"/>
      <c r="DZ89" s="85"/>
    </row>
    <row r="90" spans="1:130">
      <c r="A90" s="91"/>
      <c r="B90" s="91"/>
      <c r="C90" s="91"/>
      <c r="D90" s="91"/>
      <c r="E90" s="91"/>
      <c r="F90" s="91"/>
      <c r="G90" s="91"/>
      <c r="H90" s="91"/>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85"/>
      <c r="BO90" s="85"/>
      <c r="BP90" s="85"/>
      <c r="BQ90" s="85"/>
      <c r="BR90" s="85"/>
      <c r="BS90" s="85"/>
      <c r="BT90" s="85"/>
      <c r="BU90" s="85"/>
      <c r="BV90" s="85"/>
      <c r="BW90" s="85"/>
      <c r="BX90" s="85"/>
      <c r="BY90" s="85"/>
      <c r="BZ90" s="85"/>
      <c r="CA90" s="85"/>
      <c r="CB90" s="85"/>
      <c r="CC90" s="85"/>
      <c r="CD90" s="85"/>
      <c r="CE90" s="85"/>
      <c r="CF90" s="85"/>
      <c r="CG90" s="85"/>
      <c r="CH90" s="85"/>
      <c r="CI90" s="85"/>
      <c r="CJ90" s="85"/>
      <c r="CK90" s="85"/>
      <c r="CL90" s="85"/>
      <c r="CM90" s="85"/>
      <c r="CN90" s="85"/>
      <c r="CO90" s="85"/>
      <c r="CP90" s="85"/>
      <c r="CQ90" s="85"/>
      <c r="CR90" s="85"/>
      <c r="CS90" s="85"/>
      <c r="CT90" s="85"/>
      <c r="CU90" s="85"/>
      <c r="CV90" s="85"/>
      <c r="CW90" s="85"/>
      <c r="CX90" s="85"/>
      <c r="CY90" s="85"/>
      <c r="CZ90" s="85"/>
      <c r="DA90" s="85"/>
      <c r="DB90" s="85"/>
      <c r="DC90" s="85"/>
      <c r="DD90" s="85"/>
      <c r="DE90" s="85"/>
      <c r="DF90" s="85"/>
      <c r="DG90" s="85"/>
      <c r="DH90" s="85"/>
      <c r="DI90" s="85"/>
      <c r="DJ90" s="85"/>
      <c r="DK90" s="85"/>
      <c r="DL90" s="85"/>
      <c r="DM90" s="85"/>
      <c r="DN90" s="85"/>
      <c r="DO90" s="85"/>
      <c r="DP90" s="85"/>
      <c r="DQ90" s="85"/>
      <c r="DR90" s="85"/>
      <c r="DS90" s="85"/>
      <c r="DT90" s="85"/>
      <c r="DU90" s="85"/>
      <c r="DV90" s="85"/>
      <c r="DW90" s="85"/>
      <c r="DX90" s="85"/>
      <c r="DY90" s="85"/>
      <c r="DZ90" s="85"/>
    </row>
    <row r="91" spans="1:130">
      <c r="A91" s="91"/>
      <c r="B91" s="91"/>
      <c r="C91" s="91"/>
      <c r="D91" s="91"/>
      <c r="E91" s="91"/>
      <c r="F91" s="91"/>
      <c r="G91" s="91"/>
      <c r="H91" s="91"/>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c r="AY91" s="85"/>
      <c r="AZ91" s="85"/>
      <c r="BA91" s="85"/>
      <c r="BB91" s="85"/>
      <c r="BC91" s="85"/>
      <c r="BD91" s="85"/>
      <c r="BE91" s="85"/>
      <c r="BF91" s="85"/>
      <c r="BG91" s="85"/>
      <c r="BH91" s="85"/>
      <c r="BI91" s="85"/>
      <c r="BJ91" s="85"/>
      <c r="BK91" s="85"/>
      <c r="BL91" s="85"/>
      <c r="BM91" s="85"/>
      <c r="BN91" s="85"/>
      <c r="BO91" s="85"/>
      <c r="BP91" s="85"/>
      <c r="BQ91" s="85"/>
      <c r="BR91" s="85"/>
      <c r="BS91" s="85"/>
      <c r="BT91" s="85"/>
      <c r="BU91" s="85"/>
      <c r="BV91" s="85"/>
      <c r="BW91" s="85"/>
      <c r="BX91" s="85"/>
      <c r="BY91" s="85"/>
      <c r="BZ91" s="85"/>
      <c r="CA91" s="85"/>
      <c r="CB91" s="85"/>
      <c r="CC91" s="85"/>
      <c r="CD91" s="85"/>
      <c r="CE91" s="85"/>
      <c r="CF91" s="85"/>
      <c r="CG91" s="85"/>
      <c r="CH91" s="85"/>
      <c r="CI91" s="85"/>
      <c r="CJ91" s="85"/>
      <c r="CK91" s="85"/>
      <c r="CL91" s="85"/>
      <c r="CM91" s="85"/>
      <c r="CN91" s="85"/>
      <c r="CO91" s="85"/>
      <c r="CP91" s="85"/>
      <c r="CQ91" s="85"/>
      <c r="CR91" s="85"/>
      <c r="CS91" s="85"/>
      <c r="CT91" s="85"/>
      <c r="CU91" s="85"/>
      <c r="CV91" s="85"/>
      <c r="CW91" s="85"/>
      <c r="CX91" s="85"/>
      <c r="CY91" s="85"/>
      <c r="CZ91" s="85"/>
      <c r="DA91" s="85"/>
      <c r="DB91" s="85"/>
      <c r="DC91" s="85"/>
      <c r="DD91" s="85"/>
      <c r="DE91" s="85"/>
      <c r="DF91" s="85"/>
      <c r="DG91" s="85"/>
      <c r="DH91" s="85"/>
      <c r="DI91" s="85"/>
      <c r="DJ91" s="85"/>
      <c r="DK91" s="85"/>
      <c r="DL91" s="85"/>
      <c r="DM91" s="85"/>
      <c r="DN91" s="85"/>
      <c r="DO91" s="85"/>
      <c r="DP91" s="85"/>
      <c r="DQ91" s="85"/>
      <c r="DR91" s="85"/>
      <c r="DS91" s="85"/>
      <c r="DT91" s="85"/>
      <c r="DU91" s="85"/>
      <c r="DV91" s="85"/>
      <c r="DW91" s="85"/>
      <c r="DX91" s="85"/>
      <c r="DY91" s="85"/>
      <c r="DZ91" s="85"/>
    </row>
    <row r="92" spans="1:130">
      <c r="A92" s="91"/>
      <c r="B92" s="91"/>
      <c r="C92" s="91"/>
      <c r="D92" s="91"/>
      <c r="E92" s="91"/>
      <c r="F92" s="91"/>
      <c r="G92" s="91"/>
      <c r="H92" s="91"/>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5"/>
      <c r="BO92" s="85"/>
      <c r="BP92" s="85"/>
      <c r="BQ92" s="85"/>
      <c r="BR92" s="85"/>
      <c r="BS92" s="85"/>
      <c r="BT92" s="85"/>
      <c r="BU92" s="85"/>
      <c r="BV92" s="85"/>
      <c r="BW92" s="85"/>
      <c r="BX92" s="85"/>
      <c r="BY92" s="85"/>
      <c r="BZ92" s="85"/>
      <c r="CA92" s="85"/>
      <c r="CB92" s="85"/>
      <c r="CC92" s="85"/>
      <c r="CD92" s="85"/>
      <c r="CE92" s="85"/>
      <c r="CF92" s="85"/>
      <c r="CG92" s="85"/>
      <c r="CH92" s="85"/>
      <c r="CI92" s="85"/>
      <c r="CJ92" s="85"/>
      <c r="CK92" s="85"/>
      <c r="CL92" s="85"/>
      <c r="CM92" s="85"/>
      <c r="CN92" s="85"/>
      <c r="CO92" s="85"/>
      <c r="CP92" s="85"/>
      <c r="CQ92" s="85"/>
      <c r="CR92" s="85"/>
      <c r="CS92" s="85"/>
      <c r="CT92" s="85"/>
      <c r="CU92" s="85"/>
      <c r="CV92" s="85"/>
      <c r="CW92" s="85"/>
      <c r="CX92" s="85"/>
      <c r="CY92" s="85"/>
      <c r="CZ92" s="85"/>
      <c r="DA92" s="85"/>
      <c r="DB92" s="85"/>
      <c r="DC92" s="85"/>
      <c r="DD92" s="85"/>
      <c r="DE92" s="85"/>
      <c r="DF92" s="85"/>
      <c r="DG92" s="85"/>
      <c r="DH92" s="85"/>
      <c r="DI92" s="85"/>
      <c r="DJ92" s="85"/>
      <c r="DK92" s="85"/>
      <c r="DL92" s="85"/>
      <c r="DM92" s="85"/>
      <c r="DN92" s="85"/>
      <c r="DO92" s="85"/>
      <c r="DP92" s="85"/>
      <c r="DQ92" s="85"/>
      <c r="DR92" s="85"/>
      <c r="DS92" s="85"/>
      <c r="DT92" s="85"/>
      <c r="DU92" s="85"/>
      <c r="DV92" s="85"/>
      <c r="DW92" s="85"/>
      <c r="DX92" s="85"/>
      <c r="DY92" s="85"/>
      <c r="DZ92" s="85"/>
    </row>
    <row r="93" spans="1:130">
      <c r="A93" s="91"/>
      <c r="B93" s="91"/>
      <c r="C93" s="91"/>
      <c r="D93" s="91"/>
      <c r="E93" s="91"/>
      <c r="F93" s="91"/>
      <c r="G93" s="91"/>
      <c r="H93" s="91"/>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c r="BF93" s="85"/>
      <c r="BG93" s="85"/>
      <c r="BH93" s="85"/>
      <c r="BI93" s="85"/>
      <c r="BJ93" s="85"/>
      <c r="BK93" s="85"/>
      <c r="BL93" s="85"/>
      <c r="BM93" s="85"/>
      <c r="BN93" s="85"/>
      <c r="BO93" s="85"/>
      <c r="BP93" s="85"/>
      <c r="BQ93" s="85"/>
      <c r="BR93" s="85"/>
      <c r="BS93" s="85"/>
      <c r="BT93" s="85"/>
      <c r="BU93" s="85"/>
      <c r="BV93" s="85"/>
      <c r="BW93" s="85"/>
      <c r="BX93" s="85"/>
      <c r="BY93" s="85"/>
      <c r="BZ93" s="85"/>
      <c r="CA93" s="85"/>
      <c r="CB93" s="85"/>
      <c r="CC93" s="85"/>
      <c r="CD93" s="85"/>
      <c r="CE93" s="85"/>
      <c r="CF93" s="85"/>
      <c r="CG93" s="85"/>
      <c r="CH93" s="85"/>
      <c r="CI93" s="85"/>
      <c r="CJ93" s="85"/>
      <c r="CK93" s="85"/>
      <c r="CL93" s="85"/>
      <c r="CM93" s="85"/>
      <c r="CN93" s="85"/>
      <c r="CO93" s="85"/>
      <c r="CP93" s="85"/>
      <c r="CQ93" s="85"/>
      <c r="CR93" s="85"/>
      <c r="CS93" s="85"/>
      <c r="CT93" s="85"/>
      <c r="CU93" s="85"/>
      <c r="CV93" s="85"/>
      <c r="CW93" s="85"/>
      <c r="CX93" s="85"/>
      <c r="CY93" s="85"/>
      <c r="CZ93" s="85"/>
      <c r="DA93" s="85"/>
      <c r="DB93" s="85"/>
      <c r="DC93" s="85"/>
      <c r="DD93" s="85"/>
      <c r="DE93" s="85"/>
      <c r="DF93" s="85"/>
      <c r="DG93" s="85"/>
      <c r="DH93" s="85"/>
      <c r="DI93" s="85"/>
      <c r="DJ93" s="85"/>
      <c r="DK93" s="85"/>
      <c r="DL93" s="85"/>
      <c r="DM93" s="85"/>
      <c r="DN93" s="85"/>
      <c r="DO93" s="85"/>
      <c r="DP93" s="85"/>
      <c r="DQ93" s="85"/>
      <c r="DR93" s="85"/>
      <c r="DS93" s="85"/>
      <c r="DT93" s="85"/>
      <c r="DU93" s="85"/>
      <c r="DV93" s="85"/>
      <c r="DW93" s="85"/>
      <c r="DX93" s="85"/>
      <c r="DY93" s="85"/>
      <c r="DZ93" s="85"/>
    </row>
    <row r="94" spans="1:130">
      <c r="A94" s="91"/>
      <c r="B94" s="91"/>
      <c r="C94" s="91"/>
      <c r="D94" s="91"/>
      <c r="E94" s="91"/>
      <c r="F94" s="91"/>
      <c r="G94" s="91"/>
      <c r="H94" s="91"/>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c r="BF94" s="85"/>
      <c r="BG94" s="85"/>
      <c r="BH94" s="85"/>
      <c r="BI94" s="85"/>
      <c r="BJ94" s="85"/>
      <c r="BK94" s="85"/>
      <c r="BL94" s="85"/>
      <c r="BM94" s="85"/>
      <c r="BN94" s="85"/>
      <c r="BO94" s="85"/>
      <c r="BP94" s="85"/>
      <c r="BQ94" s="85"/>
      <c r="BR94" s="85"/>
      <c r="BS94" s="85"/>
      <c r="BT94" s="85"/>
      <c r="BU94" s="85"/>
      <c r="BV94" s="85"/>
      <c r="BW94" s="85"/>
      <c r="BX94" s="85"/>
      <c r="BY94" s="85"/>
      <c r="BZ94" s="85"/>
      <c r="CA94" s="85"/>
      <c r="CB94" s="85"/>
      <c r="CC94" s="85"/>
      <c r="CD94" s="85"/>
      <c r="CE94" s="85"/>
      <c r="CF94" s="85"/>
      <c r="CG94" s="85"/>
      <c r="CH94" s="85"/>
      <c r="CI94" s="85"/>
      <c r="CJ94" s="85"/>
      <c r="CK94" s="85"/>
      <c r="CL94" s="85"/>
      <c r="CM94" s="85"/>
      <c r="CN94" s="85"/>
      <c r="CO94" s="85"/>
      <c r="CP94" s="85"/>
      <c r="CQ94" s="85"/>
      <c r="CR94" s="85"/>
      <c r="CS94" s="85"/>
      <c r="CT94" s="85"/>
      <c r="CU94" s="85"/>
      <c r="CV94" s="85"/>
      <c r="CW94" s="85"/>
      <c r="CX94" s="85"/>
      <c r="CY94" s="85"/>
      <c r="CZ94" s="85"/>
      <c r="DA94" s="85"/>
      <c r="DB94" s="85"/>
      <c r="DC94" s="85"/>
      <c r="DD94" s="85"/>
      <c r="DE94" s="85"/>
      <c r="DF94" s="85"/>
      <c r="DG94" s="85"/>
      <c r="DH94" s="85"/>
      <c r="DI94" s="85"/>
      <c r="DJ94" s="85"/>
      <c r="DK94" s="85"/>
      <c r="DL94" s="85"/>
      <c r="DM94" s="85"/>
      <c r="DN94" s="85"/>
      <c r="DO94" s="85"/>
      <c r="DP94" s="85"/>
      <c r="DQ94" s="85"/>
      <c r="DR94" s="85"/>
      <c r="DS94" s="85"/>
      <c r="DT94" s="85"/>
      <c r="DU94" s="85"/>
      <c r="DV94" s="85"/>
      <c r="DW94" s="85"/>
      <c r="DX94" s="85"/>
      <c r="DY94" s="85"/>
      <c r="DZ94" s="85"/>
    </row>
    <row r="95" spans="1:130">
      <c r="A95" s="91"/>
      <c r="B95" s="91"/>
      <c r="C95" s="91"/>
      <c r="D95" s="91"/>
      <c r="E95" s="91"/>
      <c r="F95" s="91"/>
      <c r="G95" s="91"/>
      <c r="H95" s="91"/>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c r="BF95" s="85"/>
      <c r="BG95" s="85"/>
      <c r="BH95" s="85"/>
      <c r="BI95" s="85"/>
      <c r="BJ95" s="85"/>
      <c r="BK95" s="85"/>
      <c r="BL95" s="85"/>
      <c r="BM95" s="85"/>
      <c r="BN95" s="85"/>
      <c r="BO95" s="85"/>
      <c r="BP95" s="85"/>
      <c r="BQ95" s="85"/>
      <c r="BR95" s="85"/>
      <c r="BS95" s="85"/>
      <c r="BT95" s="85"/>
      <c r="BU95" s="85"/>
      <c r="BV95" s="85"/>
      <c r="BW95" s="85"/>
      <c r="BX95" s="85"/>
      <c r="BY95" s="85"/>
      <c r="BZ95" s="85"/>
      <c r="CA95" s="85"/>
      <c r="CB95" s="85"/>
      <c r="CC95" s="85"/>
      <c r="CD95" s="85"/>
      <c r="CE95" s="85"/>
      <c r="CF95" s="85"/>
      <c r="CG95" s="85"/>
      <c r="CH95" s="85"/>
      <c r="CI95" s="85"/>
      <c r="CJ95" s="85"/>
      <c r="CK95" s="85"/>
      <c r="CL95" s="85"/>
      <c r="CM95" s="85"/>
      <c r="CN95" s="85"/>
      <c r="CO95" s="85"/>
      <c r="CP95" s="85"/>
      <c r="CQ95" s="85"/>
      <c r="CR95" s="85"/>
      <c r="CS95" s="85"/>
      <c r="CT95" s="85"/>
      <c r="CU95" s="85"/>
      <c r="CV95" s="85"/>
      <c r="CW95" s="85"/>
      <c r="CX95" s="85"/>
      <c r="CY95" s="85"/>
      <c r="CZ95" s="85"/>
      <c r="DA95" s="85"/>
      <c r="DB95" s="85"/>
      <c r="DC95" s="85"/>
      <c r="DD95" s="85"/>
      <c r="DE95" s="85"/>
      <c r="DF95" s="85"/>
      <c r="DG95" s="85"/>
      <c r="DH95" s="85"/>
      <c r="DI95" s="85"/>
      <c r="DJ95" s="85"/>
      <c r="DK95" s="85"/>
      <c r="DL95" s="85"/>
      <c r="DM95" s="85"/>
      <c r="DN95" s="85"/>
      <c r="DO95" s="85"/>
      <c r="DP95" s="85"/>
      <c r="DQ95" s="85"/>
      <c r="DR95" s="85"/>
      <c r="DS95" s="85"/>
      <c r="DT95" s="85"/>
      <c r="DU95" s="85"/>
      <c r="DV95" s="85"/>
      <c r="DW95" s="85"/>
      <c r="DX95" s="85"/>
      <c r="DY95" s="85"/>
      <c r="DZ95" s="85"/>
    </row>
    <row r="96" spans="1:130">
      <c r="A96" s="91"/>
      <c r="B96" s="91"/>
      <c r="C96" s="91"/>
      <c r="D96" s="91"/>
      <c r="E96" s="91"/>
      <c r="F96" s="91"/>
      <c r="G96" s="91"/>
      <c r="H96" s="91"/>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c r="BP96" s="85"/>
      <c r="BQ96" s="85"/>
      <c r="BR96" s="85"/>
      <c r="BS96" s="85"/>
      <c r="BT96" s="85"/>
      <c r="BU96" s="85"/>
      <c r="BV96" s="85"/>
      <c r="BW96" s="85"/>
      <c r="BX96" s="85"/>
      <c r="BY96" s="85"/>
      <c r="BZ96" s="85"/>
      <c r="CA96" s="85"/>
      <c r="CB96" s="85"/>
      <c r="CC96" s="85"/>
      <c r="CD96" s="85"/>
      <c r="CE96" s="85"/>
      <c r="CF96" s="85"/>
      <c r="CG96" s="85"/>
      <c r="CH96" s="85"/>
      <c r="CI96" s="85"/>
      <c r="CJ96" s="85"/>
      <c r="CK96" s="85"/>
      <c r="CL96" s="85"/>
      <c r="CM96" s="85"/>
      <c r="CN96" s="85"/>
      <c r="CO96" s="85"/>
      <c r="CP96" s="85"/>
      <c r="CQ96" s="85"/>
      <c r="CR96" s="85"/>
      <c r="CS96" s="85"/>
      <c r="CT96" s="85"/>
      <c r="CU96" s="85"/>
      <c r="CV96" s="85"/>
      <c r="CW96" s="85"/>
      <c r="CX96" s="85"/>
      <c r="CY96" s="85"/>
      <c r="CZ96" s="85"/>
      <c r="DA96" s="85"/>
      <c r="DB96" s="85"/>
      <c r="DC96" s="85"/>
      <c r="DD96" s="85"/>
      <c r="DE96" s="85"/>
      <c r="DF96" s="85"/>
      <c r="DG96" s="85"/>
      <c r="DH96" s="85"/>
      <c r="DI96" s="85"/>
      <c r="DJ96" s="85"/>
      <c r="DK96" s="85"/>
      <c r="DL96" s="85"/>
      <c r="DM96" s="85"/>
      <c r="DN96" s="85"/>
      <c r="DO96" s="85"/>
      <c r="DP96" s="85"/>
      <c r="DQ96" s="85"/>
      <c r="DR96" s="85"/>
      <c r="DS96" s="85"/>
      <c r="DT96" s="85"/>
      <c r="DU96" s="85"/>
      <c r="DV96" s="85"/>
      <c r="DW96" s="85"/>
      <c r="DX96" s="85"/>
      <c r="DY96" s="85"/>
      <c r="DZ96" s="85"/>
    </row>
    <row r="97" spans="1:130">
      <c r="A97" s="91"/>
      <c r="B97" s="91"/>
      <c r="C97" s="91"/>
      <c r="D97" s="91"/>
      <c r="E97" s="91"/>
      <c r="F97" s="91"/>
      <c r="G97" s="91"/>
      <c r="H97" s="91"/>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5"/>
      <c r="BK97" s="85"/>
      <c r="BL97" s="85"/>
      <c r="BM97" s="85"/>
      <c r="BN97" s="85"/>
      <c r="BO97" s="85"/>
      <c r="BP97" s="85"/>
      <c r="BQ97" s="85"/>
      <c r="BR97" s="85"/>
      <c r="BS97" s="85"/>
      <c r="BT97" s="85"/>
      <c r="BU97" s="85"/>
      <c r="BV97" s="85"/>
      <c r="BW97" s="85"/>
      <c r="BX97" s="85"/>
      <c r="BY97" s="85"/>
      <c r="BZ97" s="85"/>
      <c r="CA97" s="85"/>
      <c r="CB97" s="85"/>
      <c r="CC97" s="85"/>
      <c r="CD97" s="85"/>
      <c r="CE97" s="85"/>
      <c r="CF97" s="85"/>
      <c r="CG97" s="85"/>
      <c r="CH97" s="85"/>
      <c r="CI97" s="85"/>
      <c r="CJ97" s="85"/>
      <c r="CK97" s="85"/>
      <c r="CL97" s="85"/>
      <c r="CM97" s="85"/>
      <c r="CN97" s="85"/>
      <c r="CO97" s="85"/>
      <c r="CP97" s="85"/>
      <c r="CQ97" s="85"/>
      <c r="CR97" s="85"/>
      <c r="CS97" s="85"/>
      <c r="CT97" s="85"/>
      <c r="CU97" s="85"/>
      <c r="CV97" s="85"/>
      <c r="CW97" s="85"/>
      <c r="CX97" s="85"/>
      <c r="CY97" s="85"/>
      <c r="CZ97" s="85"/>
      <c r="DA97" s="85"/>
      <c r="DB97" s="85"/>
      <c r="DC97" s="85"/>
      <c r="DD97" s="85"/>
      <c r="DE97" s="85"/>
      <c r="DF97" s="85"/>
      <c r="DG97" s="85"/>
      <c r="DH97" s="85"/>
      <c r="DI97" s="85"/>
      <c r="DJ97" s="85"/>
      <c r="DK97" s="85"/>
      <c r="DL97" s="85"/>
      <c r="DM97" s="85"/>
      <c r="DN97" s="85"/>
      <c r="DO97" s="85"/>
      <c r="DP97" s="85"/>
      <c r="DQ97" s="85"/>
      <c r="DR97" s="85"/>
      <c r="DS97" s="85"/>
      <c r="DT97" s="85"/>
      <c r="DU97" s="85"/>
      <c r="DV97" s="85"/>
      <c r="DW97" s="85"/>
      <c r="DX97" s="85"/>
      <c r="DY97" s="85"/>
      <c r="DZ97" s="85"/>
    </row>
    <row r="98" spans="1:130">
      <c r="A98" s="91"/>
      <c r="B98" s="91"/>
      <c r="C98" s="91"/>
      <c r="D98" s="91"/>
      <c r="E98" s="91"/>
      <c r="F98" s="91"/>
      <c r="G98" s="91"/>
      <c r="H98" s="91"/>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c r="BI98" s="85"/>
      <c r="BJ98" s="85"/>
      <c r="BK98" s="85"/>
      <c r="BL98" s="85"/>
      <c r="BM98" s="85"/>
      <c r="BN98" s="85"/>
      <c r="BO98" s="85"/>
      <c r="BP98" s="85"/>
      <c r="BQ98" s="85"/>
      <c r="BR98" s="85"/>
      <c r="BS98" s="85"/>
      <c r="BT98" s="85"/>
      <c r="BU98" s="85"/>
      <c r="BV98" s="85"/>
      <c r="BW98" s="85"/>
      <c r="BX98" s="85"/>
      <c r="BY98" s="85"/>
      <c r="BZ98" s="85"/>
      <c r="CA98" s="85"/>
      <c r="CB98" s="85"/>
      <c r="CC98" s="85"/>
      <c r="CD98" s="85"/>
      <c r="CE98" s="85"/>
      <c r="CF98" s="85"/>
      <c r="CG98" s="85"/>
      <c r="CH98" s="85"/>
      <c r="CI98" s="85"/>
      <c r="CJ98" s="85"/>
      <c r="CK98" s="85"/>
      <c r="CL98" s="85"/>
      <c r="CM98" s="85"/>
      <c r="CN98" s="85"/>
      <c r="CO98" s="85"/>
      <c r="CP98" s="85"/>
      <c r="CQ98" s="85"/>
      <c r="CR98" s="85"/>
      <c r="CS98" s="85"/>
      <c r="CT98" s="85"/>
      <c r="CU98" s="85"/>
      <c r="CV98" s="85"/>
      <c r="CW98" s="85"/>
      <c r="CX98" s="85"/>
      <c r="CY98" s="85"/>
      <c r="CZ98" s="85"/>
      <c r="DA98" s="85"/>
      <c r="DB98" s="85"/>
      <c r="DC98" s="85"/>
      <c r="DD98" s="85"/>
      <c r="DE98" s="85"/>
      <c r="DF98" s="85"/>
      <c r="DG98" s="85"/>
      <c r="DH98" s="85"/>
      <c r="DI98" s="85"/>
      <c r="DJ98" s="85"/>
      <c r="DK98" s="85"/>
      <c r="DL98" s="85"/>
      <c r="DM98" s="85"/>
      <c r="DN98" s="85"/>
      <c r="DO98" s="85"/>
      <c r="DP98" s="85"/>
      <c r="DQ98" s="85"/>
      <c r="DR98" s="85"/>
      <c r="DS98" s="85"/>
      <c r="DT98" s="85"/>
      <c r="DU98" s="85"/>
      <c r="DV98" s="85"/>
      <c r="DW98" s="85"/>
      <c r="DX98" s="85"/>
      <c r="DY98" s="85"/>
      <c r="DZ98" s="85"/>
    </row>
    <row r="99" spans="1:130">
      <c r="A99" s="91"/>
      <c r="B99" s="91"/>
      <c r="C99" s="91"/>
      <c r="D99" s="91"/>
      <c r="E99" s="91"/>
      <c r="F99" s="91"/>
      <c r="G99" s="91"/>
      <c r="H99" s="91"/>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c r="BF99" s="85"/>
      <c r="BG99" s="85"/>
      <c r="BH99" s="85"/>
      <c r="BI99" s="85"/>
      <c r="BJ99" s="85"/>
      <c r="BK99" s="85"/>
      <c r="BL99" s="85"/>
      <c r="BM99" s="85"/>
      <c r="BN99" s="85"/>
      <c r="BO99" s="85"/>
      <c r="BP99" s="85"/>
      <c r="BQ99" s="85"/>
      <c r="BR99" s="85"/>
      <c r="BS99" s="85"/>
      <c r="BT99" s="85"/>
      <c r="BU99" s="85"/>
      <c r="BV99" s="85"/>
      <c r="BW99" s="85"/>
      <c r="BX99" s="85"/>
      <c r="BY99" s="85"/>
      <c r="BZ99" s="85"/>
      <c r="CA99" s="85"/>
      <c r="CB99" s="85"/>
      <c r="CC99" s="85"/>
      <c r="CD99" s="85"/>
      <c r="CE99" s="85"/>
      <c r="CF99" s="85"/>
      <c r="CG99" s="85"/>
      <c r="CH99" s="85"/>
      <c r="CI99" s="85"/>
      <c r="CJ99" s="85"/>
      <c r="CK99" s="85"/>
      <c r="CL99" s="85"/>
      <c r="CM99" s="85"/>
      <c r="CN99" s="85"/>
      <c r="CO99" s="85"/>
      <c r="CP99" s="85"/>
      <c r="CQ99" s="85"/>
      <c r="CR99" s="85"/>
      <c r="CS99" s="85"/>
      <c r="CT99" s="85"/>
      <c r="CU99" s="85"/>
      <c r="CV99" s="85"/>
      <c r="CW99" s="85"/>
      <c r="CX99" s="85"/>
      <c r="CY99" s="85"/>
      <c r="CZ99" s="85"/>
      <c r="DA99" s="85"/>
      <c r="DB99" s="85"/>
      <c r="DC99" s="85"/>
      <c r="DD99" s="85"/>
      <c r="DE99" s="85"/>
      <c r="DF99" s="85"/>
      <c r="DG99" s="85"/>
      <c r="DH99" s="85"/>
      <c r="DI99" s="85"/>
      <c r="DJ99" s="85"/>
      <c r="DK99" s="85"/>
      <c r="DL99" s="85"/>
      <c r="DM99" s="85"/>
      <c r="DN99" s="85"/>
      <c r="DO99" s="85"/>
      <c r="DP99" s="85"/>
      <c r="DQ99" s="85"/>
      <c r="DR99" s="85"/>
      <c r="DS99" s="85"/>
      <c r="DT99" s="85"/>
      <c r="DU99" s="85"/>
      <c r="DV99" s="85"/>
      <c r="DW99" s="85"/>
      <c r="DX99" s="85"/>
      <c r="DY99" s="85"/>
      <c r="DZ99" s="85"/>
    </row>
    <row r="100" spans="1:130">
      <c r="A100" s="91"/>
      <c r="B100" s="91"/>
      <c r="C100" s="91"/>
      <c r="D100" s="91"/>
      <c r="E100" s="91"/>
      <c r="F100" s="91"/>
      <c r="G100" s="91"/>
      <c r="H100" s="91"/>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85"/>
      <c r="BK100" s="85"/>
      <c r="BL100" s="85"/>
      <c r="BM100" s="85"/>
      <c r="BN100" s="85"/>
      <c r="BO100" s="85"/>
      <c r="BP100" s="85"/>
      <c r="BQ100" s="85"/>
      <c r="BR100" s="85"/>
      <c r="BS100" s="85"/>
      <c r="BT100" s="85"/>
      <c r="BU100" s="85"/>
      <c r="BV100" s="85"/>
      <c r="BW100" s="85"/>
      <c r="BX100" s="85"/>
      <c r="BY100" s="85"/>
      <c r="BZ100" s="85"/>
      <c r="CA100" s="85"/>
      <c r="CB100" s="85"/>
      <c r="CC100" s="85"/>
      <c r="CD100" s="85"/>
      <c r="CE100" s="85"/>
      <c r="CF100" s="85"/>
      <c r="CG100" s="85"/>
      <c r="CH100" s="85"/>
      <c r="CI100" s="85"/>
      <c r="CJ100" s="85"/>
      <c r="CK100" s="85"/>
      <c r="CL100" s="85"/>
      <c r="CM100" s="85"/>
      <c r="CN100" s="85"/>
      <c r="CO100" s="85"/>
      <c r="CP100" s="85"/>
      <c r="CQ100" s="85"/>
      <c r="CR100" s="85"/>
      <c r="CS100" s="85"/>
      <c r="CT100" s="85"/>
      <c r="CU100" s="85"/>
      <c r="CV100" s="85"/>
      <c r="CW100" s="85"/>
      <c r="CX100" s="85"/>
      <c r="CY100" s="85"/>
      <c r="CZ100" s="85"/>
      <c r="DA100" s="85"/>
      <c r="DB100" s="85"/>
      <c r="DC100" s="85"/>
      <c r="DD100" s="85"/>
      <c r="DE100" s="85"/>
      <c r="DF100" s="85"/>
      <c r="DG100" s="85"/>
      <c r="DH100" s="85"/>
      <c r="DI100" s="85"/>
      <c r="DJ100" s="85"/>
      <c r="DK100" s="85"/>
      <c r="DL100" s="85"/>
      <c r="DM100" s="85"/>
      <c r="DN100" s="85"/>
      <c r="DO100" s="85"/>
      <c r="DP100" s="85"/>
      <c r="DQ100" s="85"/>
      <c r="DR100" s="85"/>
      <c r="DS100" s="85"/>
      <c r="DT100" s="85"/>
      <c r="DU100" s="85"/>
      <c r="DV100" s="85"/>
      <c r="DW100" s="85"/>
      <c r="DX100" s="85"/>
      <c r="DY100" s="85"/>
      <c r="DZ100" s="85"/>
    </row>
  </sheetData>
  <sheetProtection algorithmName="SHA-1" hashValue="lUvkyir261e9g1Vz/7mf06fvLuI=" saltValue="xadW3jp31Xv4JjuZtzfQmg==" spinCount="100000" sheet="1" objects="1" scenarios="1" formatColumns="0" formatRows="0"/>
  <hyperlinks>
    <hyperlink ref="B3" tooltip="Click Here for more options" display="More Options (Document Actions)" xr:uid="{CBC5AC48-0172-4CD8-92E8-08FD4A465412}"/>
    <hyperlink ref="B6" location="'FilingInfo'!A2" display=" Filing Information" xr:uid="{4DD47132-15BD-42CA-8426-EE3299AF9F0C}"/>
    <hyperlink ref="B9" location="'SOF'!A2" display=" Scope of filing" xr:uid="{A44A2915-EFB8-4AEF-9273-F217D5098F75}"/>
    <hyperlink ref="B10" location="'DirectorsRep'!A2" display=" Disclosure - Directors report" xr:uid="{CDFF3DBF-1E6A-4EC9-9143-BDF05B5F971B}"/>
    <hyperlink ref="B11" location="'DirectorsBussRev'!A2" display=" Disclosure - Director business review" xr:uid="{809BBEFC-675D-419C-A643-87E0ECA300CB}"/>
    <hyperlink ref="B12" location="'StatOfDirectors'!A2" display=" Disclosure - Statement by directors" xr:uid="{F8130F22-6CF7-4FAD-A7BF-E970EEAF5B4A}"/>
    <hyperlink ref="B13" location="'InvolInSE'!A2" display=" Disclosure - Involvement in Stock Exchange" xr:uid="{CC9E65CF-8134-4B81-840A-7E12A365B5A4}"/>
    <hyperlink ref="B14" location="'AuditReport'!A2" display=" Disclosure - Auditors report to members" xr:uid="{5E4A8E35-17F5-4206-A2F3-62974714AF15}"/>
    <hyperlink ref="B17" location="'SOFP-CuNonCu'!A2" display=" Statement of financial position, by current/non-current method" xr:uid="{1E49C3DD-9BB2-4F12-868A-4BC6453AA3EC}"/>
    <hyperlink ref="B18" location="'SOFP-Sub-CuNonCu'!A2" display=" Sub-classification of assets, liabilities and equity, by current/non-current method" xr:uid="{A675BBAE-CE85-41F4-98D1-6CE96FD2AA8A}"/>
    <hyperlink ref="B19" location="'SOPL-Function'!A2" display=" Statement of profit or loss, by function of expense" xr:uid="{9C5DA5BB-7784-4932-9402-5595C2E30EDB}"/>
    <hyperlink ref="B20" location="'SOPL-Analysis-Function'!A2" display=" Analysis of profit or loss, by function of expense" xr:uid="{F88E5BB1-C44D-47A0-8B67-F7AE099C632B}"/>
    <hyperlink ref="B21" location="'SOCI-BeforeOfTax'!A2" display=" Statement of Comprehensive Income - Before tax" xr:uid="{9936D1BF-5BC9-47BC-B536-15B8FAEEA255}"/>
    <hyperlink ref="B22" location="'SOCF-Indirect'!A2" display=" Statement of cash flows, indirect method" xr:uid="{6CE2BA89-1359-4721-B49D-3E4E837015C0}"/>
    <hyperlink ref="B23" location="'SOCIE'!A2" display=" Statement of Changes in Equity" xr:uid="{739AE9A8-2BCC-46DA-97D3-01CD029B4684}"/>
    <hyperlink ref="B26" location="'Notes-CI'!A2" display=" Notes - Corporate information" xr:uid="{39805E3F-EBEE-4384-B2AA-9A11D1981504}"/>
    <hyperlink ref="B27" location="'Notes-SummaryofAccPol'!A2" display=" Notes - Summary of material accounting policies" xr:uid="{13834775-F17A-4734-AA14-02E188E72D38}"/>
    <hyperlink ref="B28" location="'Notes-Listofnotes'!A2" display=" Notes - List of notes" xr:uid="{0871B99B-8B58-4AF1-959F-10199590664C}"/>
    <hyperlink ref="B29" location="'Notes-Issuedcapital'!A2" display=" Notes - Issued capital" xr:uid="{1281FB54-7C28-49F4-9BA1-5E84616FCFF6}"/>
    <hyperlink ref="B30" location="'Notes-RelatedPartytran'!A2" display=" Notes - Related party transactions" xr:uid="{511F506B-CE74-4DBC-8E52-C60DCD195DC9}"/>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14167-8DF3-406E-8B82-D5EFB6A9EF5D}">
  <sheetPr codeName="Sheet2"/>
  <dimension ref="A1:DZ40"/>
  <sheetViews>
    <sheetView showGridLines="0" workbookViewId="0">
      <pane ySplit="2" topLeftCell="A3" activePane="bottomLeft" state="frozen"/>
      <selection pane="bottomLeft" activeCell="A3" sqref="A3"/>
    </sheetView>
  </sheetViews>
  <sheetFormatPr defaultRowHeight="14.5"/>
  <cols>
    <col min="1" max="3" width="0" hidden="1" customWidth="1"/>
    <col min="4" max="4" width="50.7265625" customWidth="1"/>
    <col min="5" max="5" width="22.7265625" customWidth="1"/>
  </cols>
  <sheetData>
    <row r="1" spans="1:130" ht="60" customHeight="1">
      <c r="A1" s="26" t="s">
        <v>506</v>
      </c>
      <c r="B1" s="19"/>
      <c r="C1" s="19"/>
      <c r="D1" s="19"/>
      <c r="E1" s="19"/>
      <c r="F1" s="19"/>
      <c r="G1" s="19"/>
    </row>
    <row r="2" spans="1:130" ht="25.15" customHeight="1">
      <c r="A2" s="39"/>
      <c r="B2" s="39"/>
      <c r="C2" s="39"/>
      <c r="D2" s="41" t="s">
        <v>573</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27" t="s">
        <v>554</v>
      </c>
      <c r="F3" s="19"/>
      <c r="G3" s="19"/>
    </row>
    <row r="4" spans="1:130" hidden="1">
      <c r="A4" s="19"/>
      <c r="B4" s="19"/>
      <c r="C4" s="19"/>
      <c r="D4" s="19"/>
      <c r="E4" s="19"/>
      <c r="F4" s="19"/>
      <c r="G4" s="19"/>
    </row>
    <row r="5" spans="1:130" ht="15" hidden="1" customHeight="1">
      <c r="A5" s="28"/>
      <c r="B5" s="28"/>
      <c r="C5" s="29" t="s">
        <v>507</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c r="A9" s="28"/>
      <c r="B9" s="28"/>
      <c r="C9" s="28" t="s">
        <v>509</v>
      </c>
      <c r="D9" s="30"/>
      <c r="E9" s="19"/>
      <c r="F9" s="19"/>
      <c r="G9" s="28"/>
    </row>
    <row r="10" spans="1:130">
      <c r="A10" s="28" t="s">
        <v>514</v>
      </c>
      <c r="B10" s="28"/>
      <c r="C10" s="28"/>
      <c r="D10" s="31" t="s">
        <v>543</v>
      </c>
      <c r="E10" s="31"/>
      <c r="F10" s="19"/>
      <c r="G10" s="28"/>
    </row>
    <row r="11" spans="1:130">
      <c r="A11" s="28" t="s">
        <v>515</v>
      </c>
      <c r="B11" s="28"/>
      <c r="C11" s="28"/>
      <c r="D11" s="32" t="s">
        <v>544</v>
      </c>
      <c r="E11" s="31"/>
      <c r="F11" s="19"/>
      <c r="G11" s="28"/>
    </row>
    <row r="12" spans="1:130">
      <c r="A12" s="28" t="s">
        <v>516</v>
      </c>
      <c r="B12" s="28"/>
      <c r="C12" s="28"/>
      <c r="D12" s="33" t="s">
        <v>555</v>
      </c>
      <c r="E12" s="100" t="s">
        <v>429</v>
      </c>
      <c r="F12" s="19"/>
      <c r="G12" s="28"/>
    </row>
    <row r="13" spans="1:130">
      <c r="A13" s="28" t="s">
        <v>517</v>
      </c>
      <c r="B13" s="28"/>
      <c r="C13" s="28"/>
      <c r="D13" s="35" t="s">
        <v>545</v>
      </c>
      <c r="E13" s="100" t="s">
        <v>431</v>
      </c>
      <c r="F13" s="19"/>
      <c r="G13" s="28"/>
    </row>
    <row r="14" spans="1:130" ht="27">
      <c r="A14" s="28" t="s">
        <v>518</v>
      </c>
      <c r="B14" s="28"/>
      <c r="C14" s="28"/>
      <c r="D14" s="33" t="s">
        <v>556</v>
      </c>
      <c r="E14" s="100" t="s">
        <v>433</v>
      </c>
      <c r="F14" s="19"/>
      <c r="G14" s="28"/>
    </row>
    <row r="15" spans="1:130">
      <c r="A15" s="28" t="s">
        <v>519</v>
      </c>
      <c r="B15" s="28"/>
      <c r="C15" s="28"/>
      <c r="D15" s="35" t="s">
        <v>546</v>
      </c>
      <c r="E15" s="100" t="s">
        <v>431</v>
      </c>
      <c r="F15" s="19"/>
      <c r="G15" s="28"/>
    </row>
    <row r="16" spans="1:130" ht="27">
      <c r="A16" s="28" t="s">
        <v>520</v>
      </c>
      <c r="B16" s="28"/>
      <c r="C16" s="28"/>
      <c r="D16" s="33" t="s">
        <v>557</v>
      </c>
      <c r="E16" s="100" t="s">
        <v>436</v>
      </c>
      <c r="F16" s="19"/>
      <c r="G16" s="28"/>
    </row>
    <row r="17" spans="1:7">
      <c r="A17" s="28" t="s">
        <v>521</v>
      </c>
      <c r="B17" s="28"/>
      <c r="C17" s="28"/>
      <c r="D17" s="33" t="s">
        <v>558</v>
      </c>
      <c r="E17" s="100" t="s">
        <v>438</v>
      </c>
      <c r="F17" s="19"/>
      <c r="G17" s="28"/>
    </row>
    <row r="18" spans="1:7" ht="27">
      <c r="A18" s="28" t="s">
        <v>522</v>
      </c>
      <c r="B18" s="28"/>
      <c r="C18" s="28"/>
      <c r="D18" s="33" t="s">
        <v>559</v>
      </c>
      <c r="E18" s="100" t="s">
        <v>440</v>
      </c>
      <c r="F18" s="19"/>
      <c r="G18" s="28"/>
    </row>
    <row r="19" spans="1:7">
      <c r="A19" s="28" t="s">
        <v>523</v>
      </c>
      <c r="B19" s="28"/>
      <c r="C19" s="28"/>
      <c r="D19" s="33" t="s">
        <v>560</v>
      </c>
      <c r="E19" s="100" t="s">
        <v>442</v>
      </c>
      <c r="F19" s="19"/>
      <c r="G19" s="28"/>
    </row>
    <row r="20" spans="1:7">
      <c r="A20" s="28" t="s">
        <v>524</v>
      </c>
      <c r="B20" s="28"/>
      <c r="C20" s="28"/>
      <c r="D20" s="35" t="s">
        <v>547</v>
      </c>
      <c r="E20" s="101" t="s">
        <v>431</v>
      </c>
      <c r="F20" s="19"/>
      <c r="G20" s="28"/>
    </row>
    <row r="21" spans="1:7">
      <c r="A21" s="28" t="s">
        <v>525</v>
      </c>
      <c r="B21" s="28"/>
      <c r="C21" s="28"/>
      <c r="D21" s="35" t="s">
        <v>548</v>
      </c>
      <c r="E21" s="100" t="s">
        <v>431</v>
      </c>
      <c r="F21" s="19"/>
      <c r="G21" s="28"/>
    </row>
    <row r="22" spans="1:7" ht="40.5">
      <c r="A22" s="28" t="s">
        <v>526</v>
      </c>
      <c r="B22" s="28"/>
      <c r="C22" s="28"/>
      <c r="D22" s="33" t="s">
        <v>561</v>
      </c>
      <c r="E22" s="100" t="s">
        <v>446</v>
      </c>
      <c r="F22" s="19"/>
      <c r="G22" s="28"/>
    </row>
    <row r="23" spans="1:7">
      <c r="A23" s="28" t="s">
        <v>527</v>
      </c>
      <c r="B23" s="28"/>
      <c r="C23" s="28"/>
      <c r="D23" s="33" t="s">
        <v>562</v>
      </c>
      <c r="E23" s="101" t="s">
        <v>448</v>
      </c>
      <c r="F23" s="19"/>
      <c r="G23" s="28"/>
    </row>
    <row r="24" spans="1:7">
      <c r="A24" s="28" t="s">
        <v>528</v>
      </c>
      <c r="B24" s="28"/>
      <c r="C24" s="28"/>
      <c r="D24" s="33" t="s">
        <v>563</v>
      </c>
      <c r="E24" s="101" t="s">
        <v>450</v>
      </c>
      <c r="F24" s="19"/>
      <c r="G24" s="28"/>
    </row>
    <row r="25" spans="1:7">
      <c r="A25" s="28" t="s">
        <v>529</v>
      </c>
      <c r="B25" s="28"/>
      <c r="C25" s="28"/>
      <c r="D25" s="35" t="s">
        <v>549</v>
      </c>
      <c r="E25" s="101" t="s">
        <v>452</v>
      </c>
      <c r="F25" s="19"/>
      <c r="G25" s="28"/>
    </row>
    <row r="26" spans="1:7">
      <c r="A26" s="28" t="s">
        <v>530</v>
      </c>
      <c r="B26" s="28"/>
      <c r="C26" s="28"/>
      <c r="D26" s="35" t="s">
        <v>550</v>
      </c>
      <c r="E26" s="101" t="s">
        <v>454</v>
      </c>
      <c r="F26" s="19"/>
      <c r="G26" s="28"/>
    </row>
    <row r="27" spans="1:7" ht="27">
      <c r="A27" s="28" t="s">
        <v>531</v>
      </c>
      <c r="B27" s="28"/>
      <c r="C27" s="28"/>
      <c r="D27" s="33" t="s">
        <v>564</v>
      </c>
      <c r="E27" s="100" t="s">
        <v>456</v>
      </c>
      <c r="F27" s="19"/>
      <c r="G27" s="28"/>
    </row>
    <row r="28" spans="1:7">
      <c r="A28" s="28" t="s">
        <v>532</v>
      </c>
      <c r="B28" s="28"/>
      <c r="C28" s="28"/>
      <c r="D28" s="33" t="s">
        <v>565</v>
      </c>
      <c r="E28" s="100" t="s">
        <v>458</v>
      </c>
      <c r="F28" s="19"/>
      <c r="G28" s="28"/>
    </row>
    <row r="29" spans="1:7">
      <c r="A29" s="28" t="s">
        <v>533</v>
      </c>
      <c r="B29" s="28"/>
      <c r="C29" s="28"/>
      <c r="D29" s="38" t="s">
        <v>551</v>
      </c>
      <c r="E29" s="100"/>
      <c r="F29" s="19"/>
      <c r="G29" s="28"/>
    </row>
    <row r="30" spans="1:7" ht="27">
      <c r="A30" s="28" t="s">
        <v>534</v>
      </c>
      <c r="B30" s="28"/>
      <c r="C30" s="28"/>
      <c r="D30" s="33" t="s">
        <v>566</v>
      </c>
      <c r="E30" s="100" t="s">
        <v>461</v>
      </c>
      <c r="F30" s="19"/>
      <c r="G30" s="28"/>
    </row>
    <row r="31" spans="1:7" ht="27">
      <c r="A31" s="28" t="s">
        <v>535</v>
      </c>
      <c r="B31" s="28"/>
      <c r="C31" s="28"/>
      <c r="D31" s="38" t="s">
        <v>552</v>
      </c>
      <c r="E31" s="100" t="s">
        <v>431</v>
      </c>
      <c r="F31" s="19"/>
      <c r="G31" s="28"/>
    </row>
    <row r="32" spans="1:7">
      <c r="A32" s="28" t="s">
        <v>536</v>
      </c>
      <c r="B32" s="28"/>
      <c r="C32" s="28"/>
      <c r="D32" s="33" t="s">
        <v>567</v>
      </c>
      <c r="E32" s="100" t="s">
        <v>464</v>
      </c>
      <c r="F32" s="19"/>
      <c r="G32" s="28"/>
    </row>
    <row r="33" spans="1:7">
      <c r="A33" s="28" t="s">
        <v>537</v>
      </c>
      <c r="B33" s="28"/>
      <c r="C33" s="28"/>
      <c r="D33" s="33" t="s">
        <v>568</v>
      </c>
      <c r="E33" s="100" t="s">
        <v>466</v>
      </c>
      <c r="F33" s="19"/>
      <c r="G33" s="28"/>
    </row>
    <row r="34" spans="1:7" ht="27">
      <c r="A34" s="28" t="s">
        <v>538</v>
      </c>
      <c r="B34" s="28"/>
      <c r="C34" s="28"/>
      <c r="D34" s="33" t="s">
        <v>569</v>
      </c>
      <c r="E34" s="100" t="s">
        <v>469</v>
      </c>
      <c r="F34" s="19"/>
      <c r="G34" s="28"/>
    </row>
    <row r="35" spans="1:7">
      <c r="A35" s="28" t="s">
        <v>539</v>
      </c>
      <c r="B35" s="28"/>
      <c r="C35" s="28"/>
      <c r="D35" s="35" t="s">
        <v>553</v>
      </c>
      <c r="E35" s="100"/>
      <c r="F35" s="19"/>
      <c r="G35" s="28"/>
    </row>
    <row r="36" spans="1:7">
      <c r="A36" s="28" t="s">
        <v>540</v>
      </c>
      <c r="B36" s="28"/>
      <c r="C36" s="28"/>
      <c r="D36" s="33" t="s">
        <v>570</v>
      </c>
      <c r="E36" s="100" t="s">
        <v>472</v>
      </c>
      <c r="F36" s="19"/>
      <c r="G36" s="28"/>
    </row>
    <row r="37" spans="1:7" ht="27">
      <c r="A37" s="28" t="s">
        <v>541</v>
      </c>
      <c r="B37" s="28"/>
      <c r="C37" s="28"/>
      <c r="D37" s="33" t="s">
        <v>571</v>
      </c>
      <c r="E37" s="100" t="s">
        <v>474</v>
      </c>
      <c r="F37" s="19"/>
      <c r="G37" s="28"/>
    </row>
    <row r="38" spans="1:7">
      <c r="A38" s="28" t="s">
        <v>542</v>
      </c>
      <c r="B38" s="28"/>
      <c r="C38" s="28"/>
      <c r="D38" s="33" t="s">
        <v>572</v>
      </c>
      <c r="E38" s="100" t="s">
        <v>476</v>
      </c>
      <c r="F38" s="19"/>
      <c r="G38" s="28"/>
    </row>
    <row r="39" spans="1:7" hidden="1">
      <c r="A39" s="28"/>
      <c r="B39" s="28"/>
      <c r="C39" s="28" t="s">
        <v>509</v>
      </c>
      <c r="D39" s="19"/>
      <c r="E39" s="19"/>
      <c r="F39" s="19"/>
      <c r="G39" s="28"/>
    </row>
    <row r="40" spans="1:7" hidden="1">
      <c r="A40" s="28"/>
      <c r="B40" s="28"/>
      <c r="C40" s="28" t="s">
        <v>512</v>
      </c>
      <c r="D40" s="28"/>
      <c r="E40" s="28"/>
      <c r="F40" s="28"/>
      <c r="G40" s="28" t="s">
        <v>513</v>
      </c>
    </row>
  </sheetData>
  <sheetProtection algorithmName="SHA-1" hashValue="Setqp6r6kGnO6EugUXMsuQ3Miak=" saltValue="PTOuCd2rJYBs9OVweDUU5A==" spinCount="100000" sheet="1" objects="1" scenarios="1" formatColumns="0" formatRows="0"/>
  <hyperlinks>
    <hyperlink ref="E3" tooltip="Edit Startup" display="Edit Filing Information" xr:uid="{0AD19EDD-55CC-4C69-9930-B7E30B271C50}"/>
  </hyperlinks>
  <pageMargins left="0.7" right="0.7" top="0.75" bottom="0.75" header="0.3" footer="0.3"/>
  <drawing r:id="rId1"/>
  <legacyDrawing r:id="rId2"/>
  <controls>
    <mc:AlternateContent xmlns:mc="http://schemas.openxmlformats.org/markup-compatibility/2006">
      <mc:Choice Requires="x14">
        <control shapeId="8248"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8248" r:id="rId3" name="LegendBtn"/>
      </mc:Fallback>
    </mc:AlternateContent>
    <mc:AlternateContent xmlns:mc="http://schemas.openxmlformats.org/markup-compatibility/2006">
      <mc:Choice Requires="x14">
        <control shapeId="8247"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8247" r:id="rId5" name="HelpBtn"/>
      </mc:Fallback>
    </mc:AlternateContent>
    <mc:AlternateContent xmlns:mc="http://schemas.openxmlformats.org/markup-compatibility/2006">
      <mc:Choice Requires="x14">
        <control shapeId="8246"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8246" r:id="rId7" name="ToolboxBtn"/>
      </mc:Fallback>
    </mc:AlternateContent>
    <mc:AlternateContent xmlns:mc="http://schemas.openxmlformats.org/markup-compatibility/2006">
      <mc:Choice Requires="x14">
        <control shapeId="8245"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8245" r:id="rId9" name="HomeBtn"/>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0098-EE65-41C5-993F-EF5920B479D7}">
  <sheetPr codeName="Sheet3"/>
  <dimension ref="A1:DZ76"/>
  <sheetViews>
    <sheetView showGridLines="0" workbookViewId="0">
      <pane ySplit="2" topLeftCell="A14" activePane="bottomLeft" state="frozen"/>
      <selection pane="bottomLeft" activeCell="G18" sqref="G18"/>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575</v>
      </c>
      <c r="B1" s="19"/>
      <c r="C1" s="19"/>
      <c r="D1" s="19"/>
      <c r="E1" s="19"/>
      <c r="F1" s="19"/>
      <c r="G1" s="19"/>
      <c r="H1" s="19"/>
    </row>
    <row r="2" spans="1:130" ht="25.15" customHeight="1">
      <c r="A2" s="39"/>
      <c r="B2" s="39"/>
      <c r="C2" s="39"/>
      <c r="D2" s="41" t="s">
        <v>657</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576</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ht="27">
      <c r="A9" s="28"/>
      <c r="B9" s="28"/>
      <c r="C9" s="28" t="s">
        <v>577</v>
      </c>
      <c r="D9" s="43"/>
      <c r="E9" s="20" t="str">
        <f>TEXT(DATE(MID(E10,7,4),MID(E10,4,2),MID(E10,1,2)),"dd/MM/yyyy")&amp;" - "&amp;TEXT(DATE(MID(E11,7,4),MID(E11,4,2),MID(E11,1,2)),"dd/MM/yyyy")</f>
        <v>01/01/2024 - 31/12/2024</v>
      </c>
      <c r="F9" s="19"/>
      <c r="G9" s="28"/>
      <c r="H9" s="19"/>
    </row>
    <row r="10" spans="1:130" ht="20" hidden="1" customHeight="1">
      <c r="A10" s="28"/>
      <c r="B10" s="28"/>
      <c r="C10" s="28" t="s">
        <v>579</v>
      </c>
      <c r="D10" s="43"/>
      <c r="E10" s="44" t="str">
        <f>StartUp!$D$8</f>
        <v>01/01/2024</v>
      </c>
      <c r="F10" s="19"/>
      <c r="G10" s="28"/>
      <c r="H10" s="19"/>
    </row>
    <row r="11" spans="1:130" ht="20" hidden="1" customHeight="1">
      <c r="A11" s="28"/>
      <c r="B11" s="28"/>
      <c r="C11" s="28" t="s">
        <v>580</v>
      </c>
      <c r="D11" s="43"/>
      <c r="E11" s="44" t="str">
        <f>StartUp!$D$9</f>
        <v>31/12/2024</v>
      </c>
      <c r="F11" s="19"/>
      <c r="G11" s="28"/>
      <c r="H11" s="19"/>
    </row>
    <row r="12" spans="1:130">
      <c r="A12" s="28"/>
      <c r="B12" s="28"/>
      <c r="C12" s="28" t="s">
        <v>509</v>
      </c>
      <c r="D12" s="30"/>
      <c r="E12" s="19"/>
      <c r="F12" s="19"/>
      <c r="G12" s="28"/>
      <c r="H12" s="19"/>
    </row>
    <row r="13" spans="1:130">
      <c r="A13" s="28" t="s">
        <v>581</v>
      </c>
      <c r="B13" s="28"/>
      <c r="C13" s="28"/>
      <c r="D13" s="31" t="s">
        <v>591</v>
      </c>
      <c r="E13" s="31"/>
      <c r="F13" s="19"/>
      <c r="G13" s="28"/>
      <c r="H13" s="19"/>
    </row>
    <row r="14" spans="1:130" ht="27">
      <c r="A14" s="28" t="s">
        <v>582</v>
      </c>
      <c r="B14" s="28"/>
      <c r="C14" s="28"/>
      <c r="D14" s="32" t="s">
        <v>592</v>
      </c>
      <c r="E14" s="31"/>
      <c r="F14" s="19"/>
      <c r="G14" s="28"/>
      <c r="H14" s="19"/>
    </row>
    <row r="15" spans="1:130" ht="27">
      <c r="A15" s="28" t="s">
        <v>583</v>
      </c>
      <c r="B15" s="28"/>
      <c r="C15" s="28"/>
      <c r="D15" s="33" t="s">
        <v>638</v>
      </c>
      <c r="E15" s="37"/>
      <c r="F15" s="19"/>
      <c r="G15" s="28"/>
      <c r="H15" s="19"/>
    </row>
    <row r="16" spans="1:130" ht="27">
      <c r="A16" s="28" t="s">
        <v>584</v>
      </c>
      <c r="B16" s="28"/>
      <c r="C16" s="28"/>
      <c r="D16" s="33" t="s">
        <v>639</v>
      </c>
      <c r="E16" s="37"/>
      <c r="F16" s="19"/>
      <c r="G16" s="28"/>
      <c r="H16" s="19"/>
    </row>
    <row r="17" spans="1:8" ht="40.5">
      <c r="A17" s="28" t="s">
        <v>585</v>
      </c>
      <c r="B17" s="28"/>
      <c r="C17" s="28"/>
      <c r="D17" s="35" t="s">
        <v>593</v>
      </c>
      <c r="E17" s="37"/>
      <c r="F17" s="19"/>
      <c r="G17" s="28"/>
      <c r="H17" s="19"/>
    </row>
    <row r="18" spans="1:8">
      <c r="A18" s="28" t="s">
        <v>586</v>
      </c>
      <c r="B18" s="28"/>
      <c r="C18" s="28"/>
      <c r="D18" s="33" t="s">
        <v>640</v>
      </c>
      <c r="E18" s="37"/>
      <c r="F18" s="19"/>
      <c r="G18" s="28"/>
      <c r="H18" s="19"/>
    </row>
    <row r="19" spans="1:8" ht="27">
      <c r="A19" s="28" t="s">
        <v>587</v>
      </c>
      <c r="B19" s="28"/>
      <c r="C19" s="28"/>
      <c r="D19" s="35" t="s">
        <v>594</v>
      </c>
      <c r="E19" s="48" t="s">
        <v>478</v>
      </c>
      <c r="F19" s="19"/>
      <c r="G19" s="28"/>
      <c r="H19" s="19"/>
    </row>
    <row r="20" spans="1:8" ht="27">
      <c r="A20" s="28" t="s">
        <v>588</v>
      </c>
      <c r="B20" s="28"/>
      <c r="C20" s="28"/>
      <c r="D20" s="35" t="s">
        <v>595</v>
      </c>
      <c r="E20" s="36"/>
      <c r="F20" s="19"/>
      <c r="G20" s="28"/>
      <c r="H20" s="19"/>
    </row>
    <row r="21" spans="1:8" ht="40.5">
      <c r="A21" s="28" t="s">
        <v>589</v>
      </c>
      <c r="B21" s="28"/>
      <c r="C21" s="28"/>
      <c r="D21" s="35" t="s">
        <v>596</v>
      </c>
      <c r="E21" s="36"/>
      <c r="F21" s="19"/>
      <c r="G21" s="28"/>
      <c r="H21" s="19"/>
    </row>
    <row r="22" spans="1:8" ht="40.5">
      <c r="A22" s="28" t="s">
        <v>590</v>
      </c>
      <c r="B22" s="28"/>
      <c r="C22" s="28"/>
      <c r="D22" s="35" t="s">
        <v>597</v>
      </c>
      <c r="E22" s="48" t="s">
        <v>480</v>
      </c>
      <c r="F22" s="19"/>
      <c r="G22" s="28"/>
      <c r="H22" s="19"/>
    </row>
    <row r="23" spans="1:8" hidden="1">
      <c r="A23" s="28"/>
      <c r="B23" s="28"/>
      <c r="C23" s="28" t="s">
        <v>509</v>
      </c>
      <c r="D23" s="19"/>
      <c r="E23" s="19"/>
      <c r="F23" s="19"/>
      <c r="G23" s="28"/>
      <c r="H23" s="19"/>
    </row>
    <row r="24" spans="1:8" hidden="1">
      <c r="A24" s="28"/>
      <c r="B24" s="28"/>
      <c r="C24" s="28" t="s">
        <v>512</v>
      </c>
      <c r="D24" s="28"/>
      <c r="E24" s="28"/>
      <c r="F24" s="28"/>
      <c r="G24" s="28" t="s">
        <v>513</v>
      </c>
      <c r="H24" s="19"/>
    </row>
    <row r="25" spans="1:8">
      <c r="A25" s="19"/>
      <c r="B25" s="19"/>
      <c r="C25" s="19"/>
      <c r="D25" s="19"/>
      <c r="E25" s="19"/>
      <c r="F25" s="19"/>
      <c r="G25" s="19"/>
      <c r="H25" s="19"/>
    </row>
    <row r="26" spans="1:8">
      <c r="A26" s="19"/>
      <c r="B26" s="19"/>
      <c r="C26" s="19"/>
      <c r="D26" s="19"/>
      <c r="E26" s="19"/>
      <c r="F26" s="19"/>
      <c r="G26" s="19"/>
      <c r="H26" s="19"/>
    </row>
    <row r="27" spans="1:8">
      <c r="A27" s="19"/>
      <c r="B27" s="19"/>
      <c r="C27" s="19"/>
      <c r="D27" s="19"/>
      <c r="E27" s="19"/>
      <c r="F27" s="19"/>
      <c r="G27" s="19"/>
      <c r="H27" s="19"/>
    </row>
    <row r="28" spans="1:8" ht="15" hidden="1" customHeight="1">
      <c r="A28" s="28"/>
      <c r="B28" s="28"/>
      <c r="C28" s="29" t="s">
        <v>598</v>
      </c>
      <c r="D28" s="28"/>
      <c r="E28" s="28"/>
      <c r="F28" s="28"/>
      <c r="G28" s="28"/>
      <c r="H28" s="28"/>
    </row>
    <row r="29" spans="1:8" hidden="1">
      <c r="A29" s="28"/>
      <c r="B29" s="28"/>
      <c r="C29" s="28"/>
      <c r="D29" s="28"/>
      <c r="E29" s="28" t="s">
        <v>600</v>
      </c>
      <c r="F29" s="28" t="s">
        <v>601</v>
      </c>
      <c r="G29" s="28"/>
      <c r="H29" s="28"/>
    </row>
    <row r="30" spans="1:8" hidden="1">
      <c r="A30" s="28"/>
      <c r="B30" s="28"/>
      <c r="C30" s="28"/>
      <c r="D30" s="28" t="s">
        <v>608</v>
      </c>
      <c r="E30" s="28"/>
      <c r="F30" s="28"/>
      <c r="G30" s="28"/>
      <c r="H30" s="28"/>
    </row>
    <row r="31" spans="1:8" hidden="1">
      <c r="A31" s="28"/>
      <c r="B31" s="28"/>
      <c r="C31" s="28" t="s">
        <v>510</v>
      </c>
      <c r="D31" s="28" t="s">
        <v>599</v>
      </c>
      <c r="E31" s="28"/>
      <c r="F31" s="28"/>
      <c r="G31" s="28" t="s">
        <v>509</v>
      </c>
      <c r="H31" s="28" t="s">
        <v>511</v>
      </c>
    </row>
    <row r="32" spans="1:8" ht="50" customHeight="1">
      <c r="A32" s="28"/>
      <c r="B32" s="28"/>
      <c r="C32" s="28" t="s">
        <v>508</v>
      </c>
      <c r="D32" s="43"/>
      <c r="E32" s="45" t="s">
        <v>641</v>
      </c>
      <c r="F32" s="45" t="s">
        <v>642</v>
      </c>
      <c r="G32" s="19"/>
      <c r="H32" s="28"/>
    </row>
    <row r="33" spans="1:8" ht="27">
      <c r="A33" s="28"/>
      <c r="B33" s="28"/>
      <c r="C33" s="28" t="s">
        <v>577</v>
      </c>
      <c r="D33" s="43"/>
      <c r="E33" s="20" t="str">
        <f>TEXT(DATE(MID(E34,7,4),MID(E34,4,2),MID(E34,1,2)),"dd/MM/yyyy")&amp;" - "&amp;TEXT(DATE(MID(E35,7,4),MID(E35,4,2),MID(E35,1,2)),"dd/MM/yyyy")</f>
        <v>01/01/2024 - 31/12/2024</v>
      </c>
      <c r="F33" s="20" t="str">
        <f>TEXT(DATE(MID(F34,7,4),MID(F34,4,2),MID(F34,1,2)),"dd/MM/yyyy")&amp;" - "&amp;TEXT(DATE(MID(F35,7,4),MID(F35,4,2),MID(F35,1,2)),"dd/MM/yyyy")</f>
        <v>01/01/2024 - 31/12/2024</v>
      </c>
      <c r="G33" s="19"/>
      <c r="H33" s="28"/>
    </row>
    <row r="34" spans="1:8" ht="20" hidden="1" customHeight="1">
      <c r="A34" s="28"/>
      <c r="B34" s="28"/>
      <c r="C34" s="28" t="s">
        <v>579</v>
      </c>
      <c r="D34" s="43"/>
      <c r="E34" s="44" t="str">
        <f>StartUp!$D$8</f>
        <v>01/01/2024</v>
      </c>
      <c r="F34" s="44" t="str">
        <f>StartUp!$D$8</f>
        <v>01/01/2024</v>
      </c>
      <c r="G34" s="19"/>
      <c r="H34" s="28"/>
    </row>
    <row r="35" spans="1:8" ht="20" hidden="1" customHeight="1">
      <c r="A35" s="28"/>
      <c r="B35" s="28"/>
      <c r="C35" s="28" t="s">
        <v>580</v>
      </c>
      <c r="D35" s="43"/>
      <c r="E35" s="44" t="str">
        <f>StartUp!$D$9</f>
        <v>31/12/2024</v>
      </c>
      <c r="F35" s="44" t="str">
        <f>StartUp!$D$9</f>
        <v>31/12/2024</v>
      </c>
      <c r="G35" s="19"/>
      <c r="H35" s="28"/>
    </row>
    <row r="36" spans="1:8">
      <c r="A36" s="28"/>
      <c r="B36" s="28"/>
      <c r="C36" s="28" t="s">
        <v>509</v>
      </c>
      <c r="D36" s="46"/>
      <c r="E36" s="19"/>
      <c r="F36" s="19"/>
      <c r="G36" s="19"/>
      <c r="H36" s="28"/>
    </row>
    <row r="37" spans="1:8">
      <c r="A37" s="28"/>
      <c r="B37" s="28" t="s">
        <v>602</v>
      </c>
      <c r="C37" s="28"/>
      <c r="D37" s="51" t="s">
        <v>605</v>
      </c>
      <c r="E37" s="48"/>
      <c r="F37" s="48"/>
      <c r="G37" s="19"/>
      <c r="H37" s="28"/>
    </row>
    <row r="38" spans="1:8">
      <c r="A38" s="28"/>
      <c r="B38" s="28" t="s">
        <v>603</v>
      </c>
      <c r="C38" s="28"/>
      <c r="D38" s="47" t="s">
        <v>606</v>
      </c>
      <c r="E38" s="48"/>
      <c r="F38" s="48"/>
      <c r="G38" s="19"/>
      <c r="H38" s="28"/>
    </row>
    <row r="39" spans="1:8">
      <c r="A39" s="28"/>
      <c r="B39" s="28" t="s">
        <v>604</v>
      </c>
      <c r="C39" s="28"/>
      <c r="D39" s="47" t="s">
        <v>607</v>
      </c>
      <c r="E39" s="48"/>
      <c r="F39" s="48"/>
      <c r="G39" s="19"/>
      <c r="H39" s="28"/>
    </row>
    <row r="40" spans="1:8" hidden="1">
      <c r="A40" s="28"/>
      <c r="B40" s="28"/>
      <c r="C40" s="28" t="s">
        <v>509</v>
      </c>
      <c r="D40" s="19"/>
      <c r="E40" s="19"/>
      <c r="F40" s="19"/>
      <c r="G40" s="19"/>
      <c r="H40" s="28"/>
    </row>
    <row r="41" spans="1:8" hidden="1">
      <c r="A41" s="28"/>
      <c r="B41" s="28"/>
      <c r="C41" s="28" t="s">
        <v>512</v>
      </c>
      <c r="D41" s="28"/>
      <c r="E41" s="28"/>
      <c r="F41" s="28"/>
      <c r="G41" s="28"/>
      <c r="H41" s="28" t="s">
        <v>513</v>
      </c>
    </row>
    <row r="42" spans="1:8">
      <c r="A42" s="19"/>
      <c r="B42" s="19"/>
      <c r="C42" s="19"/>
      <c r="D42" s="19"/>
      <c r="E42" s="19"/>
      <c r="F42" s="19"/>
      <c r="G42" s="19"/>
      <c r="H42" s="19"/>
    </row>
    <row r="43" spans="1:8">
      <c r="A43" s="19"/>
      <c r="B43" s="19"/>
      <c r="C43" s="19"/>
      <c r="D43" s="19"/>
      <c r="E43" s="19"/>
      <c r="F43" s="19"/>
      <c r="G43" s="19"/>
      <c r="H43" s="19"/>
    </row>
    <row r="44" spans="1:8">
      <c r="A44" s="19"/>
      <c r="B44" s="19"/>
      <c r="C44" s="19"/>
      <c r="D44" s="19"/>
      <c r="E44" s="19"/>
      <c r="F44" s="19"/>
      <c r="G44" s="19"/>
      <c r="H44" s="19"/>
    </row>
    <row r="45" spans="1:8" ht="15" hidden="1" customHeight="1">
      <c r="A45" s="28"/>
      <c r="B45" s="28"/>
      <c r="C45" s="29" t="s">
        <v>609</v>
      </c>
      <c r="D45" s="28"/>
      <c r="E45" s="28"/>
      <c r="F45" s="28"/>
      <c r="G45" s="28"/>
      <c r="H45" s="19"/>
    </row>
    <row r="46" spans="1:8" hidden="1">
      <c r="A46" s="28"/>
      <c r="B46" s="28"/>
      <c r="C46" s="28"/>
      <c r="D46" s="28"/>
      <c r="E46" s="28"/>
      <c r="F46" s="28"/>
      <c r="G46" s="28"/>
      <c r="H46" s="19"/>
    </row>
    <row r="47" spans="1:8" hidden="1">
      <c r="A47" s="28"/>
      <c r="B47" s="28"/>
      <c r="C47" s="28"/>
      <c r="D47" s="28"/>
      <c r="E47" s="28"/>
      <c r="F47" s="28"/>
      <c r="G47" s="28"/>
      <c r="H47" s="19"/>
    </row>
    <row r="48" spans="1:8" hidden="1">
      <c r="A48" s="28"/>
      <c r="B48" s="28"/>
      <c r="C48" s="28" t="s">
        <v>510</v>
      </c>
      <c r="D48" s="28" t="s">
        <v>508</v>
      </c>
      <c r="E48" s="28"/>
      <c r="F48" s="28" t="s">
        <v>509</v>
      </c>
      <c r="G48" s="28" t="s">
        <v>511</v>
      </c>
      <c r="H48" s="19"/>
    </row>
    <row r="49" spans="1:8" ht="27">
      <c r="A49" s="28"/>
      <c r="B49" s="28"/>
      <c r="C49" s="28" t="s">
        <v>577</v>
      </c>
      <c r="D49" s="43"/>
      <c r="E49" s="20" t="str">
        <f>TEXT(DATE(MID(E50,7,4),MID(E50,4,2),MID(E50,1,2)),"dd/MM/yyyy")&amp;" - "&amp;TEXT(DATE(MID(E51,7,4),MID(E51,4,2),MID(E51,1,2)),"dd/MM/yyyy")</f>
        <v>01/01/2024 - 31/12/2024</v>
      </c>
      <c r="F49" s="19"/>
      <c r="G49" s="28"/>
      <c r="H49" s="19"/>
    </row>
    <row r="50" spans="1:8" ht="20" hidden="1" customHeight="1">
      <c r="A50" s="28"/>
      <c r="B50" s="28"/>
      <c r="C50" s="28" t="s">
        <v>579</v>
      </c>
      <c r="D50" s="43"/>
      <c r="E50" s="44" t="str">
        <f>StartUp!$D$8</f>
        <v>01/01/2024</v>
      </c>
      <c r="F50" s="19"/>
      <c r="G50" s="28"/>
      <c r="H50" s="19"/>
    </row>
    <row r="51" spans="1:8" ht="20" hidden="1" customHeight="1">
      <c r="A51" s="28"/>
      <c r="B51" s="28"/>
      <c r="C51" s="28" t="s">
        <v>580</v>
      </c>
      <c r="D51" s="43"/>
      <c r="E51" s="44" t="str">
        <f>StartUp!$D$9</f>
        <v>31/12/2024</v>
      </c>
      <c r="F51" s="19"/>
      <c r="G51" s="28"/>
      <c r="H51" s="19"/>
    </row>
    <row r="52" spans="1:8">
      <c r="A52" s="28"/>
      <c r="B52" s="28"/>
      <c r="C52" s="28" t="s">
        <v>509</v>
      </c>
      <c r="D52" s="30"/>
      <c r="E52" s="19"/>
      <c r="F52" s="19"/>
      <c r="G52" s="28"/>
      <c r="H52" s="19"/>
    </row>
    <row r="53" spans="1:8" hidden="1">
      <c r="A53" s="28" t="s">
        <v>581</v>
      </c>
      <c r="B53" s="28"/>
      <c r="C53" s="28"/>
      <c r="D53" s="49" t="s">
        <v>591</v>
      </c>
      <c r="E53" s="50"/>
      <c r="F53" s="19"/>
      <c r="G53" s="28"/>
      <c r="H53" s="19"/>
    </row>
    <row r="54" spans="1:8" ht="27">
      <c r="A54" s="28" t="s">
        <v>610</v>
      </c>
      <c r="B54" s="28"/>
      <c r="C54" s="28"/>
      <c r="D54" s="32" t="s">
        <v>631</v>
      </c>
      <c r="E54" s="31"/>
      <c r="F54" s="19"/>
      <c r="G54" s="28"/>
      <c r="H54" s="19"/>
    </row>
    <row r="55" spans="1:8" ht="67.5">
      <c r="A55" s="28" t="s">
        <v>611</v>
      </c>
      <c r="B55" s="28"/>
      <c r="C55" s="28"/>
      <c r="D55" s="35" t="s">
        <v>632</v>
      </c>
      <c r="E55" s="98" t="s">
        <v>482</v>
      </c>
      <c r="F55" s="19"/>
      <c r="G55" s="28"/>
      <c r="H55" s="19"/>
    </row>
    <row r="56" spans="1:8" ht="40.5" hidden="1">
      <c r="A56" s="28" t="s">
        <v>612</v>
      </c>
      <c r="B56" s="28"/>
      <c r="C56" s="28"/>
      <c r="D56" s="94" t="s">
        <v>643</v>
      </c>
      <c r="E56" s="96"/>
      <c r="F56" s="19"/>
      <c r="G56" s="28"/>
      <c r="H56" s="19"/>
    </row>
    <row r="57" spans="1:8" ht="40.5" hidden="1">
      <c r="A57" s="28" t="s">
        <v>613</v>
      </c>
      <c r="B57" s="28"/>
      <c r="C57" s="28"/>
      <c r="D57" s="94" t="s">
        <v>644</v>
      </c>
      <c r="E57" s="96"/>
      <c r="F57" s="19"/>
      <c r="G57" s="28"/>
      <c r="H57" s="19"/>
    </row>
    <row r="58" spans="1:8" ht="40.5" hidden="1">
      <c r="A58" s="28" t="s">
        <v>614</v>
      </c>
      <c r="B58" s="28"/>
      <c r="C58" s="28"/>
      <c r="D58" s="94" t="s">
        <v>645</v>
      </c>
      <c r="E58" s="96"/>
      <c r="F58" s="19"/>
      <c r="G58" s="28"/>
      <c r="H58" s="19"/>
    </row>
    <row r="59" spans="1:8" ht="40.5" hidden="1">
      <c r="A59" s="28" t="s">
        <v>615</v>
      </c>
      <c r="B59" s="28"/>
      <c r="C59" s="28"/>
      <c r="D59" s="94" t="s">
        <v>646</v>
      </c>
      <c r="E59" s="96"/>
      <c r="F59" s="19"/>
      <c r="G59" s="28"/>
      <c r="H59" s="19"/>
    </row>
    <row r="60" spans="1:8" ht="40.5" hidden="1">
      <c r="A60" s="28" t="s">
        <v>616</v>
      </c>
      <c r="B60" s="28"/>
      <c r="C60" s="28"/>
      <c r="D60" s="94" t="s">
        <v>647</v>
      </c>
      <c r="E60" s="96"/>
      <c r="F60" s="19"/>
      <c r="G60" s="28"/>
      <c r="H60" s="19"/>
    </row>
    <row r="61" spans="1:8" ht="40.5" hidden="1">
      <c r="A61" s="28" t="s">
        <v>617</v>
      </c>
      <c r="B61" s="28"/>
      <c r="C61" s="28"/>
      <c r="D61" s="94" t="s">
        <v>648</v>
      </c>
      <c r="E61" s="96"/>
      <c r="F61" s="19"/>
      <c r="G61" s="28"/>
      <c r="H61" s="19"/>
    </row>
    <row r="62" spans="1:8" ht="40.5" hidden="1">
      <c r="A62" s="28" t="s">
        <v>618</v>
      </c>
      <c r="B62" s="28"/>
      <c r="C62" s="28"/>
      <c r="D62" s="94" t="s">
        <v>649</v>
      </c>
      <c r="E62" s="96"/>
      <c r="F62" s="19"/>
      <c r="G62" s="28"/>
      <c r="H62" s="19"/>
    </row>
    <row r="63" spans="1:8" ht="40.5" hidden="1">
      <c r="A63" s="28" t="s">
        <v>619</v>
      </c>
      <c r="B63" s="28"/>
      <c r="C63" s="28"/>
      <c r="D63" s="94" t="s">
        <v>650</v>
      </c>
      <c r="E63" s="96"/>
      <c r="F63" s="19"/>
      <c r="G63" s="28"/>
      <c r="H63" s="19"/>
    </row>
    <row r="64" spans="1:8" ht="27" hidden="1">
      <c r="A64" s="28" t="s">
        <v>620</v>
      </c>
      <c r="B64" s="28"/>
      <c r="C64" s="28"/>
      <c r="D64" s="94" t="s">
        <v>651</v>
      </c>
      <c r="E64" s="96"/>
      <c r="F64" s="19"/>
      <c r="G64" s="28"/>
      <c r="H64" s="19"/>
    </row>
    <row r="65" spans="1:8" ht="54" hidden="1">
      <c r="A65" s="28" t="s">
        <v>621</v>
      </c>
      <c r="B65" s="28"/>
      <c r="C65" s="28"/>
      <c r="D65" s="94" t="s">
        <v>652</v>
      </c>
      <c r="E65" s="95"/>
      <c r="F65" s="19"/>
      <c r="G65" s="28"/>
      <c r="H65" s="19"/>
    </row>
    <row r="66" spans="1:8" ht="27">
      <c r="A66" s="28" t="s">
        <v>622</v>
      </c>
      <c r="B66" s="28"/>
      <c r="C66" s="28"/>
      <c r="D66" s="35" t="s">
        <v>633</v>
      </c>
      <c r="E66" s="99" t="s">
        <v>484</v>
      </c>
      <c r="F66" s="19"/>
      <c r="G66" s="28"/>
      <c r="H66" s="19"/>
    </row>
    <row r="67" spans="1:8" ht="27">
      <c r="A67" s="28" t="s">
        <v>623</v>
      </c>
      <c r="B67" s="28"/>
      <c r="C67" s="28"/>
      <c r="D67" s="35" t="s">
        <v>634</v>
      </c>
      <c r="E67" s="48" t="s">
        <v>486</v>
      </c>
      <c r="F67" s="19"/>
      <c r="G67" s="28"/>
      <c r="H67" s="19"/>
    </row>
    <row r="68" spans="1:8" ht="27">
      <c r="A68" s="28" t="s">
        <v>624</v>
      </c>
      <c r="B68" s="28"/>
      <c r="C68" s="28"/>
      <c r="D68" s="35" t="s">
        <v>635</v>
      </c>
      <c r="E68" s="48" t="s">
        <v>488</v>
      </c>
      <c r="F68" s="19"/>
      <c r="G68" s="28"/>
      <c r="H68" s="19"/>
    </row>
    <row r="69" spans="1:8" ht="27">
      <c r="A69" s="28" t="s">
        <v>625</v>
      </c>
      <c r="B69" s="28"/>
      <c r="C69" s="28"/>
      <c r="D69" s="35" t="s">
        <v>636</v>
      </c>
      <c r="E69" s="48" t="s">
        <v>491</v>
      </c>
      <c r="F69" s="19"/>
      <c r="G69" s="28"/>
      <c r="H69" s="19"/>
    </row>
    <row r="70" spans="1:8" ht="27">
      <c r="A70" s="28" t="s">
        <v>626</v>
      </c>
      <c r="B70" s="28"/>
      <c r="C70" s="28"/>
      <c r="D70" s="32" t="s">
        <v>637</v>
      </c>
      <c r="E70" s="31"/>
      <c r="F70" s="19"/>
      <c r="G70" s="28"/>
      <c r="H70" s="19"/>
    </row>
    <row r="71" spans="1:8" ht="27">
      <c r="A71" s="28" t="s">
        <v>627</v>
      </c>
      <c r="B71" s="28"/>
      <c r="C71" s="28"/>
      <c r="D71" s="33" t="s">
        <v>653</v>
      </c>
      <c r="E71" s="48" t="s">
        <v>482</v>
      </c>
      <c r="F71" s="19"/>
      <c r="G71" s="28"/>
      <c r="H71" s="19"/>
    </row>
    <row r="72" spans="1:8" ht="27">
      <c r="A72" s="28" t="s">
        <v>628</v>
      </c>
      <c r="B72" s="28"/>
      <c r="C72" s="28"/>
      <c r="D72" s="33" t="s">
        <v>654</v>
      </c>
      <c r="E72" s="36"/>
      <c r="F72" s="19"/>
      <c r="G72" s="28"/>
      <c r="H72" s="19"/>
    </row>
    <row r="73" spans="1:8" ht="40.5">
      <c r="A73" s="28" t="s">
        <v>629</v>
      </c>
      <c r="B73" s="28"/>
      <c r="C73" s="28"/>
      <c r="D73" s="33" t="s">
        <v>655</v>
      </c>
      <c r="E73" s="36"/>
      <c r="F73" s="19"/>
      <c r="G73" s="28"/>
      <c r="H73" s="19"/>
    </row>
    <row r="74" spans="1:8" ht="27">
      <c r="A74" s="28" t="s">
        <v>630</v>
      </c>
      <c r="B74" s="28"/>
      <c r="C74" s="28"/>
      <c r="D74" s="33" t="s">
        <v>656</v>
      </c>
      <c r="E74" s="36"/>
      <c r="F74" s="19"/>
      <c r="G74" s="28"/>
      <c r="H74" s="19"/>
    </row>
    <row r="75" spans="1:8" hidden="1">
      <c r="A75" s="28"/>
      <c r="B75" s="28"/>
      <c r="C75" s="28" t="s">
        <v>509</v>
      </c>
      <c r="D75" s="19"/>
      <c r="E75" s="19"/>
      <c r="F75" s="19"/>
      <c r="G75" s="28"/>
      <c r="H75" s="19"/>
    </row>
    <row r="76" spans="1:8" hidden="1">
      <c r="A76" s="28"/>
      <c r="B76" s="28"/>
      <c r="C76" s="28" t="s">
        <v>512</v>
      </c>
      <c r="D76" s="28"/>
      <c r="E76" s="28"/>
      <c r="F76" s="28"/>
      <c r="G76" s="28" t="s">
        <v>513</v>
      </c>
      <c r="H76" s="19"/>
    </row>
  </sheetData>
  <sheetProtection algorithmName="SHA-1" hashValue="jl27wOXYLXNY2ILv/OaA2DPucwM=" saltValue="N9CPrDqFnpszuSnupmxFqQ=="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9288"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9288" r:id="rId3" name="LegendBtn"/>
      </mc:Fallback>
    </mc:AlternateContent>
    <mc:AlternateContent xmlns:mc="http://schemas.openxmlformats.org/markup-compatibility/2006">
      <mc:Choice Requires="x14">
        <control shapeId="9287"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9287" r:id="rId5" name="HelpBtn"/>
      </mc:Fallback>
    </mc:AlternateContent>
    <mc:AlternateContent xmlns:mc="http://schemas.openxmlformats.org/markup-compatibility/2006">
      <mc:Choice Requires="x14">
        <control shapeId="9286"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9286" r:id="rId7" name="ToolboxBtn"/>
      </mc:Fallback>
    </mc:AlternateContent>
    <mc:AlternateContent xmlns:mc="http://schemas.openxmlformats.org/markup-compatibility/2006">
      <mc:Choice Requires="x14">
        <control shapeId="9285"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9285" r:id="rId9" name="HomeBtn"/>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9420-6A45-4618-8512-6D20D15519B1}">
  <sheetPr codeName="Sheet4"/>
  <dimension ref="A1:DZ38"/>
  <sheetViews>
    <sheetView showGridLines="0" workbookViewId="0">
      <pane ySplit="2" topLeftCell="A3" activePane="bottomLeft" state="frozen"/>
      <selection pane="bottomLeft" activeCell="E34" sqref="E34"/>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658</v>
      </c>
      <c r="B1" s="19"/>
      <c r="C1" s="19"/>
      <c r="D1" s="19"/>
      <c r="E1" s="19"/>
      <c r="F1" s="19"/>
      <c r="G1" s="19"/>
    </row>
    <row r="2" spans="1:130" ht="25.15" customHeight="1">
      <c r="A2" s="39"/>
      <c r="B2" s="39"/>
      <c r="C2" s="39"/>
      <c r="D2" s="41" t="s">
        <v>708</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659</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ht="27">
      <c r="A9" s="28"/>
      <c r="B9" s="28"/>
      <c r="C9" s="28" t="s">
        <v>577</v>
      </c>
      <c r="D9" s="43"/>
      <c r="E9" s="20" t="str">
        <f>TEXT(DATE(MID(E10,7,4),MID(E10,4,2),MID(E10,1,2)),"dd/MM/yyyy")&amp;" - "&amp;TEXT(DATE(MID(E11,7,4),MID(E11,4,2),MID(E11,1,2)),"dd/MM/yyyy")</f>
        <v>01/01/2024 - 31/12/2024</v>
      </c>
      <c r="F9" s="19"/>
      <c r="G9" s="28"/>
    </row>
    <row r="10" spans="1:130" ht="20" hidden="1" customHeight="1">
      <c r="A10" s="28"/>
      <c r="B10" s="28"/>
      <c r="C10" s="28" t="s">
        <v>579</v>
      </c>
      <c r="D10" s="43"/>
      <c r="E10" s="44" t="str">
        <f>StartUp!$D$8</f>
        <v>01/01/2024</v>
      </c>
      <c r="F10" s="19"/>
      <c r="G10" s="28"/>
    </row>
    <row r="11" spans="1:130" ht="20" hidden="1" customHeight="1">
      <c r="A11" s="28"/>
      <c r="B11" s="28"/>
      <c r="C11" s="28" t="s">
        <v>580</v>
      </c>
      <c r="D11" s="43"/>
      <c r="E11" s="44" t="str">
        <f>StartUp!$D$9</f>
        <v>31/12/2024</v>
      </c>
      <c r="F11" s="19"/>
      <c r="G11" s="28"/>
    </row>
    <row r="12" spans="1:130">
      <c r="A12" s="28"/>
      <c r="B12" s="28"/>
      <c r="C12" s="28" t="s">
        <v>509</v>
      </c>
      <c r="D12" s="30"/>
      <c r="E12" s="19"/>
      <c r="F12" s="19"/>
      <c r="G12" s="28"/>
    </row>
    <row r="13" spans="1:130">
      <c r="A13" s="28" t="s">
        <v>660</v>
      </c>
      <c r="B13" s="28"/>
      <c r="C13" s="28"/>
      <c r="D13" s="31" t="s">
        <v>684</v>
      </c>
      <c r="E13" s="31"/>
      <c r="F13" s="19"/>
      <c r="G13" s="28"/>
    </row>
    <row r="14" spans="1:130">
      <c r="A14" s="28" t="s">
        <v>661</v>
      </c>
      <c r="B14" s="28"/>
      <c r="C14" s="28"/>
      <c r="D14" s="32" t="s">
        <v>685</v>
      </c>
      <c r="E14" s="31"/>
      <c r="F14" s="19"/>
      <c r="G14" s="28"/>
    </row>
    <row r="15" spans="1:130">
      <c r="A15" s="28" t="s">
        <v>662</v>
      </c>
      <c r="B15" s="28"/>
      <c r="C15" s="28"/>
      <c r="D15" s="33" t="s">
        <v>698</v>
      </c>
      <c r="E15" s="52"/>
      <c r="F15" s="19"/>
      <c r="G15" s="28"/>
    </row>
    <row r="16" spans="1:130">
      <c r="A16" s="28" t="s">
        <v>663</v>
      </c>
      <c r="B16" s="28"/>
      <c r="C16" s="28"/>
      <c r="D16" s="33" t="s">
        <v>699</v>
      </c>
      <c r="E16" s="36"/>
      <c r="F16" s="19"/>
      <c r="G16" s="28"/>
    </row>
    <row r="17" spans="1:7" ht="27">
      <c r="A17" s="28" t="s">
        <v>664</v>
      </c>
      <c r="B17" s="28"/>
      <c r="C17" s="28"/>
      <c r="D17" s="33" t="s">
        <v>700</v>
      </c>
      <c r="E17" s="34"/>
      <c r="F17" s="19"/>
      <c r="G17" s="28"/>
    </row>
    <row r="18" spans="1:7" ht="27">
      <c r="A18" s="28" t="s">
        <v>665</v>
      </c>
      <c r="B18" s="28"/>
      <c r="C18" s="28"/>
      <c r="D18" s="33" t="s">
        <v>701</v>
      </c>
      <c r="E18" s="36"/>
      <c r="F18" s="19"/>
      <c r="G18" s="28"/>
    </row>
    <row r="19" spans="1:7" ht="27">
      <c r="A19" s="28" t="s">
        <v>666</v>
      </c>
      <c r="B19" s="28"/>
      <c r="C19" s="28"/>
      <c r="D19" s="33" t="s">
        <v>702</v>
      </c>
      <c r="E19" s="34"/>
      <c r="F19" s="19"/>
      <c r="G19" s="28"/>
    </row>
    <row r="20" spans="1:7" ht="27">
      <c r="A20" s="28" t="s">
        <v>667</v>
      </c>
      <c r="B20" s="28"/>
      <c r="C20" s="28"/>
      <c r="D20" s="35" t="s">
        <v>686</v>
      </c>
      <c r="E20" s="34"/>
      <c r="F20" s="19"/>
      <c r="G20" s="28"/>
    </row>
    <row r="21" spans="1:7" ht="27">
      <c r="A21" s="28" t="s">
        <v>668</v>
      </c>
      <c r="B21" s="28"/>
      <c r="C21" s="28"/>
      <c r="D21" s="35" t="s">
        <v>687</v>
      </c>
      <c r="E21" s="36"/>
      <c r="F21" s="19"/>
      <c r="G21" s="28"/>
    </row>
    <row r="22" spans="1:7" ht="27">
      <c r="A22" s="28" t="s">
        <v>669</v>
      </c>
      <c r="B22" s="28"/>
      <c r="C22" s="28"/>
      <c r="D22" s="35" t="s">
        <v>688</v>
      </c>
      <c r="E22" s="34"/>
      <c r="F22" s="19"/>
      <c r="G22" s="28"/>
    </row>
    <row r="23" spans="1:7" ht="27">
      <c r="A23" s="28" t="s">
        <v>670</v>
      </c>
      <c r="B23" s="28"/>
      <c r="C23" s="28"/>
      <c r="D23" s="35" t="s">
        <v>689</v>
      </c>
      <c r="E23" s="34"/>
      <c r="F23" s="19"/>
      <c r="G23" s="28"/>
    </row>
    <row r="24" spans="1:7" ht="27">
      <c r="A24" s="28" t="s">
        <v>671</v>
      </c>
      <c r="B24" s="28"/>
      <c r="C24" s="28"/>
      <c r="D24" s="35" t="s">
        <v>690</v>
      </c>
      <c r="E24" s="36"/>
      <c r="F24" s="19"/>
      <c r="G24" s="28"/>
    </row>
    <row r="25" spans="1:7" ht="27">
      <c r="A25" s="28" t="s">
        <v>672</v>
      </c>
      <c r="B25" s="28"/>
      <c r="C25" s="28"/>
      <c r="D25" s="35" t="s">
        <v>691</v>
      </c>
      <c r="E25" s="34"/>
      <c r="F25" s="19"/>
      <c r="G25" s="28"/>
    </row>
    <row r="26" spans="1:7" ht="27">
      <c r="A26" s="28" t="s">
        <v>673</v>
      </c>
      <c r="B26" s="28"/>
      <c r="C26" s="28"/>
      <c r="D26" s="35" t="s">
        <v>692</v>
      </c>
      <c r="E26" s="34"/>
      <c r="F26" s="19"/>
      <c r="G26" s="28"/>
    </row>
    <row r="27" spans="1:7" ht="27">
      <c r="A27" s="28" t="s">
        <v>674</v>
      </c>
      <c r="B27" s="28"/>
      <c r="C27" s="28"/>
      <c r="D27" s="35" t="s">
        <v>693</v>
      </c>
      <c r="E27" s="36"/>
      <c r="F27" s="19"/>
      <c r="G27" s="28"/>
    </row>
    <row r="28" spans="1:7" ht="27">
      <c r="A28" s="28" t="s">
        <v>675</v>
      </c>
      <c r="B28" s="28"/>
      <c r="C28" s="28"/>
      <c r="D28" s="35" t="s">
        <v>694</v>
      </c>
      <c r="E28" s="34"/>
      <c r="F28" s="19"/>
      <c r="G28" s="28"/>
    </row>
    <row r="29" spans="1:7" ht="27">
      <c r="A29" s="28" t="s">
        <v>676</v>
      </c>
      <c r="B29" s="28"/>
      <c r="C29" s="28"/>
      <c r="D29" s="35" t="s">
        <v>695</v>
      </c>
      <c r="E29" s="34"/>
      <c r="F29" s="19"/>
      <c r="G29" s="28"/>
    </row>
    <row r="30" spans="1:7" ht="27">
      <c r="A30" s="28" t="s">
        <v>677</v>
      </c>
      <c r="B30" s="28"/>
      <c r="C30" s="28"/>
      <c r="D30" s="35" t="s">
        <v>696</v>
      </c>
      <c r="E30" s="36"/>
      <c r="F30" s="19"/>
      <c r="G30" s="28"/>
    </row>
    <row r="31" spans="1:7" ht="27">
      <c r="A31" s="28" t="s">
        <v>678</v>
      </c>
      <c r="B31" s="28"/>
      <c r="C31" s="28"/>
      <c r="D31" s="35" t="s">
        <v>697</v>
      </c>
      <c r="E31" s="34"/>
      <c r="F31" s="19"/>
      <c r="G31" s="28"/>
    </row>
    <row r="32" spans="1:7">
      <c r="A32" s="28" t="s">
        <v>679</v>
      </c>
      <c r="B32" s="28"/>
      <c r="C32" s="28"/>
      <c r="D32" s="33" t="s">
        <v>703</v>
      </c>
      <c r="E32" s="36"/>
      <c r="F32" s="19"/>
      <c r="G32" s="28"/>
    </row>
    <row r="33" spans="1:7" ht="40.5">
      <c r="A33" s="28" t="s">
        <v>680</v>
      </c>
      <c r="B33" s="28"/>
      <c r="C33" s="28"/>
      <c r="D33" s="33" t="s">
        <v>704</v>
      </c>
      <c r="E33" s="36"/>
      <c r="F33" s="19"/>
      <c r="G33" s="28"/>
    </row>
    <row r="34" spans="1:7" ht="40.5">
      <c r="A34" s="28" t="s">
        <v>681</v>
      </c>
      <c r="B34" s="28"/>
      <c r="C34" s="28"/>
      <c r="D34" s="33" t="s">
        <v>705</v>
      </c>
      <c r="E34" s="36"/>
      <c r="F34" s="19"/>
      <c r="G34" s="28"/>
    </row>
    <row r="35" spans="1:7" ht="54">
      <c r="A35" s="28" t="s">
        <v>682</v>
      </c>
      <c r="B35" s="28"/>
      <c r="C35" s="28"/>
      <c r="D35" s="33" t="s">
        <v>706</v>
      </c>
      <c r="E35" s="36"/>
      <c r="F35" s="19"/>
      <c r="G35" s="28"/>
    </row>
    <row r="36" spans="1:7">
      <c r="A36" s="28" t="s">
        <v>683</v>
      </c>
      <c r="B36" s="28"/>
      <c r="C36" s="28"/>
      <c r="D36" s="33" t="s">
        <v>707</v>
      </c>
      <c r="E36" s="37"/>
      <c r="F36" s="19"/>
      <c r="G36" s="28"/>
    </row>
    <row r="37" spans="1:7" hidden="1">
      <c r="A37" s="28"/>
      <c r="B37" s="28"/>
      <c r="C37" s="28" t="s">
        <v>509</v>
      </c>
      <c r="D37" s="19"/>
      <c r="E37" s="19"/>
      <c r="F37" s="19"/>
      <c r="G37" s="28"/>
    </row>
    <row r="38" spans="1:7" hidden="1">
      <c r="A38" s="28"/>
      <c r="B38" s="28"/>
      <c r="C38" s="28" t="s">
        <v>512</v>
      </c>
      <c r="D38" s="28"/>
      <c r="E38" s="28"/>
      <c r="F38" s="28"/>
      <c r="G38" s="28" t="s">
        <v>513</v>
      </c>
    </row>
  </sheetData>
  <sheetProtection algorithmName="SHA-1" hashValue="KWbTEcLopLbs3VFCHFVfxGsbiho=" saltValue="J4gUeUEN001eudfQlfFtow=="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10300"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0300" r:id="rId3" name="LegendBtn"/>
      </mc:Fallback>
    </mc:AlternateContent>
    <mc:AlternateContent xmlns:mc="http://schemas.openxmlformats.org/markup-compatibility/2006">
      <mc:Choice Requires="x14">
        <control shapeId="10299"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0299" r:id="rId5" name="HelpBtn"/>
      </mc:Fallback>
    </mc:AlternateContent>
    <mc:AlternateContent xmlns:mc="http://schemas.openxmlformats.org/markup-compatibility/2006">
      <mc:Choice Requires="x14">
        <control shapeId="10298"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0298" r:id="rId7" name="ToolboxBtn"/>
      </mc:Fallback>
    </mc:AlternateContent>
    <mc:AlternateContent xmlns:mc="http://schemas.openxmlformats.org/markup-compatibility/2006">
      <mc:Choice Requires="x14">
        <control shapeId="10297"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0297" r:id="rId9" name="HomeBtn"/>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C2A4C-0DA4-4980-93D3-4CF926CAF9AA}">
  <sheetPr codeName="Sheet5"/>
  <dimension ref="A1:DZ24"/>
  <sheetViews>
    <sheetView showGridLines="0" workbookViewId="0">
      <pane ySplit="2" topLeftCell="A3" activePane="bottomLeft" state="frozen"/>
      <selection pane="bottomLeft" activeCell="I14" sqref="I14"/>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709</v>
      </c>
      <c r="B1" s="19"/>
      <c r="C1" s="19"/>
      <c r="D1" s="19"/>
      <c r="E1" s="19"/>
      <c r="F1" s="19"/>
      <c r="G1" s="19"/>
    </row>
    <row r="2" spans="1:130" ht="25.15" customHeight="1">
      <c r="A2" s="39"/>
      <c r="B2" s="39"/>
      <c r="C2" s="39"/>
      <c r="D2" s="41" t="s">
        <v>731</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710</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ht="27">
      <c r="A9" s="28"/>
      <c r="B9" s="28"/>
      <c r="C9" s="28" t="s">
        <v>577</v>
      </c>
      <c r="D9" s="43"/>
      <c r="E9" s="20" t="str">
        <f>TEXT(DATE(MID(E10,7,4),MID(E10,4,2),MID(E10,1,2)),"dd/MM/yyyy")&amp;" - "&amp;TEXT(DATE(MID(E11,7,4),MID(E11,4,2),MID(E11,1,2)),"dd/MM/yyyy")</f>
        <v>01/01/2024 - 31/12/2024</v>
      </c>
      <c r="F9" s="19"/>
      <c r="G9" s="28"/>
    </row>
    <row r="10" spans="1:130" ht="20" hidden="1" customHeight="1">
      <c r="A10" s="28"/>
      <c r="B10" s="28"/>
      <c r="C10" s="28" t="s">
        <v>579</v>
      </c>
      <c r="D10" s="43"/>
      <c r="E10" s="44" t="str">
        <f>StartUp!$D$8</f>
        <v>01/01/2024</v>
      </c>
      <c r="F10" s="19"/>
      <c r="G10" s="28"/>
    </row>
    <row r="11" spans="1:130" ht="20" hidden="1" customHeight="1">
      <c r="A11" s="28"/>
      <c r="B11" s="28"/>
      <c r="C11" s="28" t="s">
        <v>580</v>
      </c>
      <c r="D11" s="43"/>
      <c r="E11" s="44" t="str">
        <f>StartUp!$D$9</f>
        <v>31/12/2024</v>
      </c>
      <c r="F11" s="19"/>
      <c r="G11" s="28"/>
    </row>
    <row r="12" spans="1:130">
      <c r="A12" s="28"/>
      <c r="B12" s="28"/>
      <c r="C12" s="28" t="s">
        <v>509</v>
      </c>
      <c r="D12" s="30"/>
      <c r="E12" s="19"/>
      <c r="F12" s="19"/>
      <c r="G12" s="28"/>
    </row>
    <row r="13" spans="1:130">
      <c r="A13" s="28" t="s">
        <v>711</v>
      </c>
      <c r="B13" s="28"/>
      <c r="C13" s="28"/>
      <c r="D13" s="31" t="s">
        <v>721</v>
      </c>
      <c r="E13" s="31"/>
      <c r="F13" s="19"/>
      <c r="G13" s="28"/>
    </row>
    <row r="14" spans="1:130" ht="27">
      <c r="A14" s="28" t="s">
        <v>712</v>
      </c>
      <c r="B14" s="28"/>
      <c r="C14" s="28"/>
      <c r="D14" s="53" t="s">
        <v>722</v>
      </c>
      <c r="E14" s="52"/>
      <c r="F14" s="19"/>
      <c r="G14" s="28"/>
    </row>
    <row r="15" spans="1:130" ht="40.5">
      <c r="A15" s="28" t="s">
        <v>713</v>
      </c>
      <c r="B15" s="28"/>
      <c r="C15" s="28"/>
      <c r="D15" s="53" t="s">
        <v>723</v>
      </c>
      <c r="E15" s="34"/>
      <c r="F15" s="19"/>
      <c r="G15" s="28"/>
    </row>
    <row r="16" spans="1:130">
      <c r="A16" s="28" t="s">
        <v>714</v>
      </c>
      <c r="B16" s="28"/>
      <c r="C16" s="28"/>
      <c r="D16" s="35" t="s">
        <v>724</v>
      </c>
      <c r="E16" s="36"/>
      <c r="F16" s="19"/>
      <c r="G16" s="28"/>
    </row>
    <row r="17" spans="1:7">
      <c r="A17" s="28" t="s">
        <v>715</v>
      </c>
      <c r="B17" s="28"/>
      <c r="C17" s="28"/>
      <c r="D17" s="35" t="s">
        <v>725</v>
      </c>
      <c r="E17" s="36"/>
      <c r="F17" s="19"/>
      <c r="G17" s="28"/>
    </row>
    <row r="18" spans="1:7">
      <c r="A18" s="28" t="s">
        <v>716</v>
      </c>
      <c r="B18" s="28"/>
      <c r="C18" s="28"/>
      <c r="D18" s="35" t="s">
        <v>726</v>
      </c>
      <c r="E18" s="36"/>
      <c r="F18" s="19"/>
      <c r="G18" s="28"/>
    </row>
    <row r="19" spans="1:7">
      <c r="A19" s="28" t="s">
        <v>717</v>
      </c>
      <c r="B19" s="28"/>
      <c r="C19" s="28"/>
      <c r="D19" s="35" t="s">
        <v>727</v>
      </c>
      <c r="E19" s="36"/>
      <c r="F19" s="19"/>
      <c r="G19" s="28"/>
    </row>
    <row r="20" spans="1:7">
      <c r="A20" s="28" t="s">
        <v>718</v>
      </c>
      <c r="B20" s="28"/>
      <c r="C20" s="28"/>
      <c r="D20" s="53" t="s">
        <v>728</v>
      </c>
      <c r="E20" s="34"/>
      <c r="F20" s="19"/>
      <c r="G20" s="28"/>
    </row>
    <row r="21" spans="1:7">
      <c r="A21" s="28" t="s">
        <v>719</v>
      </c>
      <c r="B21" s="28"/>
      <c r="C21" s="28"/>
      <c r="D21" s="32" t="s">
        <v>729</v>
      </c>
      <c r="E21" s="31"/>
      <c r="F21" s="19"/>
      <c r="G21" s="28"/>
    </row>
    <row r="22" spans="1:7">
      <c r="A22" s="28" t="s">
        <v>720</v>
      </c>
      <c r="B22" s="28"/>
      <c r="C22" s="28"/>
      <c r="D22" s="33" t="s">
        <v>730</v>
      </c>
      <c r="E22" s="54"/>
      <c r="F22" s="19"/>
      <c r="G22" s="28"/>
    </row>
    <row r="23" spans="1:7" hidden="1">
      <c r="A23" s="28"/>
      <c r="B23" s="28"/>
      <c r="C23" s="28" t="s">
        <v>509</v>
      </c>
      <c r="D23" s="19"/>
      <c r="E23" s="19"/>
      <c r="F23" s="19"/>
      <c r="G23" s="28"/>
    </row>
    <row r="24" spans="1:7" hidden="1">
      <c r="A24" s="28"/>
      <c r="B24" s="28"/>
      <c r="C24" s="28" t="s">
        <v>512</v>
      </c>
      <c r="D24" s="28"/>
      <c r="E24" s="28"/>
      <c r="F24" s="28"/>
      <c r="G24" s="28" t="s">
        <v>513</v>
      </c>
    </row>
  </sheetData>
  <sheetProtection algorithmName="SHA-1" hashValue="Vvs4pyRVsz7wp9ecg5GkaNgulBc=" saltValue="mJ02TCcAGjOZ1z8pNhSRxQ==" spinCount="100000" sheet="1" objects="1" scenarios="1" formatColumns="0" formatRows="0"/>
  <dataValidations count="1">
    <dataValidation type="whole" allowBlank="1" showInputMessage="1" showErrorMessage="1" error="Please enter an integer value only without any decimal point" sqref="E22" xr:uid="{27F4E092-3A15-409F-806C-38F3CA4A34AF}">
      <formula1>0</formula1>
      <formula2>999999999999999</formula2>
    </dataValidation>
  </dataValidations>
  <pageMargins left="0.7" right="0.7" top="0.75" bottom="0.75" header="0.3" footer="0.3"/>
  <drawing r:id="rId1"/>
  <legacyDrawing r:id="rId2"/>
  <controls>
    <mc:AlternateContent xmlns:mc="http://schemas.openxmlformats.org/markup-compatibility/2006">
      <mc:Choice Requires="x14">
        <control shapeId="11324"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1324" r:id="rId3" name="LegendBtn"/>
      </mc:Fallback>
    </mc:AlternateContent>
    <mc:AlternateContent xmlns:mc="http://schemas.openxmlformats.org/markup-compatibility/2006">
      <mc:Choice Requires="x14">
        <control shapeId="11323"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1323" r:id="rId5" name="HelpBtn"/>
      </mc:Fallback>
    </mc:AlternateContent>
    <mc:AlternateContent xmlns:mc="http://schemas.openxmlformats.org/markup-compatibility/2006">
      <mc:Choice Requires="x14">
        <control shapeId="11322"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1322" r:id="rId7" name="ToolboxBtn"/>
      </mc:Fallback>
    </mc:AlternateContent>
    <mc:AlternateContent xmlns:mc="http://schemas.openxmlformats.org/markup-compatibility/2006">
      <mc:Choice Requires="x14">
        <control shapeId="11321"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1321" r:id="rId9" name="HomeBtn"/>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9C25-3D5E-4508-9E76-E23EE8633399}">
  <sheetPr codeName="Sheet6"/>
  <dimension ref="A1:DZ43"/>
  <sheetViews>
    <sheetView showGridLines="0" workbookViewId="0">
      <pane ySplit="2" topLeftCell="A3" activePane="bottomLeft" state="frozen"/>
      <selection pane="bottomLeft" activeCell="E15" sqref="E15"/>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732</v>
      </c>
      <c r="B1" s="19"/>
      <c r="C1" s="19"/>
      <c r="D1" s="19"/>
      <c r="E1" s="19"/>
      <c r="F1" s="19"/>
      <c r="G1" s="19"/>
    </row>
    <row r="2" spans="1:130" ht="25.15" customHeight="1">
      <c r="A2" s="39"/>
      <c r="B2" s="39"/>
      <c r="C2" s="39"/>
      <c r="D2" s="41" t="s">
        <v>792</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733</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ht="27">
      <c r="A9" s="28"/>
      <c r="B9" s="28"/>
      <c r="C9" s="28" t="s">
        <v>577</v>
      </c>
      <c r="D9" s="43"/>
      <c r="E9" s="20" t="str">
        <f>TEXT(DATE(MID(E10,7,4),MID(E10,4,2),MID(E10,1,2)),"dd/MM/yyyy")&amp;" - "&amp;TEXT(DATE(MID(E11,7,4),MID(E11,4,2),MID(E11,1,2)),"dd/MM/yyyy")</f>
        <v>01/01/2024 - 31/12/2024</v>
      </c>
      <c r="F9" s="19"/>
      <c r="G9" s="28"/>
    </row>
    <row r="10" spans="1:130" ht="20" hidden="1" customHeight="1">
      <c r="A10" s="28"/>
      <c r="B10" s="28"/>
      <c r="C10" s="28" t="s">
        <v>579</v>
      </c>
      <c r="D10" s="43"/>
      <c r="E10" s="44" t="str">
        <f>StartUp!$D$8</f>
        <v>01/01/2024</v>
      </c>
      <c r="F10" s="19"/>
      <c r="G10" s="28"/>
    </row>
    <row r="11" spans="1:130" ht="20" hidden="1" customHeight="1">
      <c r="A11" s="28"/>
      <c r="B11" s="28"/>
      <c r="C11" s="28" t="s">
        <v>580</v>
      </c>
      <c r="D11" s="43"/>
      <c r="E11" s="44" t="str">
        <f>StartUp!$D$9</f>
        <v>31/12/2024</v>
      </c>
      <c r="F11" s="19"/>
      <c r="G11" s="28"/>
    </row>
    <row r="12" spans="1:130">
      <c r="A12" s="28"/>
      <c r="B12" s="28"/>
      <c r="C12" s="28" t="s">
        <v>509</v>
      </c>
      <c r="D12" s="30"/>
      <c r="E12" s="19"/>
      <c r="F12" s="19"/>
      <c r="G12" s="28"/>
    </row>
    <row r="13" spans="1:130">
      <c r="A13" s="28" t="s">
        <v>734</v>
      </c>
      <c r="B13" s="28"/>
      <c r="C13" s="28"/>
      <c r="D13" s="31" t="s">
        <v>763</v>
      </c>
      <c r="E13" s="31"/>
      <c r="F13" s="19"/>
      <c r="G13" s="28"/>
    </row>
    <row r="14" spans="1:130">
      <c r="A14" s="28" t="s">
        <v>735</v>
      </c>
      <c r="B14" s="28"/>
      <c r="C14" s="28"/>
      <c r="D14" s="32" t="s">
        <v>764</v>
      </c>
      <c r="E14" s="31"/>
      <c r="F14" s="19"/>
      <c r="G14" s="28"/>
    </row>
    <row r="15" spans="1:130">
      <c r="A15" s="28" t="s">
        <v>736</v>
      </c>
      <c r="B15" s="28"/>
      <c r="C15" s="28"/>
      <c r="D15" s="33" t="s">
        <v>784</v>
      </c>
      <c r="E15" s="52"/>
      <c r="F15" s="19"/>
      <c r="G15" s="28"/>
    </row>
    <row r="16" spans="1:130" ht="81">
      <c r="A16" s="28" t="s">
        <v>737</v>
      </c>
      <c r="B16" s="28"/>
      <c r="C16" s="28"/>
      <c r="D16" s="33" t="s">
        <v>785</v>
      </c>
      <c r="E16" s="36"/>
      <c r="F16" s="19"/>
      <c r="G16" s="28"/>
    </row>
    <row r="17" spans="1:7" ht="27">
      <c r="A17" s="28" t="s">
        <v>738</v>
      </c>
      <c r="B17" s="28"/>
      <c r="C17" s="28"/>
      <c r="D17" s="33" t="s">
        <v>786</v>
      </c>
      <c r="E17" s="36"/>
      <c r="F17" s="19"/>
      <c r="G17" s="28"/>
    </row>
    <row r="18" spans="1:7" ht="27">
      <c r="A18" s="28" t="s">
        <v>739</v>
      </c>
      <c r="B18" s="28"/>
      <c r="C18" s="28"/>
      <c r="D18" s="33" t="s">
        <v>787</v>
      </c>
      <c r="E18" s="34"/>
      <c r="F18" s="19"/>
      <c r="G18" s="28"/>
    </row>
    <row r="19" spans="1:7" ht="40.5">
      <c r="A19" s="28" t="s">
        <v>740</v>
      </c>
      <c r="B19" s="28"/>
      <c r="C19" s="28"/>
      <c r="D19" s="33" t="s">
        <v>788</v>
      </c>
      <c r="E19" s="36"/>
      <c r="F19" s="19"/>
      <c r="G19" s="28"/>
    </row>
    <row r="20" spans="1:7" ht="27">
      <c r="A20" s="28" t="s">
        <v>741</v>
      </c>
      <c r="B20" s="28"/>
      <c r="C20" s="28"/>
      <c r="D20" s="33" t="s">
        <v>789</v>
      </c>
      <c r="E20" s="36"/>
      <c r="F20" s="19"/>
      <c r="G20" s="28"/>
    </row>
    <row r="21" spans="1:7" ht="27">
      <c r="A21" s="28" t="s">
        <v>742</v>
      </c>
      <c r="B21" s="28"/>
      <c r="C21" s="28"/>
      <c r="D21" s="33" t="s">
        <v>790</v>
      </c>
      <c r="E21" s="34"/>
      <c r="F21" s="19"/>
      <c r="G21" s="28"/>
    </row>
    <row r="22" spans="1:7" ht="27">
      <c r="A22" s="28" t="s">
        <v>743</v>
      </c>
      <c r="B22" s="28"/>
      <c r="C22" s="28"/>
      <c r="D22" s="35" t="s">
        <v>765</v>
      </c>
      <c r="E22" s="34"/>
      <c r="F22" s="19"/>
      <c r="G22" s="28"/>
    </row>
    <row r="23" spans="1:7" ht="40.5">
      <c r="A23" s="28" t="s">
        <v>744</v>
      </c>
      <c r="B23" s="28"/>
      <c r="C23" s="28"/>
      <c r="D23" s="35" t="s">
        <v>766</v>
      </c>
      <c r="E23" s="36"/>
      <c r="F23" s="19"/>
      <c r="G23" s="28"/>
    </row>
    <row r="24" spans="1:7" ht="27">
      <c r="A24" s="28" t="s">
        <v>745</v>
      </c>
      <c r="B24" s="28"/>
      <c r="C24" s="28"/>
      <c r="D24" s="35" t="s">
        <v>767</v>
      </c>
      <c r="E24" s="36"/>
      <c r="F24" s="19"/>
      <c r="G24" s="28"/>
    </row>
    <row r="25" spans="1:7" ht="27">
      <c r="A25" s="28" t="s">
        <v>746</v>
      </c>
      <c r="B25" s="28"/>
      <c r="C25" s="28"/>
      <c r="D25" s="35" t="s">
        <v>768</v>
      </c>
      <c r="E25" s="34"/>
      <c r="F25" s="19"/>
      <c r="G25" s="28"/>
    </row>
    <row r="26" spans="1:7" ht="27">
      <c r="A26" s="28" t="s">
        <v>747</v>
      </c>
      <c r="B26" s="28"/>
      <c r="C26" s="28"/>
      <c r="D26" s="35" t="s">
        <v>769</v>
      </c>
      <c r="E26" s="34"/>
      <c r="F26" s="19"/>
      <c r="G26" s="28"/>
    </row>
    <row r="27" spans="1:7" ht="40.5">
      <c r="A27" s="28" t="s">
        <v>748</v>
      </c>
      <c r="B27" s="28"/>
      <c r="C27" s="28"/>
      <c r="D27" s="35" t="s">
        <v>770</v>
      </c>
      <c r="E27" s="36"/>
      <c r="F27" s="19"/>
      <c r="G27" s="28"/>
    </row>
    <row r="28" spans="1:7" ht="27">
      <c r="A28" s="28" t="s">
        <v>749</v>
      </c>
      <c r="B28" s="28"/>
      <c r="C28" s="28"/>
      <c r="D28" s="35" t="s">
        <v>771</v>
      </c>
      <c r="E28" s="36"/>
      <c r="F28" s="19"/>
      <c r="G28" s="28"/>
    </row>
    <row r="29" spans="1:7" ht="27">
      <c r="A29" s="28" t="s">
        <v>750</v>
      </c>
      <c r="B29" s="28"/>
      <c r="C29" s="28"/>
      <c r="D29" s="35" t="s">
        <v>772</v>
      </c>
      <c r="E29" s="34"/>
      <c r="F29" s="19"/>
      <c r="G29" s="28"/>
    </row>
    <row r="30" spans="1:7" ht="27">
      <c r="A30" s="28" t="s">
        <v>751</v>
      </c>
      <c r="B30" s="28"/>
      <c r="C30" s="28"/>
      <c r="D30" s="35" t="s">
        <v>773</v>
      </c>
      <c r="E30" s="34"/>
      <c r="F30" s="19"/>
      <c r="G30" s="28"/>
    </row>
    <row r="31" spans="1:7" ht="40.5">
      <c r="A31" s="28" t="s">
        <v>752</v>
      </c>
      <c r="B31" s="28"/>
      <c r="C31" s="28"/>
      <c r="D31" s="35" t="s">
        <v>774</v>
      </c>
      <c r="E31" s="36"/>
      <c r="F31" s="19"/>
      <c r="G31" s="28"/>
    </row>
    <row r="32" spans="1:7" ht="27">
      <c r="A32" s="28" t="s">
        <v>753</v>
      </c>
      <c r="B32" s="28"/>
      <c r="C32" s="28"/>
      <c r="D32" s="35" t="s">
        <v>775</v>
      </c>
      <c r="E32" s="36"/>
      <c r="F32" s="19"/>
      <c r="G32" s="28"/>
    </row>
    <row r="33" spans="1:7" ht="27">
      <c r="A33" s="28" t="s">
        <v>754</v>
      </c>
      <c r="B33" s="28"/>
      <c r="C33" s="28"/>
      <c r="D33" s="35" t="s">
        <v>776</v>
      </c>
      <c r="E33" s="34"/>
      <c r="F33" s="19"/>
      <c r="G33" s="28"/>
    </row>
    <row r="34" spans="1:7" ht="27">
      <c r="A34" s="28" t="s">
        <v>755</v>
      </c>
      <c r="B34" s="28"/>
      <c r="C34" s="28"/>
      <c r="D34" s="35" t="s">
        <v>777</v>
      </c>
      <c r="E34" s="34"/>
      <c r="F34" s="19"/>
      <c r="G34" s="28"/>
    </row>
    <row r="35" spans="1:7" ht="40.5">
      <c r="A35" s="28" t="s">
        <v>756</v>
      </c>
      <c r="B35" s="28"/>
      <c r="C35" s="28"/>
      <c r="D35" s="35" t="s">
        <v>778</v>
      </c>
      <c r="E35" s="36"/>
      <c r="F35" s="19"/>
      <c r="G35" s="28"/>
    </row>
    <row r="36" spans="1:7" ht="27">
      <c r="A36" s="28" t="s">
        <v>757</v>
      </c>
      <c r="B36" s="28"/>
      <c r="C36" s="28"/>
      <c r="D36" s="35" t="s">
        <v>779</v>
      </c>
      <c r="E36" s="36"/>
      <c r="F36" s="19"/>
      <c r="G36" s="28"/>
    </row>
    <row r="37" spans="1:7" ht="27">
      <c r="A37" s="28" t="s">
        <v>758</v>
      </c>
      <c r="B37" s="28"/>
      <c r="C37" s="28"/>
      <c r="D37" s="35" t="s">
        <v>780</v>
      </c>
      <c r="E37" s="34"/>
      <c r="F37" s="19"/>
      <c r="G37" s="28"/>
    </row>
    <row r="38" spans="1:7" ht="27">
      <c r="A38" s="28" t="s">
        <v>759</v>
      </c>
      <c r="B38" s="28"/>
      <c r="C38" s="28"/>
      <c r="D38" s="35" t="s">
        <v>781</v>
      </c>
      <c r="E38" s="34"/>
      <c r="F38" s="19"/>
      <c r="G38" s="28"/>
    </row>
    <row r="39" spans="1:7" ht="40.5">
      <c r="A39" s="28" t="s">
        <v>760</v>
      </c>
      <c r="B39" s="28"/>
      <c r="C39" s="28"/>
      <c r="D39" s="35" t="s">
        <v>782</v>
      </c>
      <c r="E39" s="36"/>
      <c r="F39" s="19"/>
      <c r="G39" s="28"/>
    </row>
    <row r="40" spans="1:7" ht="40.5">
      <c r="A40" s="28" t="s">
        <v>761</v>
      </c>
      <c r="B40" s="28"/>
      <c r="C40" s="28"/>
      <c r="D40" s="35" t="s">
        <v>783</v>
      </c>
      <c r="E40" s="34"/>
      <c r="F40" s="19"/>
      <c r="G40" s="28"/>
    </row>
    <row r="41" spans="1:7">
      <c r="A41" s="28" t="s">
        <v>762</v>
      </c>
      <c r="B41" s="28"/>
      <c r="C41" s="28"/>
      <c r="D41" s="33" t="s">
        <v>791</v>
      </c>
      <c r="E41" s="37"/>
      <c r="F41" s="19"/>
      <c r="G41" s="28"/>
    </row>
    <row r="42" spans="1:7" hidden="1">
      <c r="A42" s="28"/>
      <c r="B42" s="28"/>
      <c r="C42" s="28" t="s">
        <v>509</v>
      </c>
      <c r="D42" s="19"/>
      <c r="E42" s="19"/>
      <c r="F42" s="19"/>
      <c r="G42" s="28"/>
    </row>
    <row r="43" spans="1:7" hidden="1">
      <c r="A43" s="28"/>
      <c r="B43" s="28"/>
      <c r="C43" s="28" t="s">
        <v>512</v>
      </c>
      <c r="D43" s="28"/>
      <c r="E43" s="28"/>
      <c r="F43" s="28"/>
      <c r="G43" s="28" t="s">
        <v>513</v>
      </c>
    </row>
  </sheetData>
  <sheetProtection algorithmName="SHA-1" hashValue="N9IyKitwk5uIFaC7oqLOVPj4r+g=" saltValue="NU2dxWSEhdm9u2RJnEtWzw=="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12348"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2348" r:id="rId3" name="LegendBtn"/>
      </mc:Fallback>
    </mc:AlternateContent>
    <mc:AlternateContent xmlns:mc="http://schemas.openxmlformats.org/markup-compatibility/2006">
      <mc:Choice Requires="x14">
        <control shapeId="12347"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2347" r:id="rId5" name="HelpBtn"/>
      </mc:Fallback>
    </mc:AlternateContent>
    <mc:AlternateContent xmlns:mc="http://schemas.openxmlformats.org/markup-compatibility/2006">
      <mc:Choice Requires="x14">
        <control shapeId="12346"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2346" r:id="rId7" name="ToolboxBtn"/>
      </mc:Fallback>
    </mc:AlternateContent>
    <mc:AlternateContent xmlns:mc="http://schemas.openxmlformats.org/markup-compatibility/2006">
      <mc:Choice Requires="x14">
        <control shapeId="12345"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2345" r:id="rId9" name="HomeBtn"/>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DAA7-3483-415F-9D14-C83A92AC9B8F}">
  <sheetPr codeName="Sheet7"/>
  <dimension ref="A1:DZ24"/>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793</v>
      </c>
      <c r="B1" s="19"/>
      <c r="C1" s="19"/>
      <c r="D1" s="19"/>
      <c r="E1" s="19"/>
      <c r="F1" s="19"/>
      <c r="G1" s="19"/>
    </row>
    <row r="2" spans="1:130" ht="25.15" customHeight="1">
      <c r="A2" s="39"/>
      <c r="B2" s="39"/>
      <c r="C2" s="39"/>
      <c r="D2" s="41" t="s">
        <v>815</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816</v>
      </c>
      <c r="E3" s="19"/>
      <c r="F3" s="19"/>
      <c r="G3" s="19"/>
    </row>
    <row r="4" spans="1:130" hidden="1">
      <c r="A4" s="19"/>
      <c r="B4" s="19"/>
      <c r="C4" s="19"/>
      <c r="D4" s="19"/>
      <c r="E4" s="19"/>
      <c r="F4" s="19"/>
      <c r="G4" s="19"/>
    </row>
    <row r="5" spans="1:130" ht="15" hidden="1" customHeight="1">
      <c r="A5" s="28"/>
      <c r="B5" s="28"/>
      <c r="C5" s="29" t="s">
        <v>794</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ht="27">
      <c r="A9" s="28"/>
      <c r="B9" s="28"/>
      <c r="C9" s="28" t="s">
        <v>577</v>
      </c>
      <c r="D9" s="43"/>
      <c r="E9" s="20" t="str">
        <f>TEXT(DATE(MID(E10,7,4),MID(E10,4,2),MID(E10,1,2)),"dd/MM/yyyy")&amp;" - "&amp;TEXT(DATE(MID(E11,7,4),MID(E11,4,2),MID(E11,1,2)),"dd/MM/yyyy")</f>
        <v>01/01/2024 - 31/12/2024</v>
      </c>
      <c r="F9" s="19"/>
      <c r="G9" s="28"/>
    </row>
    <row r="10" spans="1:130" ht="20" hidden="1" customHeight="1">
      <c r="A10" s="28"/>
      <c r="B10" s="28"/>
      <c r="C10" s="28" t="s">
        <v>579</v>
      </c>
      <c r="D10" s="43"/>
      <c r="E10" s="44" t="str">
        <f>StartUp!$D$8</f>
        <v>01/01/2024</v>
      </c>
      <c r="F10" s="19"/>
      <c r="G10" s="28"/>
    </row>
    <row r="11" spans="1:130" ht="20" hidden="1" customHeight="1">
      <c r="A11" s="28"/>
      <c r="B11" s="28"/>
      <c r="C11" s="28" t="s">
        <v>580</v>
      </c>
      <c r="D11" s="43"/>
      <c r="E11" s="44" t="str">
        <f>StartUp!$D$9</f>
        <v>31/12/2024</v>
      </c>
      <c r="F11" s="19"/>
      <c r="G11" s="28"/>
    </row>
    <row r="12" spans="1:130">
      <c r="A12" s="28"/>
      <c r="B12" s="28"/>
      <c r="C12" s="28" t="s">
        <v>509</v>
      </c>
      <c r="D12" s="30"/>
      <c r="E12" s="19"/>
      <c r="F12" s="19"/>
      <c r="G12" s="28"/>
    </row>
    <row r="13" spans="1:130">
      <c r="A13" s="28" t="s">
        <v>795</v>
      </c>
      <c r="B13" s="28"/>
      <c r="C13" s="28"/>
      <c r="D13" s="31" t="s">
        <v>805</v>
      </c>
      <c r="E13" s="31"/>
      <c r="F13" s="19"/>
      <c r="G13" s="28"/>
    </row>
    <row r="14" spans="1:130">
      <c r="A14" s="28" t="s">
        <v>796</v>
      </c>
      <c r="B14" s="28"/>
      <c r="C14" s="28"/>
      <c r="D14" s="55" t="s">
        <v>812</v>
      </c>
      <c r="E14" s="37"/>
      <c r="F14" s="19"/>
      <c r="G14" s="28"/>
    </row>
    <row r="15" spans="1:130">
      <c r="A15" s="28" t="s">
        <v>797</v>
      </c>
      <c r="B15" s="28"/>
      <c r="C15" s="28"/>
      <c r="D15" s="55" t="s">
        <v>813</v>
      </c>
      <c r="E15" s="36"/>
      <c r="F15" s="19"/>
      <c r="G15" s="28"/>
    </row>
    <row r="16" spans="1:130">
      <c r="A16" s="28" t="s">
        <v>798</v>
      </c>
      <c r="B16" s="28"/>
      <c r="C16" s="28"/>
      <c r="D16" s="53" t="s">
        <v>806</v>
      </c>
      <c r="E16" s="34"/>
      <c r="F16" s="19"/>
      <c r="G16" s="28"/>
    </row>
    <row r="17" spans="1:7">
      <c r="A17" s="28" t="s">
        <v>799</v>
      </c>
      <c r="B17" s="28"/>
      <c r="C17" s="28"/>
      <c r="D17" s="53" t="s">
        <v>807</v>
      </c>
      <c r="E17" s="36"/>
      <c r="F17" s="19"/>
      <c r="G17" s="28"/>
    </row>
    <row r="18" spans="1:7" ht="27">
      <c r="A18" s="28" t="s">
        <v>800</v>
      </c>
      <c r="B18" s="28"/>
      <c r="C18" s="28"/>
      <c r="D18" s="55" t="s">
        <v>814</v>
      </c>
      <c r="E18" s="36"/>
      <c r="F18" s="19"/>
      <c r="G18" s="28"/>
    </row>
    <row r="19" spans="1:7" ht="27">
      <c r="A19" s="28" t="s">
        <v>801</v>
      </c>
      <c r="B19" s="28"/>
      <c r="C19" s="28"/>
      <c r="D19" s="53" t="s">
        <v>808</v>
      </c>
      <c r="E19" s="52"/>
      <c r="F19" s="19"/>
      <c r="G19" s="28"/>
    </row>
    <row r="20" spans="1:7">
      <c r="A20" s="28" t="s">
        <v>802</v>
      </c>
      <c r="B20" s="28"/>
      <c r="C20" s="28"/>
      <c r="D20" s="53" t="s">
        <v>809</v>
      </c>
      <c r="E20" s="37"/>
      <c r="F20" s="19"/>
      <c r="G20" s="28"/>
    </row>
    <row r="21" spans="1:7">
      <c r="A21" s="28" t="s">
        <v>803</v>
      </c>
      <c r="B21" s="28"/>
      <c r="C21" s="28"/>
      <c r="D21" s="53" t="s">
        <v>810</v>
      </c>
      <c r="E21" s="36"/>
      <c r="F21" s="19"/>
      <c r="G21" s="28"/>
    </row>
    <row r="22" spans="1:7" ht="27">
      <c r="A22" s="28" t="s">
        <v>804</v>
      </c>
      <c r="B22" s="28"/>
      <c r="C22" s="28"/>
      <c r="D22" s="53" t="s">
        <v>811</v>
      </c>
      <c r="E22" s="34"/>
      <c r="F22" s="19"/>
      <c r="G22" s="28"/>
    </row>
    <row r="23" spans="1:7" hidden="1">
      <c r="A23" s="28"/>
      <c r="B23" s="28"/>
      <c r="C23" s="28" t="s">
        <v>509</v>
      </c>
      <c r="D23" s="19"/>
      <c r="E23" s="19"/>
      <c r="F23" s="19"/>
      <c r="G23" s="28"/>
    </row>
    <row r="24" spans="1:7" hidden="1">
      <c r="A24" s="28"/>
      <c r="B24" s="28"/>
      <c r="C24" s="28" t="s">
        <v>512</v>
      </c>
      <c r="D24" s="28"/>
      <c r="E24" s="28"/>
      <c r="F24" s="28"/>
      <c r="G24" s="28" t="s">
        <v>513</v>
      </c>
    </row>
  </sheetData>
  <sheetProtection algorithmName="SHA-1" hashValue="9VH46L1tZes9HI2mGxBmMxH4BuA=" saltValue="NsJ3pViqHZojsypV54gGqw=="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13372"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3372" r:id="rId3" name="LegendBtn"/>
      </mc:Fallback>
    </mc:AlternateContent>
    <mc:AlternateContent xmlns:mc="http://schemas.openxmlformats.org/markup-compatibility/2006">
      <mc:Choice Requires="x14">
        <control shapeId="13371"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3371" r:id="rId5" name="HelpBtn"/>
      </mc:Fallback>
    </mc:AlternateContent>
    <mc:AlternateContent xmlns:mc="http://schemas.openxmlformats.org/markup-compatibility/2006">
      <mc:Choice Requires="x14">
        <control shapeId="13370"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3370" r:id="rId7" name="ToolboxBtn"/>
      </mc:Fallback>
    </mc:AlternateContent>
    <mc:AlternateContent xmlns:mc="http://schemas.openxmlformats.org/markup-compatibility/2006">
      <mc:Choice Requires="x14">
        <control shapeId="13369"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3369" r:id="rId9" name="HomeBtn"/>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8095-1E2E-48E4-A148-ED87F10DD168}">
  <sheetPr codeName="Sheet8"/>
  <dimension ref="A1:DZ34"/>
  <sheetViews>
    <sheetView showGridLines="0" workbookViewId="0">
      <pane ySplit="2" topLeftCell="A3" activePane="bottomLeft" state="frozen"/>
      <selection pane="bottomLeft" activeCell="D27" sqref="D27"/>
    </sheetView>
  </sheetViews>
  <sheetFormatPr defaultRowHeight="14.5"/>
  <cols>
    <col min="1" max="2" width="0" hidden="1" customWidth="1"/>
    <col min="3" max="3" width="3.7265625" hidden="1" customWidth="1"/>
    <col min="4" max="4" width="50.7265625" customWidth="1"/>
    <col min="5" max="5" width="80.7265625" customWidth="1"/>
    <col min="6" max="6" width="22.7265625" customWidth="1"/>
    <col min="7" max="7" width="80.7265625" customWidth="1"/>
    <col min="8" max="14" width="22.7265625" customWidth="1"/>
  </cols>
  <sheetData>
    <row r="1" spans="1:130" ht="60" customHeight="1">
      <c r="A1" s="26" t="s">
        <v>817</v>
      </c>
      <c r="B1" s="19"/>
      <c r="C1" s="19"/>
      <c r="D1" s="19"/>
      <c r="E1" s="19"/>
      <c r="F1" s="19"/>
      <c r="G1" s="19"/>
      <c r="H1" s="19"/>
      <c r="I1" s="19"/>
      <c r="J1" s="19"/>
      <c r="K1" s="19"/>
      <c r="L1" s="19"/>
      <c r="M1" s="19"/>
      <c r="N1" s="19"/>
      <c r="O1" s="19"/>
      <c r="P1" s="19"/>
    </row>
    <row r="2" spans="1:130" ht="25.15" customHeight="1">
      <c r="A2" s="39"/>
      <c r="B2" s="39"/>
      <c r="C2" s="39"/>
      <c r="D2" s="41" t="s">
        <v>854</v>
      </c>
      <c r="E2" s="39"/>
      <c r="F2" s="39"/>
      <c r="G2" s="39"/>
      <c r="H2" s="39"/>
      <c r="I2" s="39"/>
      <c r="J2" s="39"/>
      <c r="K2" s="39"/>
      <c r="L2" s="39"/>
      <c r="M2" s="39"/>
      <c r="N2" s="39"/>
      <c r="O2" s="39"/>
      <c r="P2" s="39"/>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c r="I3" s="19"/>
      <c r="J3" s="19"/>
      <c r="K3" s="19"/>
      <c r="L3" s="19"/>
      <c r="M3" s="19"/>
      <c r="N3" s="19"/>
      <c r="O3" s="19"/>
      <c r="P3" s="19"/>
    </row>
    <row r="4" spans="1:130">
      <c r="A4" s="19"/>
      <c r="B4" s="19"/>
      <c r="C4" s="19"/>
      <c r="D4" s="42" t="s">
        <v>855</v>
      </c>
      <c r="E4" s="19"/>
      <c r="F4" s="19"/>
      <c r="G4" s="19"/>
      <c r="H4" s="19"/>
      <c r="I4" s="19"/>
      <c r="J4" s="19"/>
      <c r="K4" s="19"/>
      <c r="L4" s="19"/>
      <c r="M4" s="19"/>
      <c r="N4" s="19"/>
      <c r="O4" s="19"/>
      <c r="P4" s="19"/>
    </row>
    <row r="5" spans="1:130" ht="15" hidden="1" customHeight="1">
      <c r="A5" s="28"/>
      <c r="B5" s="28"/>
      <c r="C5" s="29" t="s">
        <v>818</v>
      </c>
      <c r="D5" s="28"/>
      <c r="E5" s="28"/>
      <c r="F5" s="28"/>
      <c r="G5" s="28"/>
      <c r="H5" s="19"/>
      <c r="I5" s="19"/>
      <c r="J5" s="19"/>
      <c r="K5" s="19"/>
      <c r="L5" s="19"/>
      <c r="M5" s="19"/>
      <c r="N5" s="19"/>
      <c r="O5" s="19"/>
      <c r="P5" s="19"/>
    </row>
    <row r="6" spans="1:130" hidden="1">
      <c r="A6" s="28"/>
      <c r="B6" s="28"/>
      <c r="C6" s="28"/>
      <c r="D6" s="28"/>
      <c r="E6" s="28"/>
      <c r="F6" s="28"/>
      <c r="G6" s="28"/>
      <c r="H6" s="19"/>
      <c r="I6" s="19"/>
      <c r="J6" s="19"/>
      <c r="K6" s="19"/>
      <c r="L6" s="19"/>
      <c r="M6" s="19"/>
      <c r="N6" s="19"/>
      <c r="O6" s="19"/>
      <c r="P6" s="19"/>
    </row>
    <row r="7" spans="1:130" hidden="1">
      <c r="A7" s="28"/>
      <c r="B7" s="28"/>
      <c r="C7" s="28"/>
      <c r="D7" s="28"/>
      <c r="E7" s="28"/>
      <c r="F7" s="28"/>
      <c r="G7" s="28"/>
      <c r="H7" s="19"/>
      <c r="I7" s="19"/>
      <c r="J7" s="19"/>
      <c r="K7" s="19"/>
      <c r="L7" s="19"/>
      <c r="M7" s="19"/>
      <c r="N7" s="19"/>
      <c r="O7" s="19"/>
      <c r="P7" s="19"/>
    </row>
    <row r="8" spans="1:130" hidden="1">
      <c r="A8" s="28"/>
      <c r="B8" s="28"/>
      <c r="C8" s="28" t="s">
        <v>510</v>
      </c>
      <c r="D8" s="28" t="s">
        <v>508</v>
      </c>
      <c r="E8" s="28"/>
      <c r="F8" s="28" t="s">
        <v>509</v>
      </c>
      <c r="G8" s="28" t="s">
        <v>511</v>
      </c>
      <c r="H8" s="19"/>
      <c r="I8" s="19"/>
      <c r="J8" s="19"/>
      <c r="K8" s="19"/>
      <c r="L8" s="19"/>
      <c r="M8" s="19"/>
      <c r="N8" s="19"/>
      <c r="O8" s="19"/>
      <c r="P8" s="19"/>
    </row>
    <row r="9" spans="1:130">
      <c r="A9" s="28"/>
      <c r="B9" s="28"/>
      <c r="C9" s="28" t="s">
        <v>577</v>
      </c>
      <c r="D9" s="43"/>
      <c r="E9" s="20" t="str">
        <f>TEXT(DATE(MID(E10,7,4),MID(E10,4,2),MID(E10,1,2)),"dd/MM/yyyy")&amp;" - "&amp;TEXT(DATE(MID(E11,7,4),MID(E11,4,2),MID(E11,1,2)),"dd/MM/yyyy")</f>
        <v>01/01/2024 - 31/12/2024</v>
      </c>
      <c r="F9" s="19"/>
      <c r="G9" s="28"/>
      <c r="H9" s="19"/>
      <c r="I9" s="19"/>
      <c r="J9" s="19"/>
      <c r="K9" s="19"/>
      <c r="L9" s="19"/>
      <c r="M9" s="19"/>
      <c r="N9" s="19"/>
      <c r="O9" s="19"/>
      <c r="P9" s="19"/>
    </row>
    <row r="10" spans="1:130" ht="20" hidden="1" customHeight="1">
      <c r="A10" s="28"/>
      <c r="B10" s="28"/>
      <c r="C10" s="28" t="s">
        <v>579</v>
      </c>
      <c r="D10" s="43"/>
      <c r="E10" s="44" t="str">
        <f>StartUp!$D$8</f>
        <v>01/01/2024</v>
      </c>
      <c r="F10" s="19"/>
      <c r="G10" s="28"/>
      <c r="H10" s="19"/>
      <c r="I10" s="19"/>
      <c r="J10" s="19"/>
      <c r="K10" s="19"/>
      <c r="L10" s="19"/>
      <c r="M10" s="19"/>
      <c r="N10" s="19"/>
      <c r="O10" s="19"/>
      <c r="P10" s="19"/>
    </row>
    <row r="11" spans="1:130" ht="20" hidden="1" customHeight="1">
      <c r="A11" s="28"/>
      <c r="B11" s="28"/>
      <c r="C11" s="28" t="s">
        <v>580</v>
      </c>
      <c r="D11" s="43"/>
      <c r="E11" s="44" t="str">
        <f>StartUp!$D$9</f>
        <v>31/12/2024</v>
      </c>
      <c r="F11" s="19"/>
      <c r="G11" s="28"/>
      <c r="H11" s="19"/>
      <c r="I11" s="19"/>
      <c r="J11" s="19"/>
      <c r="K11" s="19"/>
      <c r="L11" s="19"/>
      <c r="M11" s="19"/>
      <c r="N11" s="19"/>
      <c r="O11" s="19"/>
      <c r="P11" s="19"/>
    </row>
    <row r="12" spans="1:130">
      <c r="A12" s="28"/>
      <c r="B12" s="28"/>
      <c r="C12" s="28" t="s">
        <v>509</v>
      </c>
      <c r="D12" s="30"/>
      <c r="E12" s="19"/>
      <c r="F12" s="19"/>
      <c r="G12" s="28"/>
      <c r="H12" s="19"/>
      <c r="I12" s="19"/>
      <c r="J12" s="19"/>
      <c r="K12" s="19"/>
      <c r="L12" s="19"/>
      <c r="M12" s="19"/>
      <c r="N12" s="19"/>
      <c r="O12" s="19"/>
      <c r="P12" s="19"/>
    </row>
    <row r="13" spans="1:130">
      <c r="A13" s="28" t="s">
        <v>819</v>
      </c>
      <c r="B13" s="28"/>
      <c r="C13" s="28"/>
      <c r="D13" s="31" t="s">
        <v>824</v>
      </c>
      <c r="E13" s="31"/>
      <c r="F13" s="19"/>
      <c r="G13" s="28"/>
      <c r="H13" s="19"/>
      <c r="I13" s="19"/>
      <c r="J13" s="19"/>
      <c r="K13" s="19"/>
      <c r="L13" s="19"/>
      <c r="M13" s="19"/>
      <c r="N13" s="19"/>
      <c r="O13" s="19"/>
      <c r="P13" s="19"/>
    </row>
    <row r="14" spans="1:130">
      <c r="A14" s="28" t="s">
        <v>820</v>
      </c>
      <c r="B14" s="28"/>
      <c r="C14" s="28"/>
      <c r="D14" s="32" t="s">
        <v>825</v>
      </c>
      <c r="E14" s="31"/>
      <c r="F14" s="19"/>
      <c r="G14" s="28"/>
      <c r="H14" s="19"/>
      <c r="I14" s="19"/>
      <c r="J14" s="19"/>
      <c r="K14" s="19"/>
      <c r="L14" s="19"/>
      <c r="M14" s="19"/>
      <c r="N14" s="19"/>
      <c r="O14" s="19"/>
      <c r="P14" s="19"/>
    </row>
    <row r="15" spans="1:130">
      <c r="A15" s="28" t="s">
        <v>821</v>
      </c>
      <c r="B15" s="28"/>
      <c r="C15" s="28"/>
      <c r="D15" s="33" t="s">
        <v>840</v>
      </c>
      <c r="E15" s="52"/>
      <c r="F15" s="19"/>
      <c r="G15" s="28"/>
      <c r="H15" s="19"/>
      <c r="I15" s="19"/>
      <c r="J15" s="19"/>
      <c r="K15" s="19"/>
      <c r="L15" s="19"/>
      <c r="M15" s="19"/>
      <c r="N15" s="19"/>
      <c r="O15" s="19"/>
      <c r="P15" s="19"/>
    </row>
    <row r="16" spans="1:130">
      <c r="A16" s="28" t="s">
        <v>822</v>
      </c>
      <c r="B16" s="28"/>
      <c r="C16" s="28"/>
      <c r="D16" s="33" t="s">
        <v>841</v>
      </c>
      <c r="E16" s="36"/>
      <c r="F16" s="19"/>
      <c r="G16" s="28"/>
      <c r="H16" s="19"/>
      <c r="I16" s="19"/>
      <c r="J16" s="19"/>
      <c r="K16" s="19"/>
      <c r="L16" s="19"/>
      <c r="M16" s="19"/>
      <c r="N16" s="19"/>
      <c r="O16" s="19"/>
      <c r="P16" s="19"/>
    </row>
    <row r="17" spans="1:16">
      <c r="A17" s="28" t="s">
        <v>823</v>
      </c>
      <c r="B17" s="28"/>
      <c r="C17" s="28"/>
      <c r="D17" s="33" t="s">
        <v>842</v>
      </c>
      <c r="E17" s="37"/>
      <c r="F17" s="19"/>
      <c r="G17" s="28"/>
      <c r="H17" s="19"/>
      <c r="I17" s="19"/>
      <c r="J17" s="19"/>
      <c r="K17" s="19"/>
      <c r="L17" s="19"/>
      <c r="M17" s="19"/>
      <c r="N17" s="19"/>
      <c r="O17" s="19"/>
      <c r="P17" s="19"/>
    </row>
    <row r="18" spans="1:16" hidden="1">
      <c r="A18" s="28"/>
      <c r="B18" s="28"/>
      <c r="C18" s="28" t="s">
        <v>509</v>
      </c>
      <c r="D18" s="19"/>
      <c r="E18" s="19"/>
      <c r="F18" s="19"/>
      <c r="G18" s="28"/>
      <c r="H18" s="19"/>
      <c r="I18" s="19"/>
      <c r="J18" s="19"/>
      <c r="K18" s="19"/>
      <c r="L18" s="19"/>
      <c r="M18" s="19"/>
      <c r="N18" s="19"/>
      <c r="O18" s="19"/>
      <c r="P18" s="19"/>
    </row>
    <row r="19" spans="1:16" hidden="1">
      <c r="A19" s="28"/>
      <c r="B19" s="28"/>
      <c r="C19" s="28" t="s">
        <v>512</v>
      </c>
      <c r="D19" s="28"/>
      <c r="E19" s="28"/>
      <c r="F19" s="28"/>
      <c r="G19" s="28" t="s">
        <v>513</v>
      </c>
      <c r="H19" s="19"/>
      <c r="I19" s="19"/>
      <c r="J19" s="19"/>
      <c r="K19" s="19"/>
      <c r="L19" s="19"/>
      <c r="M19" s="19"/>
      <c r="N19" s="19"/>
      <c r="O19" s="19"/>
      <c r="P19" s="19"/>
    </row>
    <row r="20" spans="1:16">
      <c r="A20" s="19"/>
      <c r="B20" s="19"/>
      <c r="C20" s="19"/>
      <c r="D20" s="19"/>
      <c r="E20" s="19"/>
      <c r="F20" s="19"/>
      <c r="G20" s="19"/>
      <c r="H20" s="19"/>
      <c r="I20" s="19"/>
      <c r="J20" s="19"/>
      <c r="K20" s="19"/>
      <c r="L20" s="19"/>
      <c r="M20" s="19"/>
      <c r="N20" s="19"/>
      <c r="O20" s="19"/>
      <c r="P20" s="19"/>
    </row>
    <row r="21" spans="1:16">
      <c r="A21" s="19"/>
      <c r="B21" s="19"/>
      <c r="C21" s="19"/>
      <c r="D21" s="19"/>
      <c r="E21" s="19"/>
      <c r="F21" s="19"/>
      <c r="G21" s="19"/>
      <c r="H21" s="19"/>
      <c r="I21" s="19"/>
      <c r="J21" s="19"/>
      <c r="K21" s="19"/>
      <c r="L21" s="19"/>
      <c r="M21" s="19"/>
      <c r="N21" s="19"/>
      <c r="O21" s="19"/>
      <c r="P21" s="19"/>
    </row>
    <row r="22" spans="1:16">
      <c r="A22" s="19"/>
      <c r="B22" s="19"/>
      <c r="C22" s="19"/>
      <c r="D22" s="19"/>
      <c r="E22" s="19"/>
      <c r="F22" s="19"/>
      <c r="G22" s="19"/>
      <c r="H22" s="19"/>
      <c r="I22" s="19"/>
      <c r="J22" s="19"/>
      <c r="K22" s="19"/>
      <c r="L22" s="19"/>
      <c r="M22" s="19"/>
      <c r="N22" s="19"/>
      <c r="O22" s="19"/>
      <c r="P22" s="19"/>
    </row>
    <row r="23" spans="1:16" ht="15" hidden="1" customHeight="1">
      <c r="A23" s="28"/>
      <c r="B23" s="28"/>
      <c r="C23" s="29" t="s">
        <v>826</v>
      </c>
      <c r="D23" s="28"/>
      <c r="E23" s="28"/>
      <c r="F23" s="28"/>
      <c r="G23" s="28"/>
      <c r="H23" s="28"/>
      <c r="I23" s="28"/>
      <c r="J23" s="28"/>
      <c r="K23" s="28"/>
      <c r="L23" s="28"/>
      <c r="M23" s="28"/>
      <c r="N23" s="28"/>
      <c r="O23" s="28"/>
      <c r="P23" s="28"/>
    </row>
    <row r="24" spans="1:16" hidden="1">
      <c r="A24" s="28"/>
      <c r="B24" s="28"/>
      <c r="C24" s="28"/>
      <c r="D24" s="28"/>
      <c r="E24" s="28" t="s">
        <v>827</v>
      </c>
      <c r="F24" s="28" t="s">
        <v>828</v>
      </c>
      <c r="G24" s="28" t="s">
        <v>829</v>
      </c>
      <c r="H24" s="28" t="s">
        <v>830</v>
      </c>
      <c r="I24" s="28" t="s">
        <v>831</v>
      </c>
      <c r="J24" s="28" t="s">
        <v>832</v>
      </c>
      <c r="K24" s="28" t="s">
        <v>833</v>
      </c>
      <c r="L24" s="28" t="s">
        <v>834</v>
      </c>
      <c r="M24" s="28" t="s">
        <v>835</v>
      </c>
      <c r="N24" s="28" t="s">
        <v>836</v>
      </c>
      <c r="O24" s="28"/>
      <c r="P24" s="28"/>
    </row>
    <row r="25" spans="1:16" hidden="1">
      <c r="A25" s="28"/>
      <c r="B25" s="28"/>
      <c r="C25" s="28"/>
      <c r="D25" s="28" t="s">
        <v>837</v>
      </c>
      <c r="E25" s="28"/>
      <c r="F25" s="28"/>
      <c r="G25" s="28"/>
      <c r="H25" s="28"/>
      <c r="I25" s="28"/>
      <c r="J25" s="28"/>
      <c r="K25" s="28"/>
      <c r="L25" s="28"/>
      <c r="M25" s="28"/>
      <c r="N25" s="28"/>
      <c r="O25" s="28"/>
      <c r="P25" s="28"/>
    </row>
    <row r="26" spans="1:16" hidden="1">
      <c r="A26" s="28"/>
      <c r="B26" s="28"/>
      <c r="C26" s="28" t="s">
        <v>510</v>
      </c>
      <c r="D26" s="28" t="s">
        <v>599</v>
      </c>
      <c r="E26" s="28"/>
      <c r="F26" s="28"/>
      <c r="G26" s="28"/>
      <c r="H26" s="28"/>
      <c r="I26" s="28"/>
      <c r="J26" s="28"/>
      <c r="K26" s="28"/>
      <c r="L26" s="28"/>
      <c r="M26" s="28"/>
      <c r="N26" s="28"/>
      <c r="O26" s="28" t="s">
        <v>509</v>
      </c>
      <c r="P26" s="28" t="s">
        <v>511</v>
      </c>
    </row>
    <row r="27" spans="1:16" ht="50" customHeight="1">
      <c r="A27" s="28"/>
      <c r="B27" s="28"/>
      <c r="C27" s="28" t="s">
        <v>508</v>
      </c>
      <c r="D27" s="43"/>
      <c r="E27" s="45" t="s">
        <v>843</v>
      </c>
      <c r="F27" s="45" t="s">
        <v>844</v>
      </c>
      <c r="G27" s="45" t="s">
        <v>845</v>
      </c>
      <c r="H27" s="45" t="s">
        <v>846</v>
      </c>
      <c r="I27" s="45" t="s">
        <v>847</v>
      </c>
      <c r="J27" s="20" t="s">
        <v>838</v>
      </c>
      <c r="K27" s="20" t="s">
        <v>839</v>
      </c>
      <c r="L27" s="45" t="s">
        <v>848</v>
      </c>
      <c r="M27" s="45" t="s">
        <v>849</v>
      </c>
      <c r="N27" s="45" t="s">
        <v>850</v>
      </c>
      <c r="O27" s="19"/>
      <c r="P27" s="28"/>
    </row>
    <row r="28" spans="1:16" ht="27">
      <c r="A28" s="28"/>
      <c r="B28" s="28"/>
      <c r="C28" s="28" t="s">
        <v>577</v>
      </c>
      <c r="D28" s="43"/>
      <c r="E28" s="20" t="str">
        <f t="shared" ref="E28:N28" si="0">TEXT(DATE(MID(E29,7,4),MID(E29,4,2),MID(E29,1,2)),"dd/MM/yyyy")&amp;" - "&amp;TEXT(DATE(MID(E30,7,4),MID(E30,4,2),MID(E30,1,2)),"dd/MM/yyyy")</f>
        <v>01/01/2024 - 31/12/2024</v>
      </c>
      <c r="F28" s="20" t="str">
        <f t="shared" si="0"/>
        <v>01/01/2024 - 31/12/2024</v>
      </c>
      <c r="G28" s="20" t="str">
        <f t="shared" si="0"/>
        <v>01/01/2024 - 31/12/2024</v>
      </c>
      <c r="H28" s="20" t="str">
        <f t="shared" si="0"/>
        <v>01/01/2024 - 31/12/2024</v>
      </c>
      <c r="I28" s="20" t="str">
        <f t="shared" si="0"/>
        <v>01/01/2024 - 31/12/2024</v>
      </c>
      <c r="J28" s="20" t="str">
        <f t="shared" si="0"/>
        <v>01/01/2024 - 31/12/2024</v>
      </c>
      <c r="K28" s="20" t="str">
        <f t="shared" si="0"/>
        <v>01/01/2024 - 31/12/2024</v>
      </c>
      <c r="L28" s="20" t="str">
        <f t="shared" si="0"/>
        <v>01/01/2024 - 31/12/2024</v>
      </c>
      <c r="M28" s="20" t="str">
        <f t="shared" si="0"/>
        <v>01/01/2024 - 31/12/2024</v>
      </c>
      <c r="N28" s="20" t="str">
        <f t="shared" si="0"/>
        <v>01/01/2024 - 31/12/2024</v>
      </c>
      <c r="O28" s="19"/>
      <c r="P28" s="28"/>
    </row>
    <row r="29" spans="1:16" ht="20" hidden="1" customHeight="1">
      <c r="A29" s="28"/>
      <c r="B29" s="28"/>
      <c r="C29" s="28" t="s">
        <v>579</v>
      </c>
      <c r="D29" s="43"/>
      <c r="E29" s="44" t="str">
        <f>StartUp!$D$8</f>
        <v>01/01/2024</v>
      </c>
      <c r="F29" s="44" t="str">
        <f>StartUp!$D$8</f>
        <v>01/01/2024</v>
      </c>
      <c r="G29" s="44" t="str">
        <f>StartUp!$D$8</f>
        <v>01/01/2024</v>
      </c>
      <c r="H29" s="44" t="str">
        <f>StartUp!$D$8</f>
        <v>01/01/2024</v>
      </c>
      <c r="I29" s="44" t="str">
        <f>StartUp!$D$8</f>
        <v>01/01/2024</v>
      </c>
      <c r="J29" s="44" t="str">
        <f>StartUp!$D$8</f>
        <v>01/01/2024</v>
      </c>
      <c r="K29" s="44" t="str">
        <f>StartUp!$D$8</f>
        <v>01/01/2024</v>
      </c>
      <c r="L29" s="44" t="str">
        <f>StartUp!$D$8</f>
        <v>01/01/2024</v>
      </c>
      <c r="M29" s="44" t="str">
        <f>StartUp!$D$8</f>
        <v>01/01/2024</v>
      </c>
      <c r="N29" s="44" t="str">
        <f>StartUp!$D$8</f>
        <v>01/01/2024</v>
      </c>
      <c r="O29" s="19"/>
      <c r="P29" s="28"/>
    </row>
    <row r="30" spans="1:16" ht="20" hidden="1" customHeight="1">
      <c r="A30" s="28"/>
      <c r="B30" s="28"/>
      <c r="C30" s="28" t="s">
        <v>580</v>
      </c>
      <c r="D30" s="43"/>
      <c r="E30" s="44" t="str">
        <f>StartUp!$D$9</f>
        <v>31/12/2024</v>
      </c>
      <c r="F30" s="44" t="str">
        <f>StartUp!$D$9</f>
        <v>31/12/2024</v>
      </c>
      <c r="G30" s="44" t="str">
        <f>StartUp!$D$9</f>
        <v>31/12/2024</v>
      </c>
      <c r="H30" s="44" t="str">
        <f>StartUp!$D$9</f>
        <v>31/12/2024</v>
      </c>
      <c r="I30" s="44" t="str">
        <f>StartUp!$D$9</f>
        <v>31/12/2024</v>
      </c>
      <c r="J30" s="44" t="str">
        <f>StartUp!$D$9</f>
        <v>31/12/2024</v>
      </c>
      <c r="K30" s="44" t="str">
        <f>StartUp!$D$9</f>
        <v>31/12/2024</v>
      </c>
      <c r="L30" s="44" t="str">
        <f>StartUp!$D$9</f>
        <v>31/12/2024</v>
      </c>
      <c r="M30" s="44" t="str">
        <f>StartUp!$D$9</f>
        <v>31/12/2024</v>
      </c>
      <c r="N30" s="44" t="str">
        <f>StartUp!$D$9</f>
        <v>31/12/2024</v>
      </c>
      <c r="O30" s="19"/>
      <c r="P30" s="28"/>
    </row>
    <row r="31" spans="1:16" ht="27.5">
      <c r="A31" s="28"/>
      <c r="B31" s="28"/>
      <c r="C31" s="28" t="s">
        <v>509</v>
      </c>
      <c r="D31" s="46"/>
      <c r="E31" s="56" t="s">
        <v>851</v>
      </c>
      <c r="F31" s="19"/>
      <c r="G31" s="56" t="s">
        <v>852</v>
      </c>
      <c r="H31" s="19"/>
      <c r="I31" s="19"/>
      <c r="J31" s="19"/>
      <c r="K31" s="19"/>
      <c r="L31" s="19"/>
      <c r="M31" s="19"/>
      <c r="N31" s="19"/>
      <c r="O31" s="19"/>
      <c r="P31" s="28"/>
    </row>
    <row r="32" spans="1:16">
      <c r="A32" s="28"/>
      <c r="B32" s="28">
        <v>0</v>
      </c>
      <c r="C32" s="28"/>
      <c r="D32" s="51" t="s">
        <v>853</v>
      </c>
      <c r="E32" s="34"/>
      <c r="F32" s="34"/>
      <c r="G32" s="34"/>
      <c r="H32" s="34"/>
      <c r="I32" s="34"/>
      <c r="J32" s="34"/>
      <c r="K32" s="34"/>
      <c r="L32" s="34"/>
      <c r="M32" s="34"/>
      <c r="N32" s="36"/>
      <c r="O32" s="19"/>
      <c r="P32" s="28"/>
    </row>
    <row r="33" spans="1:16" hidden="1">
      <c r="A33" s="28"/>
      <c r="B33" s="28"/>
      <c r="C33" s="28" t="s">
        <v>509</v>
      </c>
      <c r="D33" s="19"/>
      <c r="E33" s="19"/>
      <c r="F33" s="19"/>
      <c r="G33" s="19"/>
      <c r="H33" s="19"/>
      <c r="I33" s="19"/>
      <c r="J33" s="19"/>
      <c r="K33" s="19"/>
      <c r="L33" s="19"/>
      <c r="M33" s="19"/>
      <c r="N33" s="19"/>
      <c r="O33" s="19"/>
      <c r="P33" s="28"/>
    </row>
    <row r="34" spans="1:16" hidden="1">
      <c r="A34" s="28"/>
      <c r="B34" s="28"/>
      <c r="C34" s="28" t="s">
        <v>512</v>
      </c>
      <c r="D34" s="28"/>
      <c r="E34" s="28"/>
      <c r="F34" s="28"/>
      <c r="G34" s="28"/>
      <c r="H34" s="28"/>
      <c r="I34" s="28"/>
      <c r="J34" s="28"/>
      <c r="K34" s="28"/>
      <c r="L34" s="28"/>
      <c r="M34" s="28"/>
      <c r="N34" s="28"/>
      <c r="O34" s="28"/>
      <c r="P34" s="28" t="s">
        <v>513</v>
      </c>
    </row>
  </sheetData>
  <sheetProtection algorithmName="SHA-1" hashValue="+DgI+VJybspwgF0BfbZmV/0u/0U=" saltValue="MWSJoREkf+WBGoO8FRSniA=="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14436"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4436" r:id="rId3" name="LegendBtn"/>
      </mc:Fallback>
    </mc:AlternateContent>
    <mc:AlternateContent xmlns:mc="http://schemas.openxmlformats.org/markup-compatibility/2006">
      <mc:Choice Requires="x14">
        <control shapeId="14435"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4435" r:id="rId5" name="HelpBtn"/>
      </mc:Fallback>
    </mc:AlternateContent>
    <mc:AlternateContent xmlns:mc="http://schemas.openxmlformats.org/markup-compatibility/2006">
      <mc:Choice Requires="x14">
        <control shapeId="14434"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4434" r:id="rId7" name="ToolboxBtn"/>
      </mc:Fallback>
    </mc:AlternateContent>
    <mc:AlternateContent xmlns:mc="http://schemas.openxmlformats.org/markup-compatibility/2006">
      <mc:Choice Requires="x14">
        <control shapeId="14433"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4433" r:id="rId9" name="HomeBtn"/>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051D0-1054-470B-B5BC-5DAA39D910BC}">
  <sheetPr codeName="Sheet9"/>
  <dimension ref="A1:DZ98"/>
  <sheetViews>
    <sheetView showGridLines="0" workbookViewId="0">
      <pane ySplit="2" topLeftCell="A19" activePane="bottomLeft" state="frozen"/>
      <selection pane="bottomLeft" activeCell="G28" sqref="G28"/>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856</v>
      </c>
      <c r="B1" s="19"/>
      <c r="C1" s="19"/>
      <c r="D1" s="19"/>
      <c r="E1" s="19"/>
      <c r="F1" s="19"/>
      <c r="G1" s="19"/>
      <c r="H1" s="19"/>
    </row>
    <row r="2" spans="1:130" ht="25.15" customHeight="1">
      <c r="A2" s="39"/>
      <c r="B2" s="39"/>
      <c r="C2" s="39"/>
      <c r="D2" s="41" t="s">
        <v>996</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857</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c r="A10" s="28" t="s">
        <v>858</v>
      </c>
      <c r="B10" s="28"/>
      <c r="C10" s="28"/>
      <c r="D10" s="31" t="s">
        <v>859</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961</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c r="A24" s="28" t="s">
        <v>860</v>
      </c>
      <c r="B24" s="28"/>
      <c r="C24" s="28"/>
      <c r="D24" s="31" t="s">
        <v>933</v>
      </c>
      <c r="E24" s="31"/>
      <c r="F24" s="31"/>
      <c r="G24" s="19"/>
      <c r="H24" s="28"/>
    </row>
    <row r="25" spans="1:8">
      <c r="A25" s="28" t="s">
        <v>861</v>
      </c>
      <c r="B25" s="28"/>
      <c r="C25" s="28"/>
      <c r="D25" s="32" t="s">
        <v>933</v>
      </c>
      <c r="E25" s="31"/>
      <c r="F25" s="31"/>
      <c r="G25" s="19"/>
      <c r="H25" s="28"/>
    </row>
    <row r="26" spans="1:8">
      <c r="A26" s="28" t="s">
        <v>862</v>
      </c>
      <c r="B26" s="28"/>
      <c r="C26" s="28"/>
      <c r="D26" s="57" t="s">
        <v>934</v>
      </c>
      <c r="E26" s="58"/>
      <c r="F26" s="58"/>
      <c r="G26" s="19"/>
      <c r="H26" s="28"/>
    </row>
    <row r="27" spans="1:8">
      <c r="A27" s="28" t="s">
        <v>863</v>
      </c>
      <c r="B27" s="28"/>
      <c r="C27" s="28"/>
      <c r="D27" s="59" t="s">
        <v>935</v>
      </c>
      <c r="E27" s="58"/>
      <c r="F27" s="58"/>
      <c r="G27" s="19"/>
      <c r="H27" s="28"/>
    </row>
    <row r="28" spans="1:8">
      <c r="A28" s="28" t="s">
        <v>864</v>
      </c>
      <c r="B28" s="28"/>
      <c r="C28" s="28"/>
      <c r="D28" s="60" t="s">
        <v>962</v>
      </c>
      <c r="E28" s="71">
        <f>'SOFP-Sub-CuNonCu'!E59</f>
        <v>1000000</v>
      </c>
      <c r="F28" s="71">
        <f>'SOFP-Sub-CuNonCu'!F59</f>
        <v>0</v>
      </c>
      <c r="G28" s="62" t="s">
        <v>865</v>
      </c>
      <c r="H28" s="28"/>
    </row>
    <row r="29" spans="1:8">
      <c r="A29" s="28" t="s">
        <v>866</v>
      </c>
      <c r="B29" s="28"/>
      <c r="C29" s="28"/>
      <c r="D29" s="60" t="s">
        <v>963</v>
      </c>
      <c r="E29" s="71">
        <f>'SOFP-Sub-CuNonCu'!E69</f>
        <v>0</v>
      </c>
      <c r="F29" s="71">
        <f>'SOFP-Sub-CuNonCu'!F69</f>
        <v>0</v>
      </c>
      <c r="G29" s="62" t="s">
        <v>865</v>
      </c>
      <c r="H29" s="28"/>
    </row>
    <row r="30" spans="1:8">
      <c r="A30" s="28" t="s">
        <v>867</v>
      </c>
      <c r="B30" s="28"/>
      <c r="C30" s="28"/>
      <c r="D30" s="63" t="s">
        <v>936</v>
      </c>
      <c r="E30" s="61"/>
      <c r="F30" s="61"/>
      <c r="G30" s="19"/>
      <c r="H30" s="28"/>
    </row>
    <row r="31" spans="1:8">
      <c r="A31" s="28" t="s">
        <v>868</v>
      </c>
      <c r="B31" s="28"/>
      <c r="C31" s="28"/>
      <c r="D31" s="63" t="s">
        <v>937</v>
      </c>
      <c r="E31" s="61"/>
      <c r="F31" s="61"/>
      <c r="G31" s="19"/>
      <c r="H31" s="28"/>
    </row>
    <row r="32" spans="1:8">
      <c r="A32" s="28" t="s">
        <v>869</v>
      </c>
      <c r="B32" s="28"/>
      <c r="C32" s="28"/>
      <c r="D32" s="63" t="s">
        <v>938</v>
      </c>
      <c r="E32" s="61"/>
      <c r="F32" s="61"/>
      <c r="G32" s="19"/>
      <c r="H32" s="28"/>
    </row>
    <row r="33" spans="1:8">
      <c r="A33" s="28" t="s">
        <v>870</v>
      </c>
      <c r="B33" s="28"/>
      <c r="C33" s="28"/>
      <c r="D33" s="60" t="s">
        <v>964</v>
      </c>
      <c r="E33" s="71">
        <f>'SOFP-Sub-CuNonCu'!E89</f>
        <v>0</v>
      </c>
      <c r="F33" s="71">
        <f>'SOFP-Sub-CuNonCu'!F89</f>
        <v>0</v>
      </c>
      <c r="G33" s="62" t="s">
        <v>865</v>
      </c>
      <c r="H33" s="28"/>
    </row>
    <row r="34" spans="1:8">
      <c r="A34" s="28" t="s">
        <v>871</v>
      </c>
      <c r="B34" s="28"/>
      <c r="C34" s="28"/>
      <c r="D34" s="60" t="s">
        <v>965</v>
      </c>
      <c r="E34" s="71">
        <f>'SOFP-Sub-CuNonCu'!E97</f>
        <v>0</v>
      </c>
      <c r="F34" s="71">
        <f>'SOFP-Sub-CuNonCu'!F97</f>
        <v>0</v>
      </c>
      <c r="G34" s="62" t="s">
        <v>865</v>
      </c>
      <c r="H34" s="28"/>
    </row>
    <row r="35" spans="1:8">
      <c r="A35" s="28" t="s">
        <v>872</v>
      </c>
      <c r="B35" s="28"/>
      <c r="C35" s="28"/>
      <c r="D35" s="60" t="s">
        <v>966</v>
      </c>
      <c r="E35" s="71">
        <f>'SOFP-Sub-CuNonCu'!E106</f>
        <v>0</v>
      </c>
      <c r="F35" s="71">
        <f>'SOFP-Sub-CuNonCu'!F106</f>
        <v>0</v>
      </c>
      <c r="G35" s="62" t="s">
        <v>865</v>
      </c>
      <c r="H35" s="28"/>
    </row>
    <row r="36" spans="1:8">
      <c r="A36" s="28" t="s">
        <v>873</v>
      </c>
      <c r="B36" s="28"/>
      <c r="C36" s="28"/>
      <c r="D36" s="60" t="s">
        <v>967</v>
      </c>
      <c r="E36" s="71">
        <f>'SOFP-Sub-CuNonCu'!E115</f>
        <v>0</v>
      </c>
      <c r="F36" s="71">
        <f>'SOFP-Sub-CuNonCu'!F115</f>
        <v>0</v>
      </c>
      <c r="G36" s="62" t="s">
        <v>865</v>
      </c>
      <c r="H36" s="28"/>
    </row>
    <row r="37" spans="1:8">
      <c r="A37" s="28" t="s">
        <v>874</v>
      </c>
      <c r="B37" s="28"/>
      <c r="C37" s="28"/>
      <c r="D37" s="60" t="s">
        <v>968</v>
      </c>
      <c r="E37" s="61"/>
      <c r="F37" s="61"/>
      <c r="G37" s="19"/>
      <c r="H37" s="28"/>
    </row>
    <row r="38" spans="1:8">
      <c r="A38" s="28" t="s">
        <v>875</v>
      </c>
      <c r="B38" s="28"/>
      <c r="C38" s="28"/>
      <c r="D38" s="60" t="s">
        <v>969</v>
      </c>
      <c r="E38" s="71">
        <f>'SOFP-Sub-CuNonCu'!E140</f>
        <v>0</v>
      </c>
      <c r="F38" s="71">
        <f>'SOFP-Sub-CuNonCu'!F140</f>
        <v>0</v>
      </c>
      <c r="G38" s="62" t="s">
        <v>865</v>
      </c>
      <c r="H38" s="28"/>
    </row>
    <row r="39" spans="1:8">
      <c r="A39" s="28" t="s">
        <v>876</v>
      </c>
      <c r="B39" s="28"/>
      <c r="C39" s="28"/>
      <c r="D39" s="63" t="s">
        <v>939</v>
      </c>
      <c r="E39" s="61"/>
      <c r="F39" s="61"/>
      <c r="G39" s="19"/>
      <c r="H39" s="28"/>
    </row>
    <row r="40" spans="1:8">
      <c r="A40" s="28" t="s">
        <v>877</v>
      </c>
      <c r="B40" s="28"/>
      <c r="C40" s="28"/>
      <c r="D40" s="63" t="s">
        <v>940</v>
      </c>
      <c r="E40" s="61"/>
      <c r="F40" s="61"/>
      <c r="G40" s="19"/>
      <c r="H40" s="28"/>
    </row>
    <row r="41" spans="1:8">
      <c r="A41" s="28" t="s">
        <v>878</v>
      </c>
      <c r="B41" s="28"/>
      <c r="C41" s="28"/>
      <c r="D41" s="60" t="s">
        <v>970</v>
      </c>
      <c r="E41" s="71">
        <f>'SOFP-Sub-CuNonCu'!E149</f>
        <v>0</v>
      </c>
      <c r="F41" s="71">
        <f>'SOFP-Sub-CuNonCu'!F149</f>
        <v>0</v>
      </c>
      <c r="G41" s="62" t="s">
        <v>865</v>
      </c>
      <c r="H41" s="28"/>
    </row>
    <row r="42" spans="1:8">
      <c r="A42" s="28" t="s">
        <v>879</v>
      </c>
      <c r="B42" s="28"/>
      <c r="C42" s="28"/>
      <c r="D42" s="60" t="s">
        <v>971</v>
      </c>
      <c r="E42" s="71">
        <f>'SOFP-Sub-CuNonCu'!E218</f>
        <v>0</v>
      </c>
      <c r="F42" s="71">
        <f>'SOFP-Sub-CuNonCu'!F218</f>
        <v>0</v>
      </c>
      <c r="G42" s="62" t="s">
        <v>865</v>
      </c>
      <c r="H42" s="28"/>
    </row>
    <row r="43" spans="1:8" ht="15" thickBot="1">
      <c r="A43" s="28" t="s">
        <v>880</v>
      </c>
      <c r="B43" s="28"/>
      <c r="C43" s="28"/>
      <c r="D43" s="64" t="s">
        <v>972</v>
      </c>
      <c r="E43" s="65">
        <f>1*E28+1*E29+1*E30+1*E31+1*E32+1*E33+1*E34+1*E35+1*E36+1*E37+1*E38+1*E39+1*E40+1*E41+1*E42</f>
        <v>1000000</v>
      </c>
      <c r="F43" s="65">
        <f>1*F28+1*F29+1*F30+1*F31+1*F32+1*F33+1*F34+1*F35+1*F36+1*F37+1*F38+1*F39+1*F40+1*F41+1*F42</f>
        <v>0</v>
      </c>
      <c r="G43" s="19"/>
      <c r="H43" s="28"/>
    </row>
    <row r="44" spans="1:8" ht="15" thickTop="1">
      <c r="A44" s="28" t="s">
        <v>881</v>
      </c>
      <c r="B44" s="28"/>
      <c r="C44" s="28"/>
      <c r="D44" s="59" t="s">
        <v>941</v>
      </c>
      <c r="E44" s="66"/>
      <c r="F44" s="66"/>
      <c r="G44" s="19"/>
      <c r="H44" s="28"/>
    </row>
    <row r="45" spans="1:8">
      <c r="A45" s="28" t="s">
        <v>882</v>
      </c>
      <c r="B45" s="28"/>
      <c r="C45" s="28"/>
      <c r="D45" s="60" t="s">
        <v>973</v>
      </c>
      <c r="E45" s="71">
        <f>'SOFP-Sub-CuNonCu'!E156</f>
        <v>0</v>
      </c>
      <c r="F45" s="71">
        <f>'SOFP-Sub-CuNonCu'!F156</f>
        <v>0</v>
      </c>
      <c r="G45" s="62" t="s">
        <v>865</v>
      </c>
      <c r="H45" s="28"/>
    </row>
    <row r="46" spans="1:8">
      <c r="A46" s="28" t="s">
        <v>883</v>
      </c>
      <c r="B46" s="28"/>
      <c r="C46" s="28"/>
      <c r="D46" s="63" t="s">
        <v>936</v>
      </c>
      <c r="E46" s="61"/>
      <c r="F46" s="61"/>
      <c r="G46" s="19"/>
      <c r="H46" s="28"/>
    </row>
    <row r="47" spans="1:8">
      <c r="A47" s="28" t="s">
        <v>884</v>
      </c>
      <c r="B47" s="28"/>
      <c r="C47" s="28"/>
      <c r="D47" s="63" t="s">
        <v>942</v>
      </c>
      <c r="E47" s="61"/>
      <c r="F47" s="61"/>
      <c r="G47" s="19"/>
      <c r="H47" s="28"/>
    </row>
    <row r="48" spans="1:8">
      <c r="A48" s="28" t="s">
        <v>885</v>
      </c>
      <c r="B48" s="28"/>
      <c r="C48" s="28"/>
      <c r="D48" s="63" t="s">
        <v>943</v>
      </c>
      <c r="E48" s="61"/>
      <c r="F48" s="61"/>
      <c r="G48" s="19"/>
      <c r="H48" s="28"/>
    </row>
    <row r="49" spans="1:8">
      <c r="A49" s="28" t="s">
        <v>886</v>
      </c>
      <c r="B49" s="28"/>
      <c r="C49" s="28"/>
      <c r="D49" s="60" t="s">
        <v>974</v>
      </c>
      <c r="E49" s="71">
        <f>'SOFP-Sub-CuNonCu'!E189</f>
        <v>0</v>
      </c>
      <c r="F49" s="71">
        <f>'SOFP-Sub-CuNonCu'!F189</f>
        <v>0</v>
      </c>
      <c r="G49" s="62" t="s">
        <v>865</v>
      </c>
      <c r="H49" s="28"/>
    </row>
    <row r="50" spans="1:8">
      <c r="A50" s="28" t="s">
        <v>887</v>
      </c>
      <c r="B50" s="28"/>
      <c r="C50" s="28"/>
      <c r="D50" s="63" t="s">
        <v>939</v>
      </c>
      <c r="E50" s="61"/>
      <c r="F50" s="61"/>
      <c r="G50" s="19"/>
      <c r="H50" s="28"/>
    </row>
    <row r="51" spans="1:8">
      <c r="A51" s="28" t="s">
        <v>888</v>
      </c>
      <c r="B51" s="28"/>
      <c r="C51" s="28"/>
      <c r="D51" s="60" t="s">
        <v>970</v>
      </c>
      <c r="E51" s="71">
        <f>'SOFP-Sub-CuNonCu'!E198</f>
        <v>0</v>
      </c>
      <c r="F51" s="71">
        <f>'SOFP-Sub-CuNonCu'!F198</f>
        <v>0</v>
      </c>
      <c r="G51" s="62" t="s">
        <v>865</v>
      </c>
      <c r="H51" s="28"/>
    </row>
    <row r="52" spans="1:8">
      <c r="A52" s="28" t="s">
        <v>889</v>
      </c>
      <c r="B52" s="28"/>
      <c r="C52" s="28"/>
      <c r="D52" s="60" t="s">
        <v>975</v>
      </c>
      <c r="E52" s="71">
        <f>'SOFP-Sub-CuNonCu'!E213</f>
        <v>0</v>
      </c>
      <c r="F52" s="71">
        <f>'SOFP-Sub-CuNonCu'!F213</f>
        <v>0</v>
      </c>
      <c r="G52" s="62" t="s">
        <v>865</v>
      </c>
      <c r="H52" s="28"/>
    </row>
    <row r="53" spans="1:8">
      <c r="A53" s="28" t="s">
        <v>890</v>
      </c>
      <c r="B53" s="28"/>
      <c r="C53" s="28"/>
      <c r="D53" s="60" t="s">
        <v>976</v>
      </c>
      <c r="E53" s="61"/>
      <c r="F53" s="61"/>
      <c r="G53" s="19"/>
      <c r="H53" s="28"/>
    </row>
    <row r="54" spans="1:8" ht="27.5" thickBot="1">
      <c r="A54" s="28" t="s">
        <v>891</v>
      </c>
      <c r="B54" s="28"/>
      <c r="C54" s="28"/>
      <c r="D54" s="67" t="s">
        <v>944</v>
      </c>
      <c r="E54" s="65">
        <f>1*E45+1*E46+1*E47+1*E48+1*E49+1*E50+1*E51+1*E52+1*E53</f>
        <v>0</v>
      </c>
      <c r="F54" s="65">
        <f>1*F45+1*F46+1*F47+1*F48+1*F49+1*F50+1*F51+1*F52+1*F53</f>
        <v>0</v>
      </c>
      <c r="G54" s="19"/>
      <c r="H54" s="28"/>
    </row>
    <row r="55" spans="1:8" ht="41" thickTop="1">
      <c r="A55" s="28" t="s">
        <v>892</v>
      </c>
      <c r="B55" s="28"/>
      <c r="C55" s="28"/>
      <c r="D55" s="63" t="s">
        <v>945</v>
      </c>
      <c r="E55" s="68"/>
      <c r="F55" s="68"/>
      <c r="G55" s="19"/>
      <c r="H55" s="28"/>
    </row>
    <row r="56" spans="1:8">
      <c r="A56" s="28" t="s">
        <v>893</v>
      </c>
      <c r="B56" s="28"/>
      <c r="C56" s="28"/>
      <c r="D56" s="64" t="s">
        <v>977</v>
      </c>
      <c r="E56" s="69">
        <f>1*E45+1*E46+1*E47+1*E48+1*E49+1*E50+1*E51+1*E52+1*E53+1*E55</f>
        <v>0</v>
      </c>
      <c r="F56" s="69">
        <f>1*F45+1*F46+1*F47+1*F48+1*F49+1*F50+1*F51+1*F52+1*F53+1*F55</f>
        <v>0</v>
      </c>
      <c r="G56" s="19"/>
      <c r="H56" s="28"/>
    </row>
    <row r="57" spans="1:8" ht="15" thickBot="1">
      <c r="A57" s="28" t="s">
        <v>894</v>
      </c>
      <c r="B57" s="28"/>
      <c r="C57" s="28"/>
      <c r="D57" s="70" t="s">
        <v>978</v>
      </c>
      <c r="E57" s="65">
        <f>1*E28+1*E29+1*E31+1*E32+1*E33+1*E34+1*E35+1*E36+1*E37+1*E38+1*E39+1*E40+1*E41+1*E42+1*E45+1*E47+1*E48+1*E49+1*E50+1*E51+1*E52+1*E53+1*E55+1*E46+1*E30</f>
        <v>1000000</v>
      </c>
      <c r="F57" s="65">
        <f>1*F28+1*F29+1*F31+1*F32+1*F33+1*F34+1*F35+1*F36+1*F37+1*F38+1*F39+1*F40+1*F41+1*F42+1*F45+1*F47+1*F48+1*F49+1*F50+1*F51+1*F52+1*F53+1*F55+1*F46+1*F30</f>
        <v>0</v>
      </c>
      <c r="G57" s="19"/>
      <c r="H57" s="28"/>
    </row>
    <row r="58" spans="1:8" ht="15" thickTop="1">
      <c r="A58" s="28" t="s">
        <v>895</v>
      </c>
      <c r="B58" s="28"/>
      <c r="C58" s="28"/>
      <c r="D58" s="57" t="s">
        <v>946</v>
      </c>
      <c r="E58" s="66"/>
      <c r="F58" s="66"/>
      <c r="G58" s="19"/>
      <c r="H58" s="28"/>
    </row>
    <row r="59" spans="1:8">
      <c r="A59" s="28" t="s">
        <v>896</v>
      </c>
      <c r="B59" s="28"/>
      <c r="C59" s="28"/>
      <c r="D59" s="59" t="s">
        <v>947</v>
      </c>
      <c r="E59" s="58"/>
      <c r="F59" s="58"/>
      <c r="G59" s="19"/>
      <c r="H59" s="28"/>
    </row>
    <row r="60" spans="1:8">
      <c r="A60" s="28" t="s">
        <v>897</v>
      </c>
      <c r="B60" s="28"/>
      <c r="C60" s="28"/>
      <c r="D60" s="60" t="s">
        <v>979</v>
      </c>
      <c r="E60" s="71">
        <f>'SOFP-Sub-CuNonCu'!E223</f>
        <v>0</v>
      </c>
      <c r="F60" s="71">
        <f>'SOFP-Sub-CuNonCu'!F223</f>
        <v>0</v>
      </c>
      <c r="G60" s="62" t="s">
        <v>865</v>
      </c>
      <c r="H60" s="28"/>
    </row>
    <row r="61" spans="1:8">
      <c r="A61" s="28" t="s">
        <v>898</v>
      </c>
      <c r="B61" s="28"/>
      <c r="C61" s="28"/>
      <c r="D61" s="60" t="s">
        <v>980</v>
      </c>
      <c r="E61" s="61"/>
      <c r="F61" s="61"/>
      <c r="G61" s="19"/>
      <c r="H61" s="28"/>
    </row>
    <row r="62" spans="1:8">
      <c r="A62" s="28" t="s">
        <v>899</v>
      </c>
      <c r="B62" s="28"/>
      <c r="C62" s="28"/>
      <c r="D62" s="63" t="s">
        <v>948</v>
      </c>
      <c r="E62" s="61"/>
      <c r="F62" s="61"/>
      <c r="G62" s="19"/>
      <c r="H62" s="28"/>
    </row>
    <row r="63" spans="1:8">
      <c r="A63" s="28" t="s">
        <v>900</v>
      </c>
      <c r="B63" s="28"/>
      <c r="C63" s="28"/>
      <c r="D63" s="60" t="s">
        <v>981</v>
      </c>
      <c r="E63" s="71">
        <f>'SOFP-Sub-CuNonCu'!E242</f>
        <v>0</v>
      </c>
      <c r="F63" s="71">
        <f>'SOFP-Sub-CuNonCu'!F242</f>
        <v>0</v>
      </c>
      <c r="G63" s="62" t="s">
        <v>865</v>
      </c>
      <c r="H63" s="28"/>
    </row>
    <row r="64" spans="1:8">
      <c r="A64" s="28" t="s">
        <v>901</v>
      </c>
      <c r="B64" s="28"/>
      <c r="C64" s="28"/>
      <c r="D64" s="64" t="s">
        <v>982</v>
      </c>
      <c r="E64" s="69">
        <f>1*E60+1*E61+-1*E62+1*E63</f>
        <v>0</v>
      </c>
      <c r="F64" s="69">
        <f>1*F60+1*F61+-1*F62+1*F63</f>
        <v>0</v>
      </c>
      <c r="G64" s="19"/>
      <c r="H64" s="28"/>
    </row>
    <row r="65" spans="1:8">
      <c r="A65" s="28" t="s">
        <v>902</v>
      </c>
      <c r="B65" s="28"/>
      <c r="C65" s="28"/>
      <c r="D65" s="60" t="s">
        <v>983</v>
      </c>
      <c r="E65" s="71">
        <f>'SOFP-Sub-CuNonCu'!E249</f>
        <v>0</v>
      </c>
      <c r="F65" s="71">
        <f>'SOFP-Sub-CuNonCu'!F249</f>
        <v>0</v>
      </c>
      <c r="G65" s="62" t="s">
        <v>865</v>
      </c>
      <c r="H65" s="28"/>
    </row>
    <row r="66" spans="1:8">
      <c r="A66" s="28" t="s">
        <v>903</v>
      </c>
      <c r="B66" s="28"/>
      <c r="C66" s="28"/>
      <c r="D66" s="60" t="s">
        <v>984</v>
      </c>
      <c r="E66" s="61"/>
      <c r="F66" s="61"/>
      <c r="G66" s="19"/>
      <c r="H66" s="28"/>
    </row>
    <row r="67" spans="1:8">
      <c r="A67" s="28" t="s">
        <v>904</v>
      </c>
      <c r="B67" s="28"/>
      <c r="C67" s="28"/>
      <c r="D67" s="64" t="s">
        <v>985</v>
      </c>
      <c r="E67" s="71">
        <f>1*E60+1*E61+-1*E62+1*E63+1*E65+1*E66</f>
        <v>0</v>
      </c>
      <c r="F67" s="71">
        <f>1*F60+1*F61+-1*F62+1*F63+1*F65+1*F66</f>
        <v>0</v>
      </c>
      <c r="G67" s="19"/>
      <c r="H67" s="28"/>
    </row>
    <row r="68" spans="1:8">
      <c r="A68" s="28" t="s">
        <v>905</v>
      </c>
      <c r="B68" s="28"/>
      <c r="C68" s="28"/>
      <c r="D68" s="59" t="s">
        <v>949</v>
      </c>
      <c r="E68" s="58"/>
      <c r="F68" s="58"/>
      <c r="G68" s="19"/>
      <c r="H68" s="28"/>
    </row>
    <row r="69" spans="1:8">
      <c r="A69" s="28" t="s">
        <v>906</v>
      </c>
      <c r="B69" s="28"/>
      <c r="C69" s="28"/>
      <c r="D69" s="72" t="s">
        <v>950</v>
      </c>
      <c r="E69" s="58"/>
      <c r="F69" s="58"/>
      <c r="G69" s="19"/>
      <c r="H69" s="28"/>
    </row>
    <row r="70" spans="1:8">
      <c r="A70" s="28" t="s">
        <v>907</v>
      </c>
      <c r="B70" s="28"/>
      <c r="C70" s="28"/>
      <c r="D70" s="73" t="s">
        <v>951</v>
      </c>
      <c r="E70" s="61"/>
      <c r="F70" s="61"/>
      <c r="G70" s="19"/>
      <c r="H70" s="28"/>
    </row>
    <row r="71" spans="1:8">
      <c r="A71" s="28" t="s">
        <v>908</v>
      </c>
      <c r="B71" s="28"/>
      <c r="C71" s="28"/>
      <c r="D71" s="74" t="s">
        <v>986</v>
      </c>
      <c r="E71" s="71">
        <f>'SOFP-Sub-CuNonCu'!E291</f>
        <v>0</v>
      </c>
      <c r="F71" s="71">
        <f>'SOFP-Sub-CuNonCu'!F291</f>
        <v>0</v>
      </c>
      <c r="G71" s="62" t="s">
        <v>865</v>
      </c>
      <c r="H71" s="28"/>
    </row>
    <row r="72" spans="1:8">
      <c r="A72" s="28" t="s">
        <v>909</v>
      </c>
      <c r="B72" s="28"/>
      <c r="C72" s="28"/>
      <c r="D72" s="73" t="s">
        <v>952</v>
      </c>
      <c r="E72" s="61"/>
      <c r="F72" s="61"/>
      <c r="G72" s="19"/>
      <c r="H72" s="28"/>
    </row>
    <row r="73" spans="1:8">
      <c r="A73" s="28" t="s">
        <v>910</v>
      </c>
      <c r="B73" s="28"/>
      <c r="C73" s="28"/>
      <c r="D73" s="74" t="s">
        <v>987</v>
      </c>
      <c r="E73" s="71">
        <f>'SOFP-Sub-CuNonCu'!E300</f>
        <v>0</v>
      </c>
      <c r="F73" s="71">
        <f>'SOFP-Sub-CuNonCu'!F300</f>
        <v>0</v>
      </c>
      <c r="G73" s="62" t="s">
        <v>865</v>
      </c>
      <c r="H73" s="28"/>
    </row>
    <row r="74" spans="1:8">
      <c r="A74" s="28" t="s">
        <v>911</v>
      </c>
      <c r="B74" s="28"/>
      <c r="C74" s="28"/>
      <c r="D74" s="74" t="s">
        <v>988</v>
      </c>
      <c r="E74" s="71">
        <f>'SOFP-Sub-CuNonCu'!E309</f>
        <v>0</v>
      </c>
      <c r="F74" s="71">
        <f>'SOFP-Sub-CuNonCu'!F309</f>
        <v>0</v>
      </c>
      <c r="G74" s="62" t="s">
        <v>865</v>
      </c>
      <c r="H74" s="28"/>
    </row>
    <row r="75" spans="1:8">
      <c r="A75" s="28" t="s">
        <v>912</v>
      </c>
      <c r="B75" s="28"/>
      <c r="C75" s="28"/>
      <c r="D75" s="74" t="s">
        <v>989</v>
      </c>
      <c r="E75" s="71">
        <f>'SOFP-Sub-CuNonCu'!E341</f>
        <v>0</v>
      </c>
      <c r="F75" s="71">
        <f>'SOFP-Sub-CuNonCu'!F341</f>
        <v>0</v>
      </c>
      <c r="G75" s="62" t="s">
        <v>865</v>
      </c>
      <c r="H75" s="28"/>
    </row>
    <row r="76" spans="1:8">
      <c r="A76" s="28" t="s">
        <v>913</v>
      </c>
      <c r="B76" s="28"/>
      <c r="C76" s="28"/>
      <c r="D76" s="73" t="s">
        <v>953</v>
      </c>
      <c r="E76" s="61"/>
      <c r="F76" s="61"/>
      <c r="G76" s="19"/>
      <c r="H76" s="28"/>
    </row>
    <row r="77" spans="1:8">
      <c r="A77" s="28" t="s">
        <v>914</v>
      </c>
      <c r="B77" s="28"/>
      <c r="C77" s="28"/>
      <c r="D77" s="73" t="s">
        <v>954</v>
      </c>
      <c r="E77" s="61"/>
      <c r="F77" s="61"/>
      <c r="G77" s="19"/>
      <c r="H77" s="28"/>
    </row>
    <row r="78" spans="1:8">
      <c r="A78" s="28" t="s">
        <v>915</v>
      </c>
      <c r="B78" s="28"/>
      <c r="C78" s="28"/>
      <c r="D78" s="74" t="s">
        <v>990</v>
      </c>
      <c r="E78" s="71">
        <f>'SOFP-Sub-CuNonCu'!E356</f>
        <v>0</v>
      </c>
      <c r="F78" s="71">
        <f>'SOFP-Sub-CuNonCu'!F356</f>
        <v>0</v>
      </c>
      <c r="G78" s="62" t="s">
        <v>865</v>
      </c>
      <c r="H78" s="28"/>
    </row>
    <row r="79" spans="1:8">
      <c r="A79" s="28" t="s">
        <v>916</v>
      </c>
      <c r="B79" s="28"/>
      <c r="C79" s="28"/>
      <c r="D79" s="73" t="s">
        <v>955</v>
      </c>
      <c r="E79" s="61"/>
      <c r="F79" s="61"/>
      <c r="G79" s="19"/>
      <c r="H79" s="28"/>
    </row>
    <row r="80" spans="1:8" ht="15" thickBot="1">
      <c r="A80" s="28" t="s">
        <v>917</v>
      </c>
      <c r="B80" s="28"/>
      <c r="C80" s="28"/>
      <c r="D80" s="75" t="s">
        <v>956</v>
      </c>
      <c r="E80" s="65">
        <f>1*E70+1*E71+1*E72+1*E73+1*E74+1*E75+1*E76+1*E77+1*E78+1*E79</f>
        <v>0</v>
      </c>
      <c r="F80" s="65">
        <f>1*F70+1*F71+1*F72+1*F73+1*F74+1*F75+1*F76+1*F77+1*F78+1*F79</f>
        <v>0</v>
      </c>
      <c r="G80" s="19"/>
      <c r="H80" s="28"/>
    </row>
    <row r="81" spans="1:8" ht="15" thickTop="1">
      <c r="A81" s="28" t="s">
        <v>918</v>
      </c>
      <c r="B81" s="28"/>
      <c r="C81" s="28"/>
      <c r="D81" s="72" t="s">
        <v>957</v>
      </c>
      <c r="E81" s="66"/>
      <c r="F81" s="66"/>
      <c r="G81" s="19"/>
      <c r="H81" s="28"/>
    </row>
    <row r="82" spans="1:8">
      <c r="A82" s="28" t="s">
        <v>919</v>
      </c>
      <c r="B82" s="28"/>
      <c r="C82" s="28"/>
      <c r="D82" s="74" t="s">
        <v>986</v>
      </c>
      <c r="E82" s="71">
        <f>'SOFP-Sub-CuNonCu'!E403</f>
        <v>0</v>
      </c>
      <c r="F82" s="71">
        <f>'SOFP-Sub-CuNonCu'!F403</f>
        <v>0</v>
      </c>
      <c r="G82" s="62" t="s">
        <v>865</v>
      </c>
      <c r="H82" s="28"/>
    </row>
    <row r="83" spans="1:8">
      <c r="A83" s="28" t="s">
        <v>920</v>
      </c>
      <c r="B83" s="28"/>
      <c r="C83" s="28"/>
      <c r="D83" s="73" t="s">
        <v>952</v>
      </c>
      <c r="E83" s="61"/>
      <c r="F83" s="61"/>
      <c r="G83" s="19"/>
      <c r="H83" s="28"/>
    </row>
    <row r="84" spans="1:8">
      <c r="A84" s="28" t="s">
        <v>921</v>
      </c>
      <c r="B84" s="28"/>
      <c r="C84" s="28"/>
      <c r="D84" s="74" t="s">
        <v>987</v>
      </c>
      <c r="E84" s="71">
        <f>'SOFP-Sub-CuNonCu'!E412</f>
        <v>0</v>
      </c>
      <c r="F84" s="71">
        <f>'SOFP-Sub-CuNonCu'!F412</f>
        <v>0</v>
      </c>
      <c r="G84" s="62" t="s">
        <v>865</v>
      </c>
      <c r="H84" s="28"/>
    </row>
    <row r="85" spans="1:8">
      <c r="A85" s="28" t="s">
        <v>922</v>
      </c>
      <c r="B85" s="28"/>
      <c r="C85" s="28"/>
      <c r="D85" s="74" t="s">
        <v>988</v>
      </c>
      <c r="E85" s="71">
        <f>'SOFP-Sub-CuNonCu'!E421</f>
        <v>0</v>
      </c>
      <c r="F85" s="71">
        <f>'SOFP-Sub-CuNonCu'!F421</f>
        <v>0</v>
      </c>
      <c r="G85" s="62" t="s">
        <v>865</v>
      </c>
      <c r="H85" s="28"/>
    </row>
    <row r="86" spans="1:8">
      <c r="A86" s="28" t="s">
        <v>923</v>
      </c>
      <c r="B86" s="28"/>
      <c r="C86" s="28"/>
      <c r="D86" s="73" t="s">
        <v>958</v>
      </c>
      <c r="E86" s="61"/>
      <c r="F86" s="61"/>
      <c r="G86" s="19"/>
      <c r="H86" s="28"/>
    </row>
    <row r="87" spans="1:8">
      <c r="A87" s="28" t="s">
        <v>924</v>
      </c>
      <c r="B87" s="28"/>
      <c r="C87" s="28"/>
      <c r="D87" s="74" t="s">
        <v>991</v>
      </c>
      <c r="E87" s="71">
        <f>'SOFP-Sub-CuNonCu'!E457</f>
        <v>0</v>
      </c>
      <c r="F87" s="71">
        <f>'SOFP-Sub-CuNonCu'!F457</f>
        <v>0</v>
      </c>
      <c r="G87" s="62" t="s">
        <v>865</v>
      </c>
      <c r="H87" s="28"/>
    </row>
    <row r="88" spans="1:8">
      <c r="A88" s="28" t="s">
        <v>925</v>
      </c>
      <c r="B88" s="28"/>
      <c r="C88" s="28"/>
      <c r="D88" s="73" t="s">
        <v>953</v>
      </c>
      <c r="E88" s="61"/>
      <c r="F88" s="61"/>
      <c r="G88" s="19"/>
      <c r="H88" s="28"/>
    </row>
    <row r="89" spans="1:8">
      <c r="A89" s="28" t="s">
        <v>926</v>
      </c>
      <c r="B89" s="28"/>
      <c r="C89" s="28"/>
      <c r="D89" s="74" t="s">
        <v>990</v>
      </c>
      <c r="E89" s="71">
        <f>'SOFP-Sub-CuNonCu'!E472</f>
        <v>1100</v>
      </c>
      <c r="F89" s="71">
        <f>'SOFP-Sub-CuNonCu'!F472</f>
        <v>0</v>
      </c>
      <c r="G89" s="62" t="s">
        <v>865</v>
      </c>
      <c r="H89" s="28"/>
    </row>
    <row r="90" spans="1:8">
      <c r="A90" s="28" t="s">
        <v>927</v>
      </c>
      <c r="B90" s="28"/>
      <c r="C90" s="28"/>
      <c r="D90" s="73" t="s">
        <v>959</v>
      </c>
      <c r="E90" s="61"/>
      <c r="F90" s="61"/>
      <c r="G90" s="19"/>
      <c r="H90" s="28"/>
    </row>
    <row r="91" spans="1:8" ht="27.5" thickBot="1">
      <c r="A91" s="28" t="s">
        <v>928</v>
      </c>
      <c r="B91" s="28"/>
      <c r="C91" s="28"/>
      <c r="D91" s="75" t="s">
        <v>960</v>
      </c>
      <c r="E91" s="65">
        <f>1*E82+1*E83+1*E84+1*E85+1*E86+1*E87+1*E88+1*E89+1*E90</f>
        <v>1100</v>
      </c>
      <c r="F91" s="65">
        <f>1*F82+1*F83+1*F84+1*F85+1*F86+1*F87+1*F88+1*F89+1*F90</f>
        <v>0</v>
      </c>
      <c r="G91" s="19"/>
      <c r="H91" s="28"/>
    </row>
    <row r="92" spans="1:8" ht="27.5" thickTop="1">
      <c r="A92" s="28" t="s">
        <v>929</v>
      </c>
      <c r="B92" s="28"/>
      <c r="C92" s="28"/>
      <c r="D92" s="74" t="s">
        <v>992</v>
      </c>
      <c r="E92" s="68"/>
      <c r="F92" s="68"/>
      <c r="G92" s="19"/>
      <c r="H92" s="28"/>
    </row>
    <row r="93" spans="1:8">
      <c r="A93" s="28" t="s">
        <v>930</v>
      </c>
      <c r="B93" s="28"/>
      <c r="C93" s="28"/>
      <c r="D93" s="76" t="s">
        <v>993</v>
      </c>
      <c r="E93" s="69">
        <f>1*E82+1*E83+1*E84+1*E85+1*E86+1*E87+1*E88+1*E89+1*E90+1*E92</f>
        <v>1100</v>
      </c>
      <c r="F93" s="69">
        <f>1*F82+1*F83+1*F84+1*F85+1*F86+1*F87+1*F88+1*F89+1*F90+1*F92</f>
        <v>0</v>
      </c>
      <c r="G93" s="19"/>
      <c r="H93" s="28"/>
    </row>
    <row r="94" spans="1:8">
      <c r="A94" s="28" t="s">
        <v>931</v>
      </c>
      <c r="B94" s="28"/>
      <c r="C94" s="28"/>
      <c r="D94" s="64" t="s">
        <v>994</v>
      </c>
      <c r="E94" s="71">
        <f>1*E70+1*E71+1*E72+1*E73+1*E74+1*E75+1*E76+1*E77+1*E78+1*E79+1*E82+1*E83+1*E84+1*E85+1*E86+1*E87+1*E88+1*E89+1*E90+1*E92</f>
        <v>1100</v>
      </c>
      <c r="F94" s="71">
        <f>1*F70+1*F71+1*F72+1*F73+1*F74+1*F75+1*F76+1*F77+1*F78+1*F79+1*F82+1*F83+1*F84+1*F85+1*F86+1*F87+1*F88+1*F89+1*F90+1*F92</f>
        <v>0</v>
      </c>
      <c r="G94" s="19"/>
      <c r="H94" s="28"/>
    </row>
    <row r="95" spans="1:8" ht="15" thickBot="1">
      <c r="A95" s="28" t="s">
        <v>932</v>
      </c>
      <c r="B95" s="28"/>
      <c r="C95" s="28"/>
      <c r="D95" s="70" t="s">
        <v>995</v>
      </c>
      <c r="E95" s="65">
        <f>1*E67+1*E94</f>
        <v>1100</v>
      </c>
      <c r="F95" s="65">
        <f>1*F67+1*F94</f>
        <v>0</v>
      </c>
      <c r="G95" s="19"/>
      <c r="H95" s="28"/>
    </row>
    <row r="96" spans="1:8" ht="15" hidden="1" thickTop="1">
      <c r="A96" s="28"/>
      <c r="B96" s="28"/>
      <c r="C96" s="28" t="s">
        <v>509</v>
      </c>
      <c r="D96" s="19"/>
      <c r="E96" s="19"/>
      <c r="F96" s="19"/>
      <c r="G96" s="19"/>
      <c r="H96" s="28"/>
    </row>
    <row r="97" spans="1:8" hidden="1">
      <c r="A97" s="28"/>
      <c r="B97" s="28"/>
      <c r="C97" s="28" t="s">
        <v>512</v>
      </c>
      <c r="D97" s="28"/>
      <c r="E97" s="28"/>
      <c r="F97" s="28"/>
      <c r="G97" s="28"/>
      <c r="H97" s="28" t="s">
        <v>513</v>
      </c>
    </row>
    <row r="98" spans="1:8" ht="15" thickTop="1">
      <c r="A98" s="19"/>
      <c r="B98" s="19"/>
      <c r="C98" s="19"/>
      <c r="D98" s="19"/>
      <c r="E98" s="19"/>
      <c r="F98" s="19"/>
      <c r="G98" s="19"/>
      <c r="H98" s="19"/>
    </row>
  </sheetData>
  <sheetProtection algorithmName="SHA-1" hashValue="TcLT7qwEBZJeXd/wJt1LrkzQWDg=" saltValue="+5Wv/LTJlFzAhhQXg8lQ2Q==" spinCount="100000" sheet="1" objects="1" scenarios="1" formatColumns="0" formatRows="0"/>
  <dataValidations count="1">
    <dataValidation type="decimal" allowBlank="1" showInputMessage="1" showErrorMessage="1" error="Please enter a numeric value upto 2 decimal places only" sqref="E92:F92 E79 F66 F61:F62 E53 E55:F55 F79 F72 E30:E32 F30:F32 E37 F37 F83 E46:E48 F46:F48 E50 F50 E61:E62 E66 F76:F77 F90 E72 E90 E76:E77 E83 E86 F86 E88 F88 E70 F70 E39:E40 F39:F40 F53" xr:uid="{DBCA8283-043B-45FC-8460-E86476E53188}">
      <formula1>-999999999999999</formula1>
      <formula2>999999999999999</formula2>
    </dataValidation>
  </dataValidations>
  <hyperlinks>
    <hyperlink ref="G28" tooltip="See details" display="See details" xr:uid="{2753FFC8-6E02-48D8-BC1C-6E3DFD543EE3}"/>
    <hyperlink ref="G29" tooltip="See details" display="See details" xr:uid="{DF2972A8-EA93-4559-A7A8-692997129B77}"/>
    <hyperlink ref="G33" tooltip="See details" display="See details" xr:uid="{2D1FCB11-65DB-4D85-9821-4415FCD7C7D8}"/>
    <hyperlink ref="G34" tooltip="See details" display="See details" xr:uid="{7C6D84DA-E7B6-4BDD-A39A-56E2AB53221E}"/>
    <hyperlink ref="G35" tooltip="See details" display="See details" xr:uid="{F5E5AA32-B48A-4E80-B2DB-11C3339F3725}"/>
    <hyperlink ref="G36" tooltip="See details" display="See details" xr:uid="{5442D455-A33E-4A4A-BFEE-7787875F185F}"/>
    <hyperlink ref="G38" tooltip="See details" display="See details" xr:uid="{099D3BDE-EF23-4E26-B2C7-51791B999D42}"/>
    <hyperlink ref="G41" tooltip="See details" display="See details" xr:uid="{F3838E88-A40E-46B0-8A24-2E2363295AEC}"/>
    <hyperlink ref="G42" tooltip="See details" display="See details" xr:uid="{78BB736D-E9AA-4E3C-BC3E-FC20B8F2C2E0}"/>
    <hyperlink ref="G45" tooltip="See details" display="See details" xr:uid="{BA709A64-046D-4AAD-8049-50ED2A57E849}"/>
    <hyperlink ref="G49" tooltip="See details" display="See details" xr:uid="{E29B9D17-AFC1-4783-BFAA-82E21F05FCE9}"/>
    <hyperlink ref="G51" tooltip="See details" display="See details" xr:uid="{653C5082-975D-432A-8724-9BA1F35AB029}"/>
    <hyperlink ref="G52" tooltip="See details" display="See details" xr:uid="{278D5375-FE27-49EC-AF0B-CB4FE4B1F7D0}"/>
    <hyperlink ref="G60" tooltip="See details" display="See details" xr:uid="{8711BFE7-2EE1-41AE-81DA-6B27CE3BFF36}"/>
    <hyperlink ref="G63" tooltip="See details" display="See details" xr:uid="{830D3D7A-5DEC-4E40-A436-8CD3D4582CEE}"/>
    <hyperlink ref="G65" tooltip="See details" display="See details" xr:uid="{4C39B651-EC0C-48ED-8ACB-08864F191598}"/>
    <hyperlink ref="G71" tooltip="See details" display="See details" xr:uid="{25A04112-7655-4F8D-9D89-D7E50368ADA2}"/>
    <hyperlink ref="G73" tooltip="See details" display="See details" xr:uid="{D8C88BBD-5753-4724-AFF0-A8CBAE475296}"/>
    <hyperlink ref="G74" tooltip="See details" display="See details" xr:uid="{C209DFB1-A856-435D-8637-D0D61E324A50}"/>
    <hyperlink ref="G75" tooltip="See details" display="See details" xr:uid="{DE197444-70A5-48AF-A58D-3E08C0FDB607}"/>
    <hyperlink ref="G78" tooltip="See details" display="See details" xr:uid="{FE2AF2C1-144F-47FA-8133-3FDC07749421}"/>
    <hyperlink ref="G82" tooltip="See details" display="See details" xr:uid="{7DA2F48D-399F-4E24-AB3A-1B80352A800F}"/>
    <hyperlink ref="G84" tooltip="See details" display="See details" xr:uid="{20144D5B-BFBA-48F5-B9E0-B7C84F2779C8}"/>
    <hyperlink ref="G85" tooltip="See details" display="See details" xr:uid="{FA67012C-2B92-4BA3-B173-F39D3A25A3C6}"/>
    <hyperlink ref="G87" tooltip="See details" display="See details" xr:uid="{BFB4C382-A1F5-46AF-B23C-F1D06E0CBE0F}"/>
    <hyperlink ref="G89" tooltip="See details" display="See details" xr:uid="{29F964B8-54C4-4D22-B198-D351C9CF6DB1}"/>
  </hyperlinks>
  <pageMargins left="0.7" right="0.7" top="0.75" bottom="0.75" header="0.3" footer="0.3"/>
  <drawing r:id="rId1"/>
  <legacyDrawing r:id="rId2"/>
  <controls>
    <mc:AlternateContent xmlns:mc="http://schemas.openxmlformats.org/markup-compatibility/2006">
      <mc:Choice Requires="x14">
        <control shapeId="15425"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5425" r:id="rId3" name="LegendBtn"/>
      </mc:Fallback>
    </mc:AlternateContent>
    <mc:AlternateContent xmlns:mc="http://schemas.openxmlformats.org/markup-compatibility/2006">
      <mc:Choice Requires="x14">
        <control shapeId="15424"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5424" r:id="rId5" name="HelpBtn"/>
      </mc:Fallback>
    </mc:AlternateContent>
    <mc:AlternateContent xmlns:mc="http://schemas.openxmlformats.org/markup-compatibility/2006">
      <mc:Choice Requires="x14">
        <control shapeId="15423"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5423" r:id="rId7" name="ToolboxBtn"/>
      </mc:Fallback>
    </mc:AlternateContent>
    <mc:AlternateContent xmlns:mc="http://schemas.openxmlformats.org/markup-compatibility/2006">
      <mc:Choice Requires="x14">
        <control shapeId="15422"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5422" r:id="rId9" name="HomeBtn"/>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AB8A-AF99-4C47-B6D6-B7B48545F22D}">
  <sheetPr codeName="Sheet10"/>
  <dimension ref="A1:DZ475"/>
  <sheetViews>
    <sheetView showGridLines="0" topLeftCell="D1" workbookViewId="0">
      <pane ySplit="2" topLeftCell="A46" activePane="bottomLeft" state="frozen"/>
      <selection pane="bottomLeft" activeCell="D59" sqref="D59"/>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997</v>
      </c>
      <c r="B1" s="19"/>
      <c r="C1" s="19"/>
      <c r="D1" s="19"/>
      <c r="E1" s="19"/>
      <c r="F1" s="19"/>
      <c r="G1" s="19"/>
      <c r="H1" s="19"/>
    </row>
    <row r="2" spans="1:130" ht="25.15" customHeight="1">
      <c r="A2" s="39"/>
      <c r="B2" s="39"/>
      <c r="C2" s="39"/>
      <c r="D2" s="41" t="s">
        <v>1781</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998</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ht="27">
      <c r="A10" s="28" t="s">
        <v>999</v>
      </c>
      <c r="B10" s="28"/>
      <c r="C10" s="28"/>
      <c r="D10" s="31" t="s">
        <v>1000</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1755</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ht="27">
      <c r="A24" s="28" t="s">
        <v>1001</v>
      </c>
      <c r="B24" s="28"/>
      <c r="C24" s="28"/>
      <c r="D24" s="31" t="s">
        <v>1450</v>
      </c>
      <c r="E24" s="31"/>
      <c r="F24" s="31"/>
      <c r="G24" s="19"/>
      <c r="H24" s="28"/>
    </row>
    <row r="25" spans="1:8" ht="27">
      <c r="A25" s="28" t="s">
        <v>1002</v>
      </c>
      <c r="B25" s="28"/>
      <c r="C25" s="28"/>
      <c r="D25" s="32" t="s">
        <v>1450</v>
      </c>
      <c r="E25" s="31"/>
      <c r="F25" s="31"/>
      <c r="G25" s="19"/>
      <c r="H25" s="28"/>
    </row>
    <row r="26" spans="1:8" ht="27">
      <c r="A26" s="28" t="s">
        <v>1003</v>
      </c>
      <c r="B26" s="28"/>
      <c r="C26" s="28"/>
      <c r="D26" s="57" t="s">
        <v>1451</v>
      </c>
      <c r="E26" s="58"/>
      <c r="F26" s="58"/>
      <c r="G26" s="19"/>
      <c r="H26" s="28"/>
    </row>
    <row r="27" spans="1:8">
      <c r="A27" s="28" t="s">
        <v>1004</v>
      </c>
      <c r="B27" s="28"/>
      <c r="C27" s="28"/>
      <c r="D27" s="59" t="s">
        <v>1452</v>
      </c>
      <c r="E27" s="58"/>
      <c r="F27" s="58"/>
      <c r="G27" s="19"/>
      <c r="H27" s="28"/>
    </row>
    <row r="28" spans="1:8">
      <c r="A28" s="28" t="s">
        <v>1005</v>
      </c>
      <c r="B28" s="28"/>
      <c r="C28" s="28"/>
      <c r="D28" s="72" t="s">
        <v>1453</v>
      </c>
      <c r="E28" s="58"/>
      <c r="F28" s="58"/>
      <c r="G28" s="19"/>
      <c r="H28" s="28"/>
    </row>
    <row r="29" spans="1:8">
      <c r="A29" s="28" t="s">
        <v>1006</v>
      </c>
      <c r="B29" s="28"/>
      <c r="C29" s="28"/>
      <c r="D29" s="77" t="s">
        <v>1454</v>
      </c>
      <c r="E29" s="58"/>
      <c r="F29" s="58"/>
      <c r="G29" s="19"/>
      <c r="H29" s="28"/>
    </row>
    <row r="30" spans="1:8">
      <c r="A30" s="28" t="s">
        <v>1007</v>
      </c>
      <c r="B30" s="28"/>
      <c r="C30" s="28"/>
      <c r="D30" s="78" t="s">
        <v>1455</v>
      </c>
      <c r="E30" s="61"/>
      <c r="F30" s="61"/>
      <c r="G30" s="19"/>
      <c r="H30" s="28"/>
    </row>
    <row r="31" spans="1:8">
      <c r="A31" s="28" t="s">
        <v>1008</v>
      </c>
      <c r="B31" s="28"/>
      <c r="C31" s="28"/>
      <c r="D31" s="78" t="s">
        <v>1456</v>
      </c>
      <c r="E31" s="61"/>
      <c r="F31" s="61"/>
      <c r="G31" s="19"/>
      <c r="H31" s="28"/>
    </row>
    <row r="32" spans="1:8">
      <c r="A32" s="28" t="s">
        <v>1009</v>
      </c>
      <c r="B32" s="28"/>
      <c r="C32" s="28"/>
      <c r="D32" s="78" t="s">
        <v>1457</v>
      </c>
      <c r="E32" s="61"/>
      <c r="F32" s="61"/>
      <c r="G32" s="19"/>
      <c r="H32" s="28"/>
    </row>
    <row r="33" spans="1:8">
      <c r="A33" s="28" t="s">
        <v>1010</v>
      </c>
      <c r="B33" s="28"/>
      <c r="C33" s="28"/>
      <c r="D33" s="79" t="s">
        <v>1458</v>
      </c>
      <c r="E33" s="71">
        <f>1*E30+1*E31+1*E32</f>
        <v>0</v>
      </c>
      <c r="F33" s="71">
        <f>1*F30+1*F31+1*F32</f>
        <v>0</v>
      </c>
      <c r="G33" s="19"/>
      <c r="H33" s="28"/>
    </row>
    <row r="34" spans="1:8">
      <c r="A34" s="28" t="s">
        <v>1011</v>
      </c>
      <c r="B34" s="28"/>
      <c r="C34" s="28"/>
      <c r="D34" s="77" t="s">
        <v>1459</v>
      </c>
      <c r="E34" s="58"/>
      <c r="F34" s="58"/>
      <c r="G34" s="19"/>
      <c r="H34" s="28"/>
    </row>
    <row r="35" spans="1:8">
      <c r="A35" s="28" t="s">
        <v>1012</v>
      </c>
      <c r="B35" s="28"/>
      <c r="C35" s="28"/>
      <c r="D35" s="78" t="s">
        <v>1460</v>
      </c>
      <c r="E35" s="61">
        <v>1000000</v>
      </c>
      <c r="F35" s="61"/>
      <c r="G35" s="19"/>
      <c r="H35" s="28"/>
    </row>
    <row r="36" spans="1:8" ht="27">
      <c r="A36" s="28" t="s">
        <v>1013</v>
      </c>
      <c r="B36" s="28"/>
      <c r="C36" s="28"/>
      <c r="D36" s="78" t="s">
        <v>1461</v>
      </c>
      <c r="E36" s="61"/>
      <c r="F36" s="61"/>
      <c r="G36" s="19"/>
      <c r="H36" s="28"/>
    </row>
    <row r="37" spans="1:8" ht="27">
      <c r="A37" s="28" t="s">
        <v>1014</v>
      </c>
      <c r="B37" s="28"/>
      <c r="C37" s="28"/>
      <c r="D37" s="78" t="s">
        <v>1462</v>
      </c>
      <c r="E37" s="61"/>
      <c r="F37" s="61"/>
      <c r="G37" s="19"/>
      <c r="H37" s="28"/>
    </row>
    <row r="38" spans="1:8">
      <c r="A38" s="28" t="s">
        <v>1015</v>
      </c>
      <c r="B38" s="28"/>
      <c r="C38" s="28"/>
      <c r="D38" s="78" t="s">
        <v>1463</v>
      </c>
      <c r="E38" s="61"/>
      <c r="F38" s="61"/>
      <c r="G38" s="19"/>
      <c r="H38" s="28"/>
    </row>
    <row r="39" spans="1:8">
      <c r="A39" s="28" t="s">
        <v>1016</v>
      </c>
      <c r="B39" s="28"/>
      <c r="C39" s="28"/>
      <c r="D39" s="79" t="s">
        <v>1464</v>
      </c>
      <c r="E39" s="71">
        <f>1*E35+1*E36+1*E37+1*E38</f>
        <v>1000000</v>
      </c>
      <c r="F39" s="71">
        <f>1*F35+1*F36+1*F37+1*F38</f>
        <v>0</v>
      </c>
      <c r="G39" s="19"/>
      <c r="H39" s="28"/>
    </row>
    <row r="40" spans="1:8">
      <c r="A40" s="28" t="s">
        <v>1017</v>
      </c>
      <c r="B40" s="28"/>
      <c r="C40" s="28"/>
      <c r="D40" s="75" t="s">
        <v>1465</v>
      </c>
      <c r="E40" s="71">
        <f>1*E33+1*E39</f>
        <v>1000000</v>
      </c>
      <c r="F40" s="71">
        <f>1*F33+1*F39</f>
        <v>0</v>
      </c>
      <c r="G40" s="19"/>
      <c r="H40" s="28"/>
    </row>
    <row r="41" spans="1:8">
      <c r="A41" s="28" t="s">
        <v>1018</v>
      </c>
      <c r="B41" s="28"/>
      <c r="C41" s="28"/>
      <c r="D41" s="72" t="s">
        <v>1466</v>
      </c>
      <c r="E41" s="58"/>
      <c r="F41" s="58"/>
      <c r="G41" s="19"/>
      <c r="H41" s="28"/>
    </row>
    <row r="42" spans="1:8">
      <c r="A42" s="28" t="s">
        <v>1019</v>
      </c>
      <c r="B42" s="28"/>
      <c r="C42" s="28"/>
      <c r="D42" s="73" t="s">
        <v>1467</v>
      </c>
      <c r="E42" s="61"/>
      <c r="F42" s="61"/>
      <c r="G42" s="19"/>
      <c r="H42" s="28"/>
    </row>
    <row r="43" spans="1:8">
      <c r="A43" s="28" t="s">
        <v>1020</v>
      </c>
      <c r="B43" s="28"/>
      <c r="C43" s="28"/>
      <c r="D43" s="73" t="s">
        <v>1468</v>
      </c>
      <c r="E43" s="61"/>
      <c r="F43" s="61"/>
      <c r="G43" s="19"/>
      <c r="H43" s="28"/>
    </row>
    <row r="44" spans="1:8">
      <c r="A44" s="28" t="s">
        <v>1021</v>
      </c>
      <c r="B44" s="28"/>
      <c r="C44" s="28"/>
      <c r="D44" s="73" t="s">
        <v>1469</v>
      </c>
      <c r="E44" s="61"/>
      <c r="F44" s="61"/>
      <c r="G44" s="19"/>
      <c r="H44" s="28"/>
    </row>
    <row r="45" spans="1:8">
      <c r="A45" s="28" t="s">
        <v>1022</v>
      </c>
      <c r="B45" s="28"/>
      <c r="C45" s="28"/>
      <c r="D45" s="73" t="s">
        <v>1470</v>
      </c>
      <c r="E45" s="61"/>
      <c r="F45" s="61"/>
      <c r="G45" s="19"/>
      <c r="H45" s="28"/>
    </row>
    <row r="46" spans="1:8">
      <c r="A46" s="28" t="s">
        <v>1023</v>
      </c>
      <c r="B46" s="28"/>
      <c r="C46" s="28"/>
      <c r="D46" s="75" t="s">
        <v>1471</v>
      </c>
      <c r="E46" s="71">
        <f>1*E42+1*E43+1*E44+1*E45</f>
        <v>0</v>
      </c>
      <c r="F46" s="71">
        <f>1*F42+1*F43+1*F44+1*F45</f>
        <v>0</v>
      </c>
      <c r="G46" s="19"/>
      <c r="H46" s="28"/>
    </row>
    <row r="47" spans="1:8">
      <c r="A47" s="28" t="s">
        <v>1024</v>
      </c>
      <c r="B47" s="28"/>
      <c r="C47" s="28"/>
      <c r="D47" s="63" t="s">
        <v>1472</v>
      </c>
      <c r="E47" s="61"/>
      <c r="F47" s="61"/>
      <c r="G47" s="19"/>
      <c r="H47" s="28"/>
    </row>
    <row r="48" spans="1:8">
      <c r="A48" s="28" t="s">
        <v>1025</v>
      </c>
      <c r="B48" s="28"/>
      <c r="C48" s="28"/>
      <c r="D48" s="63" t="s">
        <v>1473</v>
      </c>
      <c r="E48" s="61"/>
      <c r="F48" s="61"/>
      <c r="G48" s="19"/>
      <c r="H48" s="28"/>
    </row>
    <row r="49" spans="1:8">
      <c r="A49" s="28" t="s">
        <v>1026</v>
      </c>
      <c r="B49" s="28"/>
      <c r="C49" s="28"/>
      <c r="D49" s="63" t="s">
        <v>1474</v>
      </c>
      <c r="E49" s="61"/>
      <c r="F49" s="61"/>
      <c r="G49" s="19"/>
      <c r="H49" s="28"/>
    </row>
    <row r="50" spans="1:8">
      <c r="A50" s="28" t="s">
        <v>1027</v>
      </c>
      <c r="B50" s="28"/>
      <c r="C50" s="28"/>
      <c r="D50" s="63" t="s">
        <v>1475</v>
      </c>
      <c r="E50" s="61"/>
      <c r="F50" s="61"/>
      <c r="G50" s="19"/>
      <c r="H50" s="28"/>
    </row>
    <row r="51" spans="1:8">
      <c r="A51" s="28" t="s">
        <v>1028</v>
      </c>
      <c r="B51" s="28"/>
      <c r="C51" s="28"/>
      <c r="D51" s="63" t="s">
        <v>1476</v>
      </c>
      <c r="E51" s="61"/>
      <c r="F51" s="61"/>
      <c r="G51" s="19"/>
      <c r="H51" s="28"/>
    </row>
    <row r="52" spans="1:8">
      <c r="A52" s="28" t="s">
        <v>1029</v>
      </c>
      <c r="B52" s="28"/>
      <c r="C52" s="28"/>
      <c r="D52" s="63" t="s">
        <v>1477</v>
      </c>
      <c r="E52" s="61"/>
      <c r="F52" s="61"/>
      <c r="G52" s="19"/>
      <c r="H52" s="28"/>
    </row>
    <row r="53" spans="1:8">
      <c r="A53" s="28" t="s">
        <v>1030</v>
      </c>
      <c r="B53" s="28"/>
      <c r="C53" s="28"/>
      <c r="D53" s="63" t="s">
        <v>1478</v>
      </c>
      <c r="E53" s="61"/>
      <c r="F53" s="61"/>
      <c r="G53" s="19"/>
      <c r="H53" s="28"/>
    </row>
    <row r="54" spans="1:8">
      <c r="A54" s="28" t="s">
        <v>1031</v>
      </c>
      <c r="B54" s="28"/>
      <c r="C54" s="28"/>
      <c r="D54" s="63" t="s">
        <v>1479</v>
      </c>
      <c r="E54" s="61"/>
      <c r="F54" s="61"/>
      <c r="G54" s="19"/>
      <c r="H54" s="28"/>
    </row>
    <row r="55" spans="1:8" ht="27">
      <c r="A55" s="28" t="s">
        <v>1032</v>
      </c>
      <c r="B55" s="28"/>
      <c r="C55" s="28"/>
      <c r="D55" s="63" t="s">
        <v>1480</v>
      </c>
      <c r="E55" s="61"/>
      <c r="F55" s="61"/>
      <c r="G55" s="19"/>
      <c r="H55" s="28"/>
    </row>
    <row r="56" spans="1:8">
      <c r="A56" s="28" t="s">
        <v>1033</v>
      </c>
      <c r="B56" s="28"/>
      <c r="C56" s="28"/>
      <c r="D56" s="63" t="s">
        <v>1481</v>
      </c>
      <c r="E56" s="61"/>
      <c r="F56" s="61"/>
      <c r="G56" s="19"/>
      <c r="H56" s="28"/>
    </row>
    <row r="57" spans="1:8" ht="27">
      <c r="A57" s="28" t="s">
        <v>1034</v>
      </c>
      <c r="B57" s="28"/>
      <c r="C57" s="28"/>
      <c r="D57" s="63" t="s">
        <v>1482</v>
      </c>
      <c r="E57" s="61"/>
      <c r="F57" s="61"/>
      <c r="G57" s="19"/>
      <c r="H57" s="28"/>
    </row>
    <row r="58" spans="1:8">
      <c r="A58" s="28" t="s">
        <v>1035</v>
      </c>
      <c r="B58" s="28"/>
      <c r="C58" s="28"/>
      <c r="D58" s="63" t="s">
        <v>1483</v>
      </c>
      <c r="E58" s="61"/>
      <c r="F58" s="61"/>
      <c r="G58" s="19"/>
      <c r="H58" s="28"/>
    </row>
    <row r="59" spans="1:8" ht="15" thickBot="1">
      <c r="A59" s="28" t="s">
        <v>1036</v>
      </c>
      <c r="B59" s="28"/>
      <c r="C59" s="28"/>
      <c r="D59" s="64" t="s">
        <v>1756</v>
      </c>
      <c r="E59" s="65">
        <f>1*E40+1*E46+1*E47+1*E48+1*E49+1*E50+1*E51+1*E52+1*E53+1*E54+1*E55+1*E56+1*E57+1*E58</f>
        <v>1000000</v>
      </c>
      <c r="F59" s="65">
        <f>1*F40+1*F46+1*F47+1*F48+1*F49+1*F50+1*F51+1*F52+1*F53+1*F54+1*F55+1*F56+1*F57+1*F58</f>
        <v>0</v>
      </c>
      <c r="G59" s="62" t="s">
        <v>865</v>
      </c>
      <c r="H59" s="28"/>
    </row>
    <row r="60" spans="1:8" ht="15" thickTop="1">
      <c r="A60" s="28" t="s">
        <v>1037</v>
      </c>
      <c r="B60" s="28"/>
      <c r="C60" s="28"/>
      <c r="D60" s="59" t="s">
        <v>1484</v>
      </c>
      <c r="E60" s="66"/>
      <c r="F60" s="66"/>
      <c r="G60" s="19"/>
      <c r="H60" s="28"/>
    </row>
    <row r="61" spans="1:8" ht="27">
      <c r="A61" s="28" t="s">
        <v>1038</v>
      </c>
      <c r="B61" s="28"/>
      <c r="C61" s="28"/>
      <c r="D61" s="72" t="s">
        <v>1485</v>
      </c>
      <c r="E61" s="58"/>
      <c r="F61" s="58"/>
      <c r="G61" s="19"/>
      <c r="H61" s="28"/>
    </row>
    <row r="62" spans="1:8">
      <c r="A62" s="28" t="s">
        <v>1039</v>
      </c>
      <c r="B62" s="28"/>
      <c r="C62" s="28"/>
      <c r="D62" s="73" t="s">
        <v>1486</v>
      </c>
      <c r="E62" s="61"/>
      <c r="F62" s="61"/>
      <c r="G62" s="19"/>
      <c r="H62" s="28"/>
    </row>
    <row r="63" spans="1:8">
      <c r="A63" s="28" t="s">
        <v>1040</v>
      </c>
      <c r="B63" s="28"/>
      <c r="C63" s="28"/>
      <c r="D63" s="73" t="s">
        <v>1487</v>
      </c>
      <c r="E63" s="61"/>
      <c r="F63" s="61"/>
      <c r="G63" s="19"/>
      <c r="H63" s="28"/>
    </row>
    <row r="64" spans="1:8" ht="27">
      <c r="A64" s="28" t="s">
        <v>1041</v>
      </c>
      <c r="B64" s="28"/>
      <c r="C64" s="28"/>
      <c r="D64" s="75" t="s">
        <v>1488</v>
      </c>
      <c r="E64" s="71">
        <f>1*E62+1*E63</f>
        <v>0</v>
      </c>
      <c r="F64" s="71">
        <f>1*F62+1*F63</f>
        <v>0</v>
      </c>
      <c r="G64" s="19"/>
      <c r="H64" s="28"/>
    </row>
    <row r="65" spans="1:8" ht="27">
      <c r="A65" s="28" t="s">
        <v>1042</v>
      </c>
      <c r="B65" s="28"/>
      <c r="C65" s="28"/>
      <c r="D65" s="72" t="s">
        <v>1489</v>
      </c>
      <c r="E65" s="58"/>
      <c r="F65" s="58"/>
      <c r="G65" s="19"/>
      <c r="H65" s="28"/>
    </row>
    <row r="66" spans="1:8">
      <c r="A66" s="28" t="s">
        <v>1043</v>
      </c>
      <c r="B66" s="28"/>
      <c r="C66" s="28"/>
      <c r="D66" s="73" t="s">
        <v>1490</v>
      </c>
      <c r="E66" s="61"/>
      <c r="F66" s="61"/>
      <c r="G66" s="19"/>
      <c r="H66" s="28"/>
    </row>
    <row r="67" spans="1:8" ht="40.5">
      <c r="A67" s="28" t="s">
        <v>1044</v>
      </c>
      <c r="B67" s="28"/>
      <c r="C67" s="28"/>
      <c r="D67" s="75" t="s">
        <v>1491</v>
      </c>
      <c r="E67" s="71">
        <f>1*E66</f>
        <v>0</v>
      </c>
      <c r="F67" s="71">
        <f>1*F66</f>
        <v>0</v>
      </c>
      <c r="G67" s="19"/>
      <c r="H67" s="28"/>
    </row>
    <row r="68" spans="1:8">
      <c r="A68" s="28" t="s">
        <v>1045</v>
      </c>
      <c r="B68" s="28"/>
      <c r="C68" s="28"/>
      <c r="D68" s="63" t="s">
        <v>1492</v>
      </c>
      <c r="E68" s="61"/>
      <c r="F68" s="61"/>
      <c r="G68" s="19"/>
      <c r="H68" s="28"/>
    </row>
    <row r="69" spans="1:8" ht="15" thickBot="1">
      <c r="A69" s="28" t="s">
        <v>1046</v>
      </c>
      <c r="B69" s="28"/>
      <c r="C69" s="28"/>
      <c r="D69" s="64" t="s">
        <v>1757</v>
      </c>
      <c r="E69" s="65">
        <f>1*E64+1*E67+1*E68</f>
        <v>0</v>
      </c>
      <c r="F69" s="65">
        <f>1*F64+1*F67+1*F68</f>
        <v>0</v>
      </c>
      <c r="G69" s="62" t="s">
        <v>865</v>
      </c>
      <c r="H69" s="28"/>
    </row>
    <row r="70" spans="1:8" ht="15" thickTop="1">
      <c r="A70" s="28" t="s">
        <v>1047</v>
      </c>
      <c r="B70" s="28"/>
      <c r="C70" s="28"/>
      <c r="D70" s="59" t="s">
        <v>936</v>
      </c>
      <c r="E70" s="66"/>
      <c r="F70" s="66"/>
      <c r="G70" s="19"/>
      <c r="H70" s="28"/>
    </row>
    <row r="71" spans="1:8">
      <c r="A71" s="28" t="s">
        <v>1048</v>
      </c>
      <c r="B71" s="28"/>
      <c r="C71" s="28"/>
      <c r="D71" s="63" t="s">
        <v>1493</v>
      </c>
      <c r="E71" s="61"/>
      <c r="F71" s="61"/>
      <c r="G71" s="19"/>
      <c r="H71" s="28"/>
    </row>
    <row r="72" spans="1:8">
      <c r="A72" s="28" t="s">
        <v>1049</v>
      </c>
      <c r="B72" s="28"/>
      <c r="C72" s="28"/>
      <c r="D72" s="63" t="s">
        <v>1494</v>
      </c>
      <c r="E72" s="61"/>
      <c r="F72" s="61"/>
      <c r="G72" s="19"/>
      <c r="H72" s="28"/>
    </row>
    <row r="73" spans="1:8" ht="15" thickBot="1">
      <c r="A73" s="28" t="s">
        <v>1050</v>
      </c>
      <c r="B73" s="28"/>
      <c r="C73" s="28"/>
      <c r="D73" s="67" t="s">
        <v>1495</v>
      </c>
      <c r="E73" s="65">
        <f>1*E71+1*E72</f>
        <v>0</v>
      </c>
      <c r="F73" s="65">
        <f>1*F71+1*F72</f>
        <v>0</v>
      </c>
      <c r="G73" s="19"/>
      <c r="H73" s="28"/>
    </row>
    <row r="74" spans="1:8" ht="15" thickTop="1">
      <c r="A74" s="28" t="s">
        <v>1051</v>
      </c>
      <c r="B74" s="28"/>
      <c r="C74" s="28"/>
      <c r="D74" s="59" t="s">
        <v>1496</v>
      </c>
      <c r="E74" s="66"/>
      <c r="F74" s="66"/>
      <c r="G74" s="19"/>
      <c r="H74" s="28"/>
    </row>
    <row r="75" spans="1:8">
      <c r="A75" s="28" t="s">
        <v>1052</v>
      </c>
      <c r="B75" s="28"/>
      <c r="C75" s="28"/>
      <c r="D75" s="72" t="s">
        <v>1497</v>
      </c>
      <c r="E75" s="58"/>
      <c r="F75" s="58"/>
      <c r="G75" s="19"/>
      <c r="H75" s="28"/>
    </row>
    <row r="76" spans="1:8">
      <c r="A76" s="28" t="s">
        <v>1053</v>
      </c>
      <c r="B76" s="28"/>
      <c r="C76" s="28"/>
      <c r="D76" s="73" t="s">
        <v>1498</v>
      </c>
      <c r="E76" s="61"/>
      <c r="F76" s="61"/>
      <c r="G76" s="19"/>
      <c r="H76" s="28"/>
    </row>
    <row r="77" spans="1:8">
      <c r="A77" s="28" t="s">
        <v>1054</v>
      </c>
      <c r="B77" s="28"/>
      <c r="C77" s="28"/>
      <c r="D77" s="73" t="s">
        <v>1499</v>
      </c>
      <c r="E77" s="61"/>
      <c r="F77" s="61"/>
      <c r="G77" s="19"/>
      <c r="H77" s="28"/>
    </row>
    <row r="78" spans="1:8">
      <c r="A78" s="28" t="s">
        <v>1055</v>
      </c>
      <c r="B78" s="28"/>
      <c r="C78" s="28"/>
      <c r="D78" s="73" t="s">
        <v>1500</v>
      </c>
      <c r="E78" s="61"/>
      <c r="F78" s="61"/>
      <c r="G78" s="19"/>
      <c r="H78" s="28"/>
    </row>
    <row r="79" spans="1:8" ht="40.5">
      <c r="A79" s="28" t="s">
        <v>1056</v>
      </c>
      <c r="B79" s="28"/>
      <c r="C79" s="28"/>
      <c r="D79" s="73" t="s">
        <v>1501</v>
      </c>
      <c r="E79" s="61"/>
      <c r="F79" s="61"/>
      <c r="G79" s="19"/>
      <c r="H79" s="28"/>
    </row>
    <row r="80" spans="1:8">
      <c r="A80" s="28" t="s">
        <v>1057</v>
      </c>
      <c r="B80" s="28"/>
      <c r="C80" s="28"/>
      <c r="D80" s="73" t="s">
        <v>1502</v>
      </c>
      <c r="E80" s="61"/>
      <c r="F80" s="61"/>
      <c r="G80" s="19"/>
      <c r="H80" s="28"/>
    </row>
    <row r="81" spans="1:8" ht="27">
      <c r="A81" s="28" t="s">
        <v>1058</v>
      </c>
      <c r="B81" s="28"/>
      <c r="C81" s="28"/>
      <c r="D81" s="73" t="s">
        <v>1503</v>
      </c>
      <c r="E81" s="61"/>
      <c r="F81" s="61"/>
      <c r="G81" s="19"/>
      <c r="H81" s="28"/>
    </row>
    <row r="82" spans="1:8">
      <c r="A82" s="28" t="s">
        <v>1059</v>
      </c>
      <c r="B82" s="28"/>
      <c r="C82" s="28"/>
      <c r="D82" s="73" t="s">
        <v>1504</v>
      </c>
      <c r="E82" s="61"/>
      <c r="F82" s="61"/>
      <c r="G82" s="19"/>
      <c r="H82" s="28"/>
    </row>
    <row r="83" spans="1:8" ht="27">
      <c r="A83" s="28" t="s">
        <v>1060</v>
      </c>
      <c r="B83" s="28"/>
      <c r="C83" s="28"/>
      <c r="D83" s="73" t="s">
        <v>1505</v>
      </c>
      <c r="E83" s="61"/>
      <c r="F83" s="61"/>
      <c r="G83" s="19"/>
      <c r="H83" s="28"/>
    </row>
    <row r="84" spans="1:8">
      <c r="A84" s="28" t="s">
        <v>1061</v>
      </c>
      <c r="B84" s="28"/>
      <c r="C84" s="28"/>
      <c r="D84" s="73" t="s">
        <v>1506</v>
      </c>
      <c r="E84" s="61"/>
      <c r="F84" s="61"/>
      <c r="G84" s="19"/>
      <c r="H84" s="28"/>
    </row>
    <row r="85" spans="1:8">
      <c r="A85" s="28" t="s">
        <v>1062</v>
      </c>
      <c r="B85" s="28"/>
      <c r="C85" s="28"/>
      <c r="D85" s="73" t="s">
        <v>1507</v>
      </c>
      <c r="E85" s="61"/>
      <c r="F85" s="61"/>
      <c r="G85" s="19"/>
      <c r="H85" s="28"/>
    </row>
    <row r="86" spans="1:8">
      <c r="A86" s="28" t="s">
        <v>1063</v>
      </c>
      <c r="B86" s="28"/>
      <c r="C86" s="28"/>
      <c r="D86" s="73" t="s">
        <v>1508</v>
      </c>
      <c r="E86" s="61"/>
      <c r="F86" s="61"/>
      <c r="G86" s="19"/>
      <c r="H86" s="28"/>
    </row>
    <row r="87" spans="1:8" ht="27">
      <c r="A87" s="28" t="s">
        <v>1064</v>
      </c>
      <c r="B87" s="28"/>
      <c r="C87" s="28"/>
      <c r="D87" s="75" t="s">
        <v>1509</v>
      </c>
      <c r="E87" s="71">
        <f>1*E76+1*E77+1*E78+1*E79+1*E80+1*E81+1*E82+1*E83+1*E84+1*E85+1*E86</f>
        <v>0</v>
      </c>
      <c r="F87" s="71">
        <f>1*F76+1*F77+1*F78+1*F79+1*F80+1*F81+1*F82+1*F83+1*F84+1*F85+1*F86</f>
        <v>0</v>
      </c>
      <c r="G87" s="19"/>
      <c r="H87" s="28"/>
    </row>
    <row r="88" spans="1:8">
      <c r="A88" s="28" t="s">
        <v>1065</v>
      </c>
      <c r="B88" s="28"/>
      <c r="C88" s="28"/>
      <c r="D88" s="63" t="s">
        <v>1510</v>
      </c>
      <c r="E88" s="61"/>
      <c r="F88" s="61"/>
      <c r="G88" s="19"/>
      <c r="H88" s="28"/>
    </row>
    <row r="89" spans="1:8" ht="15" thickBot="1">
      <c r="A89" s="28" t="s">
        <v>1066</v>
      </c>
      <c r="B89" s="28"/>
      <c r="C89" s="28"/>
      <c r="D89" s="64" t="s">
        <v>1758</v>
      </c>
      <c r="E89" s="65">
        <f>1*E87+1*E88</f>
        <v>0</v>
      </c>
      <c r="F89" s="65">
        <f>1*F87+1*F88</f>
        <v>0</v>
      </c>
      <c r="G89" s="62" t="s">
        <v>865</v>
      </c>
      <c r="H89" s="28"/>
    </row>
    <row r="90" spans="1:8" ht="15" thickTop="1">
      <c r="A90" s="28" t="s">
        <v>1067</v>
      </c>
      <c r="B90" s="28"/>
      <c r="C90" s="28"/>
      <c r="D90" s="59" t="s">
        <v>1511</v>
      </c>
      <c r="E90" s="66"/>
      <c r="F90" s="66"/>
      <c r="G90" s="19"/>
      <c r="H90" s="28"/>
    </row>
    <row r="91" spans="1:8" ht="27">
      <c r="A91" s="28" t="s">
        <v>1068</v>
      </c>
      <c r="B91" s="28"/>
      <c r="C91" s="28"/>
      <c r="D91" s="63" t="s">
        <v>1512</v>
      </c>
      <c r="E91" s="61"/>
      <c r="F91" s="61"/>
      <c r="G91" s="19"/>
      <c r="H91" s="28"/>
    </row>
    <row r="92" spans="1:8">
      <c r="A92" s="28" t="s">
        <v>1069</v>
      </c>
      <c r="B92" s="28"/>
      <c r="C92" s="28"/>
      <c r="D92" s="63" t="s">
        <v>1513</v>
      </c>
      <c r="E92" s="61"/>
      <c r="F92" s="61"/>
      <c r="G92" s="19"/>
      <c r="H92" s="28"/>
    </row>
    <row r="93" spans="1:8">
      <c r="A93" s="28" t="s">
        <v>1070</v>
      </c>
      <c r="B93" s="28"/>
      <c r="C93" s="28"/>
      <c r="D93" s="63" t="s">
        <v>1514</v>
      </c>
      <c r="E93" s="61"/>
      <c r="F93" s="61"/>
      <c r="G93" s="19"/>
      <c r="H93" s="28"/>
    </row>
    <row r="94" spans="1:8" ht="27">
      <c r="A94" s="28" t="s">
        <v>1071</v>
      </c>
      <c r="B94" s="28"/>
      <c r="C94" s="28"/>
      <c r="D94" s="63" t="s">
        <v>1515</v>
      </c>
      <c r="E94" s="61"/>
      <c r="F94" s="61"/>
      <c r="G94" s="19"/>
      <c r="H94" s="28"/>
    </row>
    <row r="95" spans="1:8" ht="27">
      <c r="A95" s="28" t="s">
        <v>1072</v>
      </c>
      <c r="B95" s="28"/>
      <c r="C95" s="28"/>
      <c r="D95" s="63" t="s">
        <v>1516</v>
      </c>
      <c r="E95" s="61"/>
      <c r="F95" s="61"/>
      <c r="G95" s="19"/>
      <c r="H95" s="28"/>
    </row>
    <row r="96" spans="1:8">
      <c r="A96" s="28" t="s">
        <v>1073</v>
      </c>
      <c r="B96" s="28"/>
      <c r="C96" s="28"/>
      <c r="D96" s="63" t="s">
        <v>1517</v>
      </c>
      <c r="E96" s="61"/>
      <c r="F96" s="61"/>
      <c r="G96" s="19"/>
      <c r="H96" s="28"/>
    </row>
    <row r="97" spans="1:8" ht="15" thickBot="1">
      <c r="A97" s="28" t="s">
        <v>1074</v>
      </c>
      <c r="B97" s="28"/>
      <c r="C97" s="28"/>
      <c r="D97" s="64" t="s">
        <v>1759</v>
      </c>
      <c r="E97" s="65">
        <f>1*E91+1*E92+1*E93+1*E94+1*E95+1*E96</f>
        <v>0</v>
      </c>
      <c r="F97" s="65">
        <f>1*F91+1*F92+1*F93+1*F94+1*F95+1*F96</f>
        <v>0</v>
      </c>
      <c r="G97" s="62" t="s">
        <v>865</v>
      </c>
      <c r="H97" s="28"/>
    </row>
    <row r="98" spans="1:8" ht="15" thickTop="1">
      <c r="A98" s="28" t="s">
        <v>1075</v>
      </c>
      <c r="B98" s="28"/>
      <c r="C98" s="28"/>
      <c r="D98" s="59" t="s">
        <v>1518</v>
      </c>
      <c r="E98" s="66"/>
      <c r="F98" s="66"/>
      <c r="G98" s="19"/>
      <c r="H98" s="28"/>
    </row>
    <row r="99" spans="1:8" ht="27">
      <c r="A99" s="28" t="s">
        <v>1076</v>
      </c>
      <c r="B99" s="28"/>
      <c r="C99" s="28"/>
      <c r="D99" s="63" t="s">
        <v>1512</v>
      </c>
      <c r="E99" s="61"/>
      <c r="F99" s="61"/>
      <c r="G99" s="19"/>
      <c r="H99" s="28"/>
    </row>
    <row r="100" spans="1:8">
      <c r="A100" s="28" t="s">
        <v>1077</v>
      </c>
      <c r="B100" s="28"/>
      <c r="C100" s="28"/>
      <c r="D100" s="63" t="s">
        <v>1513</v>
      </c>
      <c r="E100" s="61"/>
      <c r="F100" s="61"/>
      <c r="G100" s="19"/>
      <c r="H100" s="28"/>
    </row>
    <row r="101" spans="1:8">
      <c r="A101" s="28" t="s">
        <v>1078</v>
      </c>
      <c r="B101" s="28"/>
      <c r="C101" s="28"/>
      <c r="D101" s="63" t="s">
        <v>1514</v>
      </c>
      <c r="E101" s="61"/>
      <c r="F101" s="61"/>
      <c r="G101" s="19"/>
      <c r="H101" s="28"/>
    </row>
    <row r="102" spans="1:8" ht="27">
      <c r="A102" s="28" t="s">
        <v>1079</v>
      </c>
      <c r="B102" s="28"/>
      <c r="C102" s="28"/>
      <c r="D102" s="63" t="s">
        <v>1515</v>
      </c>
      <c r="E102" s="61"/>
      <c r="F102" s="61"/>
      <c r="G102" s="19"/>
      <c r="H102" s="28"/>
    </row>
    <row r="103" spans="1:8" ht="27">
      <c r="A103" s="28" t="s">
        <v>1080</v>
      </c>
      <c r="B103" s="28"/>
      <c r="C103" s="28"/>
      <c r="D103" s="63" t="s">
        <v>1519</v>
      </c>
      <c r="E103" s="61"/>
      <c r="F103" s="61"/>
      <c r="G103" s="19"/>
      <c r="H103" s="28"/>
    </row>
    <row r="104" spans="1:8" ht="27">
      <c r="A104" s="28" t="s">
        <v>1081</v>
      </c>
      <c r="B104" s="28"/>
      <c r="C104" s="28"/>
      <c r="D104" s="63" t="s">
        <v>1520</v>
      </c>
      <c r="E104" s="61"/>
      <c r="F104" s="61"/>
      <c r="G104" s="19"/>
      <c r="H104" s="28"/>
    </row>
    <row r="105" spans="1:8">
      <c r="A105" s="28" t="s">
        <v>1082</v>
      </c>
      <c r="B105" s="28"/>
      <c r="C105" s="28"/>
      <c r="D105" s="63" t="s">
        <v>1521</v>
      </c>
      <c r="E105" s="61"/>
      <c r="F105" s="61"/>
      <c r="G105" s="19"/>
      <c r="H105" s="28"/>
    </row>
    <row r="106" spans="1:8" ht="15" thickBot="1">
      <c r="A106" s="28" t="s">
        <v>1083</v>
      </c>
      <c r="B106" s="28"/>
      <c r="C106" s="28"/>
      <c r="D106" s="64" t="s">
        <v>1760</v>
      </c>
      <c r="E106" s="65">
        <f>1*E99+1*E100+1*E101+1*E102+1*E103+1*E104+1*E105</f>
        <v>0</v>
      </c>
      <c r="F106" s="65">
        <f>1*F99+1*F100+1*F101+1*F102+1*F103+1*F104+1*F105</f>
        <v>0</v>
      </c>
      <c r="G106" s="62" t="s">
        <v>865</v>
      </c>
      <c r="H106" s="28"/>
    </row>
    <row r="107" spans="1:8" ht="15" thickTop="1">
      <c r="A107" s="28" t="s">
        <v>1084</v>
      </c>
      <c r="B107" s="28"/>
      <c r="C107" s="28"/>
      <c r="D107" s="59" t="s">
        <v>1522</v>
      </c>
      <c r="E107" s="66"/>
      <c r="F107" s="66"/>
      <c r="G107" s="19"/>
      <c r="H107" s="28"/>
    </row>
    <row r="108" spans="1:8" ht="27">
      <c r="A108" s="28" t="s">
        <v>1085</v>
      </c>
      <c r="B108" s="28"/>
      <c r="C108" s="28"/>
      <c r="D108" s="63" t="s">
        <v>1512</v>
      </c>
      <c r="E108" s="61"/>
      <c r="F108" s="61"/>
      <c r="G108" s="19"/>
      <c r="H108" s="28"/>
    </row>
    <row r="109" spans="1:8">
      <c r="A109" s="28" t="s">
        <v>1086</v>
      </c>
      <c r="B109" s="28"/>
      <c r="C109" s="28"/>
      <c r="D109" s="63" t="s">
        <v>1513</v>
      </c>
      <c r="E109" s="61"/>
      <c r="F109" s="61"/>
      <c r="G109" s="19"/>
      <c r="H109" s="28"/>
    </row>
    <row r="110" spans="1:8">
      <c r="A110" s="28" t="s">
        <v>1087</v>
      </c>
      <c r="B110" s="28"/>
      <c r="C110" s="28"/>
      <c r="D110" s="63" t="s">
        <v>1514</v>
      </c>
      <c r="E110" s="61"/>
      <c r="F110" s="61"/>
      <c r="G110" s="19"/>
      <c r="H110" s="28"/>
    </row>
    <row r="111" spans="1:8" ht="27">
      <c r="A111" s="28" t="s">
        <v>1088</v>
      </c>
      <c r="B111" s="28"/>
      <c r="C111" s="28"/>
      <c r="D111" s="63" t="s">
        <v>1515</v>
      </c>
      <c r="E111" s="61"/>
      <c r="F111" s="61"/>
      <c r="G111" s="19"/>
      <c r="H111" s="28"/>
    </row>
    <row r="112" spans="1:8" ht="27">
      <c r="A112" s="28" t="s">
        <v>1089</v>
      </c>
      <c r="B112" s="28"/>
      <c r="C112" s="28"/>
      <c r="D112" s="63" t="s">
        <v>1519</v>
      </c>
      <c r="E112" s="61"/>
      <c r="F112" s="61"/>
      <c r="G112" s="19"/>
      <c r="H112" s="28"/>
    </row>
    <row r="113" spans="1:8" ht="27">
      <c r="A113" s="28" t="s">
        <v>1090</v>
      </c>
      <c r="B113" s="28"/>
      <c r="C113" s="28"/>
      <c r="D113" s="63" t="s">
        <v>1523</v>
      </c>
      <c r="E113" s="61"/>
      <c r="F113" s="61"/>
      <c r="G113" s="19"/>
      <c r="H113" s="28"/>
    </row>
    <row r="114" spans="1:8">
      <c r="A114" s="28" t="s">
        <v>1091</v>
      </c>
      <c r="B114" s="28"/>
      <c r="C114" s="28"/>
      <c r="D114" s="63" t="s">
        <v>1524</v>
      </c>
      <c r="E114" s="61"/>
      <c r="F114" s="61"/>
      <c r="G114" s="19"/>
      <c r="H114" s="28"/>
    </row>
    <row r="115" spans="1:8" ht="15" thickBot="1">
      <c r="A115" s="28" t="s">
        <v>1092</v>
      </c>
      <c r="B115" s="28"/>
      <c r="C115" s="28"/>
      <c r="D115" s="64" t="s">
        <v>1761</v>
      </c>
      <c r="E115" s="65">
        <f>1*E108+1*E109+1*E110+1*E111+1*E112+1*E113+1*E114</f>
        <v>0</v>
      </c>
      <c r="F115" s="65">
        <f>1*F108+1*F109+1*F110+1*F111+1*F112+1*F113+1*F114</f>
        <v>0</v>
      </c>
      <c r="G115" s="62" t="s">
        <v>865</v>
      </c>
      <c r="H115" s="28"/>
    </row>
    <row r="116" spans="1:8" ht="27.5" thickTop="1">
      <c r="A116" s="28" t="s">
        <v>1093</v>
      </c>
      <c r="B116" s="28"/>
      <c r="C116" s="28"/>
      <c r="D116" s="59" t="s">
        <v>1525</v>
      </c>
      <c r="E116" s="66"/>
      <c r="F116" s="66"/>
      <c r="G116" s="19"/>
      <c r="H116" s="28"/>
    </row>
    <row r="117" spans="1:8">
      <c r="A117" s="28" t="s">
        <v>1094</v>
      </c>
      <c r="B117" s="28"/>
      <c r="C117" s="28"/>
      <c r="D117" s="72" t="s">
        <v>1526</v>
      </c>
      <c r="E117" s="58"/>
      <c r="F117" s="58"/>
      <c r="G117" s="19"/>
      <c r="H117" s="28"/>
    </row>
    <row r="118" spans="1:8">
      <c r="A118" s="28" t="s">
        <v>1095</v>
      </c>
      <c r="B118" s="28"/>
      <c r="C118" s="28"/>
      <c r="D118" s="73" t="s">
        <v>1527</v>
      </c>
      <c r="E118" s="61"/>
      <c r="F118" s="61"/>
      <c r="G118" s="19"/>
      <c r="H118" s="28"/>
    </row>
    <row r="119" spans="1:8" ht="27">
      <c r="A119" s="28" t="s">
        <v>1096</v>
      </c>
      <c r="B119" s="28"/>
      <c r="C119" s="28"/>
      <c r="D119" s="73" t="s">
        <v>1528</v>
      </c>
      <c r="E119" s="61"/>
      <c r="F119" s="61"/>
      <c r="G119" s="19"/>
      <c r="H119" s="28"/>
    </row>
    <row r="120" spans="1:8" ht="27">
      <c r="A120" s="28" t="s">
        <v>1097</v>
      </c>
      <c r="B120" s="28"/>
      <c r="C120" s="28"/>
      <c r="D120" s="73" t="s">
        <v>1529</v>
      </c>
      <c r="E120" s="61"/>
      <c r="F120" s="61"/>
      <c r="G120" s="19"/>
      <c r="H120" s="28"/>
    </row>
    <row r="121" spans="1:8">
      <c r="A121" s="28" t="s">
        <v>1098</v>
      </c>
      <c r="B121" s="28"/>
      <c r="C121" s="28"/>
      <c r="D121" s="73" t="s">
        <v>1530</v>
      </c>
      <c r="E121" s="61"/>
      <c r="F121" s="61"/>
      <c r="G121" s="19"/>
      <c r="H121" s="28"/>
    </row>
    <row r="122" spans="1:8" ht="27">
      <c r="A122" s="28" t="s">
        <v>1099</v>
      </c>
      <c r="B122" s="28"/>
      <c r="C122" s="28"/>
      <c r="D122" s="73" t="s">
        <v>1531</v>
      </c>
      <c r="E122" s="61"/>
      <c r="F122" s="61"/>
      <c r="G122" s="19"/>
      <c r="H122" s="28"/>
    </row>
    <row r="123" spans="1:8" ht="27">
      <c r="A123" s="28" t="s">
        <v>1100</v>
      </c>
      <c r="B123" s="28"/>
      <c r="C123" s="28"/>
      <c r="D123" s="73" t="s">
        <v>1532</v>
      </c>
      <c r="E123" s="61"/>
      <c r="F123" s="61"/>
      <c r="G123" s="19"/>
      <c r="H123" s="28"/>
    </row>
    <row r="124" spans="1:8">
      <c r="A124" s="28" t="s">
        <v>1101</v>
      </c>
      <c r="B124" s="28"/>
      <c r="C124" s="28"/>
      <c r="D124" s="73" t="s">
        <v>1533</v>
      </c>
      <c r="E124" s="61"/>
      <c r="F124" s="61"/>
      <c r="G124" s="19"/>
      <c r="H124" s="28"/>
    </row>
    <row r="125" spans="1:8" ht="27">
      <c r="A125" s="28" t="s">
        <v>1102</v>
      </c>
      <c r="B125" s="28"/>
      <c r="C125" s="28"/>
      <c r="D125" s="75" t="s">
        <v>1534</v>
      </c>
      <c r="E125" s="71">
        <f>1*E118+1*E119+1*E120+1*E121+1*E122+1*E123+1*E124</f>
        <v>0</v>
      </c>
      <c r="F125" s="71">
        <f>1*F118+1*F119+1*F120+1*F121+1*F122+1*F123+1*F124</f>
        <v>0</v>
      </c>
      <c r="G125" s="19"/>
      <c r="H125" s="28"/>
    </row>
    <row r="126" spans="1:8">
      <c r="A126" s="28" t="s">
        <v>1103</v>
      </c>
      <c r="B126" s="28"/>
      <c r="C126" s="28"/>
      <c r="D126" s="72" t="s">
        <v>1535</v>
      </c>
      <c r="E126" s="58"/>
      <c r="F126" s="58"/>
      <c r="G126" s="19"/>
      <c r="H126" s="28"/>
    </row>
    <row r="127" spans="1:8" ht="27">
      <c r="A127" s="28" t="s">
        <v>1104</v>
      </c>
      <c r="B127" s="28"/>
      <c r="C127" s="28"/>
      <c r="D127" s="77" t="s">
        <v>1536</v>
      </c>
      <c r="E127" s="58"/>
      <c r="F127" s="58"/>
      <c r="G127" s="19"/>
      <c r="H127" s="28"/>
    </row>
    <row r="128" spans="1:8" ht="27">
      <c r="A128" s="28" t="s">
        <v>1105</v>
      </c>
      <c r="B128" s="28"/>
      <c r="C128" s="28"/>
      <c r="D128" s="78" t="s">
        <v>1537</v>
      </c>
      <c r="E128" s="61"/>
      <c r="F128" s="61"/>
      <c r="G128" s="19"/>
      <c r="H128" s="28"/>
    </row>
    <row r="129" spans="1:8" ht="27">
      <c r="A129" s="28" t="s">
        <v>1106</v>
      </c>
      <c r="B129" s="28"/>
      <c r="C129" s="28"/>
      <c r="D129" s="78" t="s">
        <v>1538</v>
      </c>
      <c r="E129" s="61"/>
      <c r="F129" s="61"/>
      <c r="G129" s="19"/>
      <c r="H129" s="28"/>
    </row>
    <row r="130" spans="1:8" ht="27">
      <c r="A130" s="28" t="s">
        <v>1107</v>
      </c>
      <c r="B130" s="28"/>
      <c r="C130" s="28"/>
      <c r="D130" s="78" t="s">
        <v>1539</v>
      </c>
      <c r="E130" s="61"/>
      <c r="F130" s="61"/>
      <c r="G130" s="19"/>
      <c r="H130" s="28"/>
    </row>
    <row r="131" spans="1:8" ht="27">
      <c r="A131" s="28" t="s">
        <v>1108</v>
      </c>
      <c r="B131" s="28"/>
      <c r="C131" s="28"/>
      <c r="D131" s="78" t="s">
        <v>1540</v>
      </c>
      <c r="E131" s="61"/>
      <c r="F131" s="61"/>
      <c r="G131" s="19"/>
      <c r="H131" s="28"/>
    </row>
    <row r="132" spans="1:8" ht="27">
      <c r="A132" s="28" t="s">
        <v>1109</v>
      </c>
      <c r="B132" s="28"/>
      <c r="C132" s="28"/>
      <c r="D132" s="78" t="s">
        <v>1541</v>
      </c>
      <c r="E132" s="61"/>
      <c r="F132" s="61"/>
      <c r="G132" s="19"/>
      <c r="H132" s="28"/>
    </row>
    <row r="133" spans="1:8" ht="40.5">
      <c r="A133" s="28" t="s">
        <v>1110</v>
      </c>
      <c r="B133" s="28"/>
      <c r="C133" s="28"/>
      <c r="D133" s="79" t="s">
        <v>1542</v>
      </c>
      <c r="E133" s="71">
        <f>1*E128+1*E129+1*E130+1*E131+1*E132</f>
        <v>0</v>
      </c>
      <c r="F133" s="71">
        <f>1*F128+1*F129+1*F130+1*F131+1*F132</f>
        <v>0</v>
      </c>
      <c r="G133" s="19"/>
      <c r="H133" s="28"/>
    </row>
    <row r="134" spans="1:8">
      <c r="A134" s="28" t="s">
        <v>1111</v>
      </c>
      <c r="B134" s="28"/>
      <c r="C134" s="28"/>
      <c r="D134" s="77" t="s">
        <v>1543</v>
      </c>
      <c r="E134" s="58"/>
      <c r="F134" s="58"/>
      <c r="G134" s="19"/>
      <c r="H134" s="28"/>
    </row>
    <row r="135" spans="1:8">
      <c r="A135" s="28" t="s">
        <v>1112</v>
      </c>
      <c r="B135" s="28"/>
      <c r="C135" s="28"/>
      <c r="D135" s="78" t="s">
        <v>1544</v>
      </c>
      <c r="E135" s="61"/>
      <c r="F135" s="61"/>
      <c r="G135" s="19"/>
      <c r="H135" s="28"/>
    </row>
    <row r="136" spans="1:8" ht="27">
      <c r="A136" s="28" t="s">
        <v>1113</v>
      </c>
      <c r="B136" s="28"/>
      <c r="C136" s="28"/>
      <c r="D136" s="78" t="s">
        <v>1545</v>
      </c>
      <c r="E136" s="61"/>
      <c r="F136" s="61"/>
      <c r="G136" s="19"/>
      <c r="H136" s="28"/>
    </row>
    <row r="137" spans="1:8" ht="27">
      <c r="A137" s="28" t="s">
        <v>1114</v>
      </c>
      <c r="B137" s="28"/>
      <c r="C137" s="28"/>
      <c r="D137" s="78" t="s">
        <v>1546</v>
      </c>
      <c r="E137" s="61"/>
      <c r="F137" s="61"/>
      <c r="G137" s="19"/>
      <c r="H137" s="28"/>
    </row>
    <row r="138" spans="1:8" ht="27">
      <c r="A138" s="28" t="s">
        <v>1115</v>
      </c>
      <c r="B138" s="28"/>
      <c r="C138" s="28"/>
      <c r="D138" s="79" t="s">
        <v>1547</v>
      </c>
      <c r="E138" s="71">
        <f>1*E135+1*E136+1*E137</f>
        <v>0</v>
      </c>
      <c r="F138" s="71">
        <f>1*F135+1*F136+1*F137</f>
        <v>0</v>
      </c>
      <c r="G138" s="19"/>
      <c r="H138" s="28"/>
    </row>
    <row r="139" spans="1:8" ht="27">
      <c r="A139" s="28" t="s">
        <v>1116</v>
      </c>
      <c r="B139" s="28"/>
      <c r="C139" s="28"/>
      <c r="D139" s="75" t="s">
        <v>1548</v>
      </c>
      <c r="E139" s="71">
        <f>1*E133+1*E138</f>
        <v>0</v>
      </c>
      <c r="F139" s="71">
        <f>1*F133+1*F138</f>
        <v>0</v>
      </c>
      <c r="G139" s="19"/>
      <c r="H139" s="28"/>
    </row>
    <row r="140" spans="1:8" ht="27.5" thickBot="1">
      <c r="A140" s="28" t="s">
        <v>1117</v>
      </c>
      <c r="B140" s="28"/>
      <c r="C140" s="28"/>
      <c r="D140" s="64" t="s">
        <v>1762</v>
      </c>
      <c r="E140" s="65">
        <f>1*E125+1*E139</f>
        <v>0</v>
      </c>
      <c r="F140" s="65">
        <f>1*F125+1*F139</f>
        <v>0</v>
      </c>
      <c r="G140" s="62" t="s">
        <v>865</v>
      </c>
      <c r="H140" s="28"/>
    </row>
    <row r="141" spans="1:8" ht="15" thickTop="1">
      <c r="A141" s="28" t="s">
        <v>1118</v>
      </c>
      <c r="B141" s="28"/>
      <c r="C141" s="28"/>
      <c r="D141" s="59" t="s">
        <v>1549</v>
      </c>
      <c r="E141" s="66"/>
      <c r="F141" s="66"/>
      <c r="G141" s="19"/>
      <c r="H141" s="28"/>
    </row>
    <row r="142" spans="1:8" ht="27">
      <c r="A142" s="28" t="s">
        <v>1119</v>
      </c>
      <c r="B142" s="28"/>
      <c r="C142" s="28"/>
      <c r="D142" s="72" t="s">
        <v>1550</v>
      </c>
      <c r="E142" s="58"/>
      <c r="F142" s="58"/>
      <c r="G142" s="19"/>
      <c r="H142" s="28"/>
    </row>
    <row r="143" spans="1:8">
      <c r="A143" s="28" t="s">
        <v>1120</v>
      </c>
      <c r="B143" s="28"/>
      <c r="C143" s="28"/>
      <c r="D143" s="73" t="s">
        <v>1551</v>
      </c>
      <c r="E143" s="61"/>
      <c r="F143" s="61"/>
      <c r="G143" s="19"/>
      <c r="H143" s="28"/>
    </row>
    <row r="144" spans="1:8">
      <c r="A144" s="28" t="s">
        <v>1121</v>
      </c>
      <c r="B144" s="28"/>
      <c r="C144" s="28"/>
      <c r="D144" s="73" t="s">
        <v>1552</v>
      </c>
      <c r="E144" s="61"/>
      <c r="F144" s="61"/>
      <c r="G144" s="19"/>
      <c r="H144" s="28"/>
    </row>
    <row r="145" spans="1:8">
      <c r="A145" s="28" t="s">
        <v>1122</v>
      </c>
      <c r="B145" s="28"/>
      <c r="C145" s="28"/>
      <c r="D145" s="73" t="s">
        <v>1553</v>
      </c>
      <c r="E145" s="61"/>
      <c r="F145" s="61"/>
      <c r="G145" s="19"/>
      <c r="H145" s="28"/>
    </row>
    <row r="146" spans="1:8">
      <c r="A146" s="28" t="s">
        <v>1123</v>
      </c>
      <c r="B146" s="28"/>
      <c r="C146" s="28"/>
      <c r="D146" s="73" t="s">
        <v>1554</v>
      </c>
      <c r="E146" s="61"/>
      <c r="F146" s="61"/>
      <c r="G146" s="19"/>
      <c r="H146" s="28"/>
    </row>
    <row r="147" spans="1:8" ht="27">
      <c r="A147" s="28" t="s">
        <v>1124</v>
      </c>
      <c r="B147" s="28"/>
      <c r="C147" s="28"/>
      <c r="D147" s="75" t="s">
        <v>1555</v>
      </c>
      <c r="E147" s="71">
        <f>1*E143+1*E144+1*E145+1*E146</f>
        <v>0</v>
      </c>
      <c r="F147" s="71">
        <f>1*F143+1*F144+1*F145+1*F146</f>
        <v>0</v>
      </c>
      <c r="G147" s="19"/>
      <c r="H147" s="28"/>
    </row>
    <row r="148" spans="1:8" ht="27">
      <c r="A148" s="28" t="s">
        <v>1125</v>
      </c>
      <c r="B148" s="28"/>
      <c r="C148" s="28"/>
      <c r="D148" s="63" t="s">
        <v>1556</v>
      </c>
      <c r="E148" s="61"/>
      <c r="F148" s="61"/>
      <c r="G148" s="19"/>
      <c r="H148" s="28"/>
    </row>
    <row r="149" spans="1:8" ht="27.5" thickBot="1">
      <c r="A149" s="28" t="s">
        <v>1126</v>
      </c>
      <c r="B149" s="28"/>
      <c r="C149" s="28"/>
      <c r="D149" s="64" t="s">
        <v>1763</v>
      </c>
      <c r="E149" s="65">
        <f>1*E147+1*E148</f>
        <v>0</v>
      </c>
      <c r="F149" s="65">
        <f>1*F147+1*F148</f>
        <v>0</v>
      </c>
      <c r="G149" s="62" t="s">
        <v>865</v>
      </c>
      <c r="H149" s="28"/>
    </row>
    <row r="150" spans="1:8" ht="15" thickTop="1">
      <c r="A150" s="28" t="s">
        <v>1127</v>
      </c>
      <c r="B150" s="28"/>
      <c r="C150" s="28"/>
      <c r="D150" s="59" t="s">
        <v>1557</v>
      </c>
      <c r="E150" s="66"/>
      <c r="F150" s="66"/>
      <c r="G150" s="19"/>
      <c r="H150" s="28"/>
    </row>
    <row r="151" spans="1:8">
      <c r="A151" s="28" t="s">
        <v>1128</v>
      </c>
      <c r="B151" s="28"/>
      <c r="C151" s="28"/>
      <c r="D151" s="63" t="s">
        <v>1558</v>
      </c>
      <c r="E151" s="61"/>
      <c r="F151" s="61"/>
      <c r="G151" s="19"/>
      <c r="H151" s="28"/>
    </row>
    <row r="152" spans="1:8">
      <c r="A152" s="28" t="s">
        <v>1129</v>
      </c>
      <c r="B152" s="28"/>
      <c r="C152" s="28"/>
      <c r="D152" s="63" t="s">
        <v>1559</v>
      </c>
      <c r="E152" s="61"/>
      <c r="F152" s="61"/>
      <c r="G152" s="19"/>
      <c r="H152" s="28"/>
    </row>
    <row r="153" spans="1:8">
      <c r="A153" s="28" t="s">
        <v>1130</v>
      </c>
      <c r="B153" s="28"/>
      <c r="C153" s="28"/>
      <c r="D153" s="63" t="s">
        <v>1560</v>
      </c>
      <c r="E153" s="61"/>
      <c r="F153" s="61"/>
      <c r="G153" s="19"/>
      <c r="H153" s="28"/>
    </row>
    <row r="154" spans="1:8">
      <c r="A154" s="28" t="s">
        <v>1131</v>
      </c>
      <c r="B154" s="28"/>
      <c r="C154" s="28"/>
      <c r="D154" s="63" t="s">
        <v>1561</v>
      </c>
      <c r="E154" s="61"/>
      <c r="F154" s="61"/>
      <c r="G154" s="19"/>
      <c r="H154" s="28"/>
    </row>
    <row r="155" spans="1:8">
      <c r="A155" s="28" t="s">
        <v>1132</v>
      </c>
      <c r="B155" s="28"/>
      <c r="C155" s="28"/>
      <c r="D155" s="63" t="s">
        <v>1562</v>
      </c>
      <c r="E155" s="61"/>
      <c r="F155" s="61"/>
      <c r="G155" s="19"/>
      <c r="H155" s="28"/>
    </row>
    <row r="156" spans="1:8" ht="15" thickBot="1">
      <c r="A156" s="28" t="s">
        <v>1133</v>
      </c>
      <c r="B156" s="28"/>
      <c r="C156" s="28"/>
      <c r="D156" s="64" t="s">
        <v>1764</v>
      </c>
      <c r="E156" s="65">
        <f>1*E151+1*E152+1*E153+1*E154+1*E155</f>
        <v>0</v>
      </c>
      <c r="F156" s="65">
        <f>1*F151+1*F152+1*F153+1*F154+1*F155</f>
        <v>0</v>
      </c>
      <c r="G156" s="62" t="s">
        <v>865</v>
      </c>
      <c r="H156" s="28"/>
    </row>
    <row r="157" spans="1:8" ht="15" thickTop="1">
      <c r="A157" s="28" t="s">
        <v>1134</v>
      </c>
      <c r="B157" s="28"/>
      <c r="C157" s="28"/>
      <c r="D157" s="59" t="s">
        <v>1563</v>
      </c>
      <c r="E157" s="66"/>
      <c r="F157" s="66"/>
      <c r="G157" s="19"/>
      <c r="H157" s="28"/>
    </row>
    <row r="158" spans="1:8">
      <c r="A158" s="28" t="s">
        <v>1135</v>
      </c>
      <c r="B158" s="28"/>
      <c r="C158" s="28"/>
      <c r="D158" s="72" t="s">
        <v>1564</v>
      </c>
      <c r="E158" s="58"/>
      <c r="F158" s="58"/>
      <c r="G158" s="19"/>
      <c r="H158" s="28"/>
    </row>
    <row r="159" spans="1:8">
      <c r="A159" s="28" t="s">
        <v>1136</v>
      </c>
      <c r="B159" s="28"/>
      <c r="C159" s="28"/>
      <c r="D159" s="73" t="s">
        <v>1527</v>
      </c>
      <c r="E159" s="61"/>
      <c r="F159" s="61"/>
      <c r="G159" s="19"/>
      <c r="H159" s="28"/>
    </row>
    <row r="160" spans="1:8" ht="27">
      <c r="A160" s="28" t="s">
        <v>1137</v>
      </c>
      <c r="B160" s="28"/>
      <c r="C160" s="28"/>
      <c r="D160" s="73" t="s">
        <v>1565</v>
      </c>
      <c r="E160" s="61"/>
      <c r="F160" s="61"/>
      <c r="G160" s="19"/>
      <c r="H160" s="28"/>
    </row>
    <row r="161" spans="1:8" ht="27">
      <c r="A161" s="28" t="s">
        <v>1138</v>
      </c>
      <c r="B161" s="28"/>
      <c r="C161" s="28"/>
      <c r="D161" s="73" t="s">
        <v>1528</v>
      </c>
      <c r="E161" s="61"/>
      <c r="F161" s="61"/>
      <c r="G161" s="19"/>
      <c r="H161" s="28"/>
    </row>
    <row r="162" spans="1:8" ht="27">
      <c r="A162" s="28" t="s">
        <v>1139</v>
      </c>
      <c r="B162" s="28"/>
      <c r="C162" s="28"/>
      <c r="D162" s="73" t="s">
        <v>1529</v>
      </c>
      <c r="E162" s="61"/>
      <c r="F162" s="61"/>
      <c r="G162" s="19"/>
      <c r="H162" s="28"/>
    </row>
    <row r="163" spans="1:8">
      <c r="A163" s="28" t="s">
        <v>1140</v>
      </c>
      <c r="B163" s="28"/>
      <c r="C163" s="28"/>
      <c r="D163" s="73" t="s">
        <v>1566</v>
      </c>
      <c r="E163" s="61"/>
      <c r="F163" s="61"/>
      <c r="G163" s="19"/>
      <c r="H163" s="28"/>
    </row>
    <row r="164" spans="1:8" ht="27">
      <c r="A164" s="28" t="s">
        <v>1141</v>
      </c>
      <c r="B164" s="28"/>
      <c r="C164" s="28"/>
      <c r="D164" s="73" t="s">
        <v>1531</v>
      </c>
      <c r="E164" s="61"/>
      <c r="F164" s="61"/>
      <c r="G164" s="19"/>
      <c r="H164" s="28"/>
    </row>
    <row r="165" spans="1:8" ht="27">
      <c r="A165" s="28" t="s">
        <v>1142</v>
      </c>
      <c r="B165" s="28"/>
      <c r="C165" s="28"/>
      <c r="D165" s="73" t="s">
        <v>1532</v>
      </c>
      <c r="E165" s="61"/>
      <c r="F165" s="61"/>
      <c r="G165" s="19"/>
      <c r="H165" s="28"/>
    </row>
    <row r="166" spans="1:8">
      <c r="A166" s="28" t="s">
        <v>1143</v>
      </c>
      <c r="B166" s="28"/>
      <c r="C166" s="28"/>
      <c r="D166" s="73" t="s">
        <v>1567</v>
      </c>
      <c r="E166" s="61"/>
      <c r="F166" s="61"/>
      <c r="G166" s="19"/>
      <c r="H166" s="28"/>
    </row>
    <row r="167" spans="1:8">
      <c r="A167" s="28" t="s">
        <v>1144</v>
      </c>
      <c r="B167" s="28"/>
      <c r="C167" s="28"/>
      <c r="D167" s="73" t="s">
        <v>1568</v>
      </c>
      <c r="E167" s="61"/>
      <c r="F167" s="61"/>
      <c r="G167" s="19"/>
      <c r="H167" s="28"/>
    </row>
    <row r="168" spans="1:8">
      <c r="A168" s="28" t="s">
        <v>1145</v>
      </c>
      <c r="B168" s="28"/>
      <c r="C168" s="28"/>
      <c r="D168" s="75" t="s">
        <v>1569</v>
      </c>
      <c r="E168" s="71">
        <f>1*E159+1*E160+1*E161+1*E162+1*E163+1*E164+1*E165+1*E166+1*E167</f>
        <v>0</v>
      </c>
      <c r="F168" s="71">
        <f>1*F159+1*F160+1*F161+1*F162+1*F163+1*F164+1*F165+1*F166+1*F167</f>
        <v>0</v>
      </c>
      <c r="G168" s="19"/>
      <c r="H168" s="28"/>
    </row>
    <row r="169" spans="1:8">
      <c r="A169" s="28" t="s">
        <v>1146</v>
      </c>
      <c r="B169" s="28"/>
      <c r="C169" s="28"/>
      <c r="D169" s="72" t="s">
        <v>1570</v>
      </c>
      <c r="E169" s="58"/>
      <c r="F169" s="58"/>
      <c r="G169" s="19"/>
      <c r="H169" s="28"/>
    </row>
    <row r="170" spans="1:8" ht="27">
      <c r="A170" s="28" t="s">
        <v>1147</v>
      </c>
      <c r="B170" s="28"/>
      <c r="C170" s="28"/>
      <c r="D170" s="77" t="s">
        <v>1571</v>
      </c>
      <c r="E170" s="58"/>
      <c r="F170" s="58"/>
      <c r="G170" s="19"/>
      <c r="H170" s="28"/>
    </row>
    <row r="171" spans="1:8" ht="27">
      <c r="A171" s="28" t="s">
        <v>1148</v>
      </c>
      <c r="B171" s="28"/>
      <c r="C171" s="28"/>
      <c r="D171" s="78" t="s">
        <v>1537</v>
      </c>
      <c r="E171" s="61"/>
      <c r="F171" s="61"/>
      <c r="G171" s="19"/>
      <c r="H171" s="28"/>
    </row>
    <row r="172" spans="1:8" ht="27">
      <c r="A172" s="28" t="s">
        <v>1149</v>
      </c>
      <c r="B172" s="28"/>
      <c r="C172" s="28"/>
      <c r="D172" s="78" t="s">
        <v>1538</v>
      </c>
      <c r="E172" s="61"/>
      <c r="F172" s="61"/>
      <c r="G172" s="19"/>
      <c r="H172" s="28"/>
    </row>
    <row r="173" spans="1:8" ht="27">
      <c r="A173" s="28" t="s">
        <v>1150</v>
      </c>
      <c r="B173" s="28"/>
      <c r="C173" s="28"/>
      <c r="D173" s="78" t="s">
        <v>1539</v>
      </c>
      <c r="E173" s="61"/>
      <c r="F173" s="61"/>
      <c r="G173" s="19"/>
      <c r="H173" s="28"/>
    </row>
    <row r="174" spans="1:8" ht="27">
      <c r="A174" s="28" t="s">
        <v>1151</v>
      </c>
      <c r="B174" s="28"/>
      <c r="C174" s="28"/>
      <c r="D174" s="78" t="s">
        <v>1540</v>
      </c>
      <c r="E174" s="61"/>
      <c r="F174" s="61"/>
      <c r="G174" s="19"/>
      <c r="H174" s="28"/>
    </row>
    <row r="175" spans="1:8" ht="27">
      <c r="A175" s="28" t="s">
        <v>1152</v>
      </c>
      <c r="B175" s="28"/>
      <c r="C175" s="28"/>
      <c r="D175" s="78" t="s">
        <v>1572</v>
      </c>
      <c r="E175" s="61"/>
      <c r="F175" s="61"/>
      <c r="G175" s="19"/>
      <c r="H175" s="28"/>
    </row>
    <row r="176" spans="1:8" ht="27">
      <c r="A176" s="28" t="s">
        <v>1153</v>
      </c>
      <c r="B176" s="28"/>
      <c r="C176" s="28"/>
      <c r="D176" s="79" t="s">
        <v>1573</v>
      </c>
      <c r="E176" s="71">
        <f>1*E171+1*E172+1*E173+1*E174+1*E175</f>
        <v>0</v>
      </c>
      <c r="F176" s="71">
        <f>1*F171+1*F172+1*F173+1*F174+1*F175</f>
        <v>0</v>
      </c>
      <c r="G176" s="19"/>
      <c r="H176" s="28"/>
    </row>
    <row r="177" spans="1:8" ht="27">
      <c r="A177" s="28" t="s">
        <v>1154</v>
      </c>
      <c r="B177" s="28"/>
      <c r="C177" s="28"/>
      <c r="D177" s="77" t="s">
        <v>1574</v>
      </c>
      <c r="E177" s="58"/>
      <c r="F177" s="58"/>
      <c r="G177" s="19"/>
      <c r="H177" s="28"/>
    </row>
    <row r="178" spans="1:8">
      <c r="A178" s="28" t="s">
        <v>1155</v>
      </c>
      <c r="B178" s="28"/>
      <c r="C178" s="28"/>
      <c r="D178" s="78" t="s">
        <v>1575</v>
      </c>
      <c r="E178" s="61"/>
      <c r="F178" s="61"/>
      <c r="G178" s="19"/>
      <c r="H178" s="28"/>
    </row>
    <row r="179" spans="1:8">
      <c r="A179" s="28" t="s">
        <v>1156</v>
      </c>
      <c r="B179" s="28"/>
      <c r="C179" s="28"/>
      <c r="D179" s="78" t="s">
        <v>1544</v>
      </c>
      <c r="E179" s="61"/>
      <c r="F179" s="61"/>
      <c r="G179" s="19"/>
      <c r="H179" s="28"/>
    </row>
    <row r="180" spans="1:8" ht="27">
      <c r="A180" s="28" t="s">
        <v>1157</v>
      </c>
      <c r="B180" s="28"/>
      <c r="C180" s="28"/>
      <c r="D180" s="79" t="s">
        <v>1576</v>
      </c>
      <c r="E180" s="71">
        <f>1*E178+1*E179</f>
        <v>0</v>
      </c>
      <c r="F180" s="71">
        <f>1*F178+1*F179</f>
        <v>0</v>
      </c>
      <c r="G180" s="19"/>
      <c r="H180" s="28"/>
    </row>
    <row r="181" spans="1:8">
      <c r="A181" s="28" t="s">
        <v>1158</v>
      </c>
      <c r="B181" s="28"/>
      <c r="C181" s="28"/>
      <c r="D181" s="77" t="s">
        <v>1577</v>
      </c>
      <c r="E181" s="58"/>
      <c r="F181" s="58"/>
      <c r="G181" s="19"/>
      <c r="H181" s="28"/>
    </row>
    <row r="182" spans="1:8">
      <c r="A182" s="28" t="s">
        <v>1159</v>
      </c>
      <c r="B182" s="28"/>
      <c r="C182" s="28"/>
      <c r="D182" s="78" t="s">
        <v>1578</v>
      </c>
      <c r="E182" s="61"/>
      <c r="F182" s="61"/>
      <c r="G182" s="19"/>
      <c r="H182" s="28"/>
    </row>
    <row r="183" spans="1:8">
      <c r="A183" s="28" t="s">
        <v>1160</v>
      </c>
      <c r="B183" s="28"/>
      <c r="C183" s="28"/>
      <c r="D183" s="78" t="s">
        <v>1579</v>
      </c>
      <c r="E183" s="61"/>
      <c r="F183" s="61"/>
      <c r="G183" s="19"/>
      <c r="H183" s="28"/>
    </row>
    <row r="184" spans="1:8">
      <c r="A184" s="28" t="s">
        <v>1161</v>
      </c>
      <c r="B184" s="28"/>
      <c r="C184" s="28"/>
      <c r="D184" s="78" t="s">
        <v>1580</v>
      </c>
      <c r="E184" s="61"/>
      <c r="F184" s="61"/>
      <c r="G184" s="19"/>
      <c r="H184" s="28"/>
    </row>
    <row r="185" spans="1:8" ht="27">
      <c r="A185" s="28" t="s">
        <v>1162</v>
      </c>
      <c r="B185" s="28"/>
      <c r="C185" s="28"/>
      <c r="D185" s="78" t="s">
        <v>1545</v>
      </c>
      <c r="E185" s="61"/>
      <c r="F185" s="61"/>
      <c r="G185" s="19"/>
      <c r="H185" s="28"/>
    </row>
    <row r="186" spans="1:8" ht="27">
      <c r="A186" s="28" t="s">
        <v>1163</v>
      </c>
      <c r="B186" s="28"/>
      <c r="C186" s="28"/>
      <c r="D186" s="78" t="s">
        <v>1581</v>
      </c>
      <c r="E186" s="61"/>
      <c r="F186" s="61"/>
      <c r="G186" s="19"/>
      <c r="H186" s="28"/>
    </row>
    <row r="187" spans="1:8" ht="27">
      <c r="A187" s="28" t="s">
        <v>1164</v>
      </c>
      <c r="B187" s="28"/>
      <c r="C187" s="28"/>
      <c r="D187" s="79" t="s">
        <v>1582</v>
      </c>
      <c r="E187" s="71">
        <f>1*E182+1*E183+1*E184+1*E185+1*E186</f>
        <v>0</v>
      </c>
      <c r="F187" s="71">
        <f>1*F182+1*F183+1*F184+1*F185+1*F186</f>
        <v>0</v>
      </c>
      <c r="G187" s="19"/>
      <c r="H187" s="28"/>
    </row>
    <row r="188" spans="1:8">
      <c r="A188" s="28" t="s">
        <v>1165</v>
      </c>
      <c r="B188" s="28"/>
      <c r="C188" s="28"/>
      <c r="D188" s="75" t="s">
        <v>1583</v>
      </c>
      <c r="E188" s="71">
        <f>1*E176+1*E180+1*E187</f>
        <v>0</v>
      </c>
      <c r="F188" s="71">
        <f>1*F176+1*F180+1*F187</f>
        <v>0</v>
      </c>
      <c r="G188" s="19"/>
      <c r="H188" s="28"/>
    </row>
    <row r="189" spans="1:8" ht="27.5" thickBot="1">
      <c r="A189" s="28" t="s">
        <v>1166</v>
      </c>
      <c r="B189" s="28"/>
      <c r="C189" s="28"/>
      <c r="D189" s="64" t="s">
        <v>1765</v>
      </c>
      <c r="E189" s="65">
        <f>1*E168+1*E188</f>
        <v>0</v>
      </c>
      <c r="F189" s="65">
        <f>1*F168+1*F188</f>
        <v>0</v>
      </c>
      <c r="G189" s="62" t="s">
        <v>865</v>
      </c>
      <c r="H189" s="28"/>
    </row>
    <row r="190" spans="1:8" ht="15" thickTop="1">
      <c r="A190" s="28" t="s">
        <v>1167</v>
      </c>
      <c r="B190" s="28"/>
      <c r="C190" s="28"/>
      <c r="D190" s="59" t="s">
        <v>1584</v>
      </c>
      <c r="E190" s="66"/>
      <c r="F190" s="66"/>
      <c r="G190" s="19"/>
      <c r="H190" s="28"/>
    </row>
    <row r="191" spans="1:8" ht="27">
      <c r="A191" s="28" t="s">
        <v>1168</v>
      </c>
      <c r="B191" s="28"/>
      <c r="C191" s="28"/>
      <c r="D191" s="72" t="s">
        <v>1585</v>
      </c>
      <c r="E191" s="58"/>
      <c r="F191" s="58"/>
      <c r="G191" s="19"/>
      <c r="H191" s="28"/>
    </row>
    <row r="192" spans="1:8">
      <c r="A192" s="28" t="s">
        <v>1169</v>
      </c>
      <c r="B192" s="28"/>
      <c r="C192" s="28"/>
      <c r="D192" s="73" t="s">
        <v>1551</v>
      </c>
      <c r="E192" s="61"/>
      <c r="F192" s="61"/>
      <c r="G192" s="19"/>
      <c r="H192" s="28"/>
    </row>
    <row r="193" spans="1:8">
      <c r="A193" s="28" t="s">
        <v>1170</v>
      </c>
      <c r="B193" s="28"/>
      <c r="C193" s="28"/>
      <c r="D193" s="73" t="s">
        <v>1552</v>
      </c>
      <c r="E193" s="61"/>
      <c r="F193" s="61"/>
      <c r="G193" s="19"/>
      <c r="H193" s="28"/>
    </row>
    <row r="194" spans="1:8">
      <c r="A194" s="28" t="s">
        <v>1171</v>
      </c>
      <c r="B194" s="28"/>
      <c r="C194" s="28"/>
      <c r="D194" s="73" t="s">
        <v>1553</v>
      </c>
      <c r="E194" s="61"/>
      <c r="F194" s="61"/>
      <c r="G194" s="19"/>
      <c r="H194" s="28"/>
    </row>
    <row r="195" spans="1:8">
      <c r="A195" s="28" t="s">
        <v>1172</v>
      </c>
      <c r="B195" s="28"/>
      <c r="C195" s="28"/>
      <c r="D195" s="73" t="s">
        <v>1554</v>
      </c>
      <c r="E195" s="61"/>
      <c r="F195" s="61"/>
      <c r="G195" s="19"/>
      <c r="H195" s="28"/>
    </row>
    <row r="196" spans="1:8" ht="27">
      <c r="A196" s="28" t="s">
        <v>1173</v>
      </c>
      <c r="B196" s="28"/>
      <c r="C196" s="28"/>
      <c r="D196" s="75" t="s">
        <v>1586</v>
      </c>
      <c r="E196" s="71">
        <f>1*E192+1*E193+1*E194+1*E195</f>
        <v>0</v>
      </c>
      <c r="F196" s="71">
        <f>1*F192+1*F193+1*F194+1*F195</f>
        <v>0</v>
      </c>
      <c r="G196" s="19"/>
      <c r="H196" s="28"/>
    </row>
    <row r="197" spans="1:8">
      <c r="A197" s="28" t="s">
        <v>1174</v>
      </c>
      <c r="B197" s="28"/>
      <c r="C197" s="28"/>
      <c r="D197" s="63" t="s">
        <v>1587</v>
      </c>
      <c r="E197" s="61"/>
      <c r="F197" s="61"/>
      <c r="G197" s="19"/>
      <c r="H197" s="28"/>
    </row>
    <row r="198" spans="1:8" ht="27.5" thickBot="1">
      <c r="A198" s="28" t="s">
        <v>1175</v>
      </c>
      <c r="B198" s="28"/>
      <c r="C198" s="28"/>
      <c r="D198" s="64" t="s">
        <v>1766</v>
      </c>
      <c r="E198" s="65">
        <f>1*E196+1*E197</f>
        <v>0</v>
      </c>
      <c r="F198" s="65">
        <f>1*F196+1*F197</f>
        <v>0</v>
      </c>
      <c r="G198" s="62" t="s">
        <v>865</v>
      </c>
      <c r="H198" s="28"/>
    </row>
    <row r="199" spans="1:8" ht="15" thickTop="1">
      <c r="A199" s="28" t="s">
        <v>1176</v>
      </c>
      <c r="B199" s="28"/>
      <c r="C199" s="28"/>
      <c r="D199" s="59" t="s">
        <v>1588</v>
      </c>
      <c r="E199" s="66"/>
      <c r="F199" s="66"/>
      <c r="G199" s="19"/>
      <c r="H199" s="28"/>
    </row>
    <row r="200" spans="1:8">
      <c r="A200" s="28" t="s">
        <v>1177</v>
      </c>
      <c r="B200" s="28"/>
      <c r="C200" s="28"/>
      <c r="D200" s="72" t="s">
        <v>1589</v>
      </c>
      <c r="E200" s="58"/>
      <c r="F200" s="58"/>
      <c r="G200" s="19"/>
      <c r="H200" s="28"/>
    </row>
    <row r="201" spans="1:8">
      <c r="A201" s="28" t="s">
        <v>1178</v>
      </c>
      <c r="B201" s="28"/>
      <c r="C201" s="28"/>
      <c r="D201" s="73" t="s">
        <v>1590</v>
      </c>
      <c r="E201" s="61"/>
      <c r="F201" s="61"/>
      <c r="G201" s="19"/>
      <c r="H201" s="28"/>
    </row>
    <row r="202" spans="1:8">
      <c r="A202" s="28" t="s">
        <v>1179</v>
      </c>
      <c r="B202" s="28"/>
      <c r="C202" s="28"/>
      <c r="D202" s="73" t="s">
        <v>1591</v>
      </c>
      <c r="E202" s="61"/>
      <c r="F202" s="61"/>
      <c r="G202" s="19"/>
      <c r="H202" s="28"/>
    </row>
    <row r="203" spans="1:8">
      <c r="A203" s="28" t="s">
        <v>1180</v>
      </c>
      <c r="B203" s="28"/>
      <c r="C203" s="28"/>
      <c r="D203" s="75" t="s">
        <v>1592</v>
      </c>
      <c r="E203" s="71">
        <f>1*E201+1*E202</f>
        <v>0</v>
      </c>
      <c r="F203" s="71">
        <f>1*F201+1*F202</f>
        <v>0</v>
      </c>
      <c r="G203" s="19"/>
      <c r="H203" s="28"/>
    </row>
    <row r="204" spans="1:8">
      <c r="A204" s="28" t="s">
        <v>1181</v>
      </c>
      <c r="B204" s="28"/>
      <c r="C204" s="28"/>
      <c r="D204" s="72" t="s">
        <v>1593</v>
      </c>
      <c r="E204" s="58"/>
      <c r="F204" s="58"/>
      <c r="G204" s="19"/>
      <c r="H204" s="28"/>
    </row>
    <row r="205" spans="1:8">
      <c r="A205" s="28" t="s">
        <v>1182</v>
      </c>
      <c r="B205" s="28"/>
      <c r="C205" s="28"/>
      <c r="D205" s="73" t="s">
        <v>1594</v>
      </c>
      <c r="E205" s="61"/>
      <c r="F205" s="61"/>
      <c r="G205" s="19"/>
      <c r="H205" s="28"/>
    </row>
    <row r="206" spans="1:8">
      <c r="A206" s="28" t="s">
        <v>1183</v>
      </c>
      <c r="B206" s="28"/>
      <c r="C206" s="28"/>
      <c r="D206" s="73" t="s">
        <v>1595</v>
      </c>
      <c r="E206" s="61"/>
      <c r="F206" s="61"/>
      <c r="G206" s="19"/>
      <c r="H206" s="28"/>
    </row>
    <row r="207" spans="1:8" ht="27">
      <c r="A207" s="28" t="s">
        <v>1184</v>
      </c>
      <c r="B207" s="28"/>
      <c r="C207" s="28"/>
      <c r="D207" s="73" t="s">
        <v>1596</v>
      </c>
      <c r="E207" s="61"/>
      <c r="F207" s="61"/>
      <c r="G207" s="19"/>
      <c r="H207" s="28"/>
    </row>
    <row r="208" spans="1:8">
      <c r="A208" s="28" t="s">
        <v>1185</v>
      </c>
      <c r="B208" s="28"/>
      <c r="C208" s="28"/>
      <c r="D208" s="73" t="s">
        <v>1597</v>
      </c>
      <c r="E208" s="61"/>
      <c r="F208" s="61"/>
      <c r="G208" s="19"/>
      <c r="H208" s="28"/>
    </row>
    <row r="209" spans="1:8">
      <c r="A209" s="28" t="s">
        <v>1186</v>
      </c>
      <c r="B209" s="28"/>
      <c r="C209" s="28"/>
      <c r="D209" s="73" t="s">
        <v>1598</v>
      </c>
      <c r="E209" s="61"/>
      <c r="F209" s="61"/>
      <c r="G209" s="19"/>
      <c r="H209" s="28"/>
    </row>
    <row r="210" spans="1:8">
      <c r="A210" s="28" t="s">
        <v>1187</v>
      </c>
      <c r="B210" s="28"/>
      <c r="C210" s="28"/>
      <c r="D210" s="73" t="s">
        <v>1599</v>
      </c>
      <c r="E210" s="61"/>
      <c r="F210" s="61"/>
      <c r="G210" s="19"/>
      <c r="H210" s="28"/>
    </row>
    <row r="211" spans="1:8">
      <c r="A211" s="28" t="s">
        <v>1188</v>
      </c>
      <c r="B211" s="28"/>
      <c r="C211" s="28"/>
      <c r="D211" s="75" t="s">
        <v>1600</v>
      </c>
      <c r="E211" s="71">
        <f>1*E205+1*E206+1*E207+1*E208+1*E209+1*E210</f>
        <v>0</v>
      </c>
      <c r="F211" s="71">
        <f>1*F205+1*F206+1*F207+1*F208+1*F209+1*F210</f>
        <v>0</v>
      </c>
      <c r="G211" s="19"/>
      <c r="H211" s="28"/>
    </row>
    <row r="212" spans="1:8">
      <c r="A212" s="28" t="s">
        <v>1189</v>
      </c>
      <c r="B212" s="28"/>
      <c r="C212" s="28"/>
      <c r="D212" s="63" t="s">
        <v>1601</v>
      </c>
      <c r="E212" s="61"/>
      <c r="F212" s="61"/>
      <c r="G212" s="19"/>
      <c r="H212" s="28"/>
    </row>
    <row r="213" spans="1:8" ht="15" thickBot="1">
      <c r="A213" s="28" t="s">
        <v>1190</v>
      </c>
      <c r="B213" s="28"/>
      <c r="C213" s="28"/>
      <c r="D213" s="64" t="s">
        <v>1767</v>
      </c>
      <c r="E213" s="65">
        <f>1*E203+1*E211+1*E212</f>
        <v>0</v>
      </c>
      <c r="F213" s="65">
        <f>1*F203+1*F211+1*F212</f>
        <v>0</v>
      </c>
      <c r="G213" s="62" t="s">
        <v>865</v>
      </c>
      <c r="H213" s="28"/>
    </row>
    <row r="214" spans="1:8" ht="15" thickTop="1">
      <c r="A214" s="28" t="s">
        <v>1191</v>
      </c>
      <c r="B214" s="28"/>
      <c r="C214" s="28"/>
      <c r="D214" s="59" t="s">
        <v>1602</v>
      </c>
      <c r="E214" s="66"/>
      <c r="F214" s="66"/>
      <c r="G214" s="19"/>
      <c r="H214" s="28"/>
    </row>
    <row r="215" spans="1:8">
      <c r="A215" s="28" t="s">
        <v>1192</v>
      </c>
      <c r="B215" s="28"/>
      <c r="C215" s="28"/>
      <c r="D215" s="63" t="s">
        <v>1603</v>
      </c>
      <c r="E215" s="61"/>
      <c r="F215" s="61"/>
      <c r="G215" s="19"/>
      <c r="H215" s="28"/>
    </row>
    <row r="216" spans="1:8">
      <c r="A216" s="28" t="s">
        <v>1193</v>
      </c>
      <c r="B216" s="28"/>
      <c r="C216" s="28"/>
      <c r="D216" s="63" t="s">
        <v>1604</v>
      </c>
      <c r="E216" s="61"/>
      <c r="F216" s="61"/>
      <c r="G216" s="19"/>
      <c r="H216" s="28"/>
    </row>
    <row r="217" spans="1:8">
      <c r="A217" s="28" t="s">
        <v>1194</v>
      </c>
      <c r="B217" s="28"/>
      <c r="C217" s="28"/>
      <c r="D217" s="63" t="s">
        <v>1602</v>
      </c>
      <c r="E217" s="61"/>
      <c r="F217" s="61"/>
      <c r="G217" s="19"/>
      <c r="H217" s="28"/>
    </row>
    <row r="218" spans="1:8" ht="15" thickBot="1">
      <c r="A218" s="28" t="s">
        <v>1195</v>
      </c>
      <c r="B218" s="28"/>
      <c r="C218" s="28"/>
      <c r="D218" s="64" t="s">
        <v>1768</v>
      </c>
      <c r="E218" s="65">
        <f>1*E215+1*E216+1*E217</f>
        <v>0</v>
      </c>
      <c r="F218" s="65">
        <f>1*F215+1*F216+1*F217</f>
        <v>0</v>
      </c>
      <c r="G218" s="62" t="s">
        <v>865</v>
      </c>
      <c r="H218" s="28"/>
    </row>
    <row r="219" spans="1:8" ht="15" thickTop="1">
      <c r="A219" s="28" t="s">
        <v>1196</v>
      </c>
      <c r="B219" s="28"/>
      <c r="C219" s="28"/>
      <c r="D219" s="59" t="s">
        <v>1605</v>
      </c>
      <c r="E219" s="66"/>
      <c r="F219" s="66"/>
      <c r="G219" s="19"/>
      <c r="H219" s="28"/>
    </row>
    <row r="220" spans="1:8">
      <c r="A220" s="28" t="s">
        <v>1197</v>
      </c>
      <c r="B220" s="28"/>
      <c r="C220" s="28"/>
      <c r="D220" s="63" t="s">
        <v>1606</v>
      </c>
      <c r="E220" s="61"/>
      <c r="F220" s="61"/>
      <c r="G220" s="19"/>
      <c r="H220" s="28"/>
    </row>
    <row r="221" spans="1:8" ht="27">
      <c r="A221" s="28" t="s">
        <v>1198</v>
      </c>
      <c r="B221" s="28"/>
      <c r="C221" s="28"/>
      <c r="D221" s="63" t="s">
        <v>1607</v>
      </c>
      <c r="E221" s="61"/>
      <c r="F221" s="61"/>
      <c r="G221" s="19"/>
      <c r="H221" s="28"/>
    </row>
    <row r="222" spans="1:8" ht="27">
      <c r="A222" s="28" t="s">
        <v>1199</v>
      </c>
      <c r="B222" s="28"/>
      <c r="C222" s="28"/>
      <c r="D222" s="63" t="s">
        <v>1608</v>
      </c>
      <c r="E222" s="61"/>
      <c r="F222" s="61"/>
      <c r="G222" s="19"/>
      <c r="H222" s="28"/>
    </row>
    <row r="223" spans="1:8" ht="15" thickBot="1">
      <c r="A223" s="28" t="s">
        <v>1200</v>
      </c>
      <c r="B223" s="28"/>
      <c r="C223" s="28"/>
      <c r="D223" s="64" t="s">
        <v>1769</v>
      </c>
      <c r="E223" s="65">
        <f>1*E220+1*E221+1*E222</f>
        <v>0</v>
      </c>
      <c r="F223" s="65">
        <f>1*F220+1*F221+1*F222</f>
        <v>0</v>
      </c>
      <c r="G223" s="62" t="s">
        <v>865</v>
      </c>
      <c r="H223" s="28"/>
    </row>
    <row r="224" spans="1:8" ht="15" thickTop="1">
      <c r="A224" s="28" t="s">
        <v>1201</v>
      </c>
      <c r="B224" s="28"/>
      <c r="C224" s="28"/>
      <c r="D224" s="59" t="s">
        <v>1609</v>
      </c>
      <c r="E224" s="66"/>
      <c r="F224" s="66"/>
      <c r="G224" s="19"/>
      <c r="H224" s="28"/>
    </row>
    <row r="225" spans="1:8">
      <c r="A225" s="28" t="s">
        <v>1202</v>
      </c>
      <c r="B225" s="28"/>
      <c r="C225" s="28"/>
      <c r="D225" s="72" t="s">
        <v>1610</v>
      </c>
      <c r="E225" s="58"/>
      <c r="F225" s="58"/>
      <c r="G225" s="19"/>
      <c r="H225" s="28"/>
    </row>
    <row r="226" spans="1:8">
      <c r="A226" s="28" t="s">
        <v>1203</v>
      </c>
      <c r="B226" s="28"/>
      <c r="C226" s="28"/>
      <c r="D226" s="73" t="s">
        <v>1611</v>
      </c>
      <c r="E226" s="61"/>
      <c r="F226" s="61"/>
      <c r="G226" s="19"/>
      <c r="H226" s="28"/>
    </row>
    <row r="227" spans="1:8">
      <c r="A227" s="28" t="s">
        <v>1204</v>
      </c>
      <c r="B227" s="28"/>
      <c r="C227" s="28"/>
      <c r="D227" s="73" t="s">
        <v>1612</v>
      </c>
      <c r="E227" s="61"/>
      <c r="F227" s="61"/>
      <c r="G227" s="19"/>
      <c r="H227" s="28"/>
    </row>
    <row r="228" spans="1:8">
      <c r="A228" s="28" t="s">
        <v>1205</v>
      </c>
      <c r="B228" s="28"/>
      <c r="C228" s="28"/>
      <c r="D228" s="73" t="s">
        <v>1613</v>
      </c>
      <c r="E228" s="61"/>
      <c r="F228" s="61"/>
      <c r="G228" s="19"/>
      <c r="H228" s="28"/>
    </row>
    <row r="229" spans="1:8">
      <c r="A229" s="28" t="s">
        <v>1206</v>
      </c>
      <c r="B229" s="28"/>
      <c r="C229" s="28"/>
      <c r="D229" s="73" t="s">
        <v>1614</v>
      </c>
      <c r="E229" s="61"/>
      <c r="F229" s="61"/>
      <c r="G229" s="19"/>
      <c r="H229" s="28"/>
    </row>
    <row r="230" spans="1:8">
      <c r="A230" s="28" t="s">
        <v>1207</v>
      </c>
      <c r="B230" s="28"/>
      <c r="C230" s="28"/>
      <c r="D230" s="73" t="s">
        <v>1615</v>
      </c>
      <c r="E230" s="61"/>
      <c r="F230" s="61"/>
      <c r="G230" s="19"/>
      <c r="H230" s="28"/>
    </row>
    <row r="231" spans="1:8">
      <c r="A231" s="28" t="s">
        <v>1208</v>
      </c>
      <c r="B231" s="28"/>
      <c r="C231" s="28"/>
      <c r="D231" s="73" t="s">
        <v>1616</v>
      </c>
      <c r="E231" s="61"/>
      <c r="F231" s="61"/>
      <c r="G231" s="19"/>
      <c r="H231" s="28"/>
    </row>
    <row r="232" spans="1:8">
      <c r="A232" s="28" t="s">
        <v>1209</v>
      </c>
      <c r="B232" s="28"/>
      <c r="C232" s="28"/>
      <c r="D232" s="73" t="s">
        <v>1617</v>
      </c>
      <c r="E232" s="61"/>
      <c r="F232" s="61"/>
      <c r="G232" s="19"/>
      <c r="H232" s="28"/>
    </row>
    <row r="233" spans="1:8">
      <c r="A233" s="28" t="s">
        <v>1210</v>
      </c>
      <c r="B233" s="28"/>
      <c r="C233" s="28"/>
      <c r="D233" s="73" t="s">
        <v>1618</v>
      </c>
      <c r="E233" s="61"/>
      <c r="F233" s="61"/>
      <c r="G233" s="19"/>
      <c r="H233" s="28"/>
    </row>
    <row r="234" spans="1:8">
      <c r="A234" s="28" t="s">
        <v>1211</v>
      </c>
      <c r="B234" s="28"/>
      <c r="C234" s="28"/>
      <c r="D234" s="75" t="s">
        <v>1619</v>
      </c>
      <c r="E234" s="71">
        <f>1*E226+1*E227+1*E228+1*E229+1*E230+1*E231+1*E233+1*E232</f>
        <v>0</v>
      </c>
      <c r="F234" s="71">
        <f>1*F226+1*F227+1*F228+1*F229+1*F230+1*F231+1*F233+1*F232</f>
        <v>0</v>
      </c>
      <c r="G234" s="19"/>
      <c r="H234" s="28"/>
    </row>
    <row r="235" spans="1:8">
      <c r="A235" s="28" t="s">
        <v>1212</v>
      </c>
      <c r="B235" s="28"/>
      <c r="C235" s="28"/>
      <c r="D235" s="72" t="s">
        <v>1620</v>
      </c>
      <c r="E235" s="58"/>
      <c r="F235" s="58"/>
      <c r="G235" s="19"/>
      <c r="H235" s="28"/>
    </row>
    <row r="236" spans="1:8">
      <c r="A236" s="28" t="s">
        <v>1213</v>
      </c>
      <c r="B236" s="28"/>
      <c r="C236" s="28"/>
      <c r="D236" s="73" t="s">
        <v>1621</v>
      </c>
      <c r="E236" s="61"/>
      <c r="F236" s="61"/>
      <c r="G236" s="19"/>
      <c r="H236" s="28"/>
    </row>
    <row r="237" spans="1:8" ht="27">
      <c r="A237" s="28" t="s">
        <v>1214</v>
      </c>
      <c r="B237" s="28"/>
      <c r="C237" s="28"/>
      <c r="D237" s="73" t="s">
        <v>1622</v>
      </c>
      <c r="E237" s="61"/>
      <c r="F237" s="61"/>
      <c r="G237" s="19"/>
      <c r="H237" s="28"/>
    </row>
    <row r="238" spans="1:8">
      <c r="A238" s="28" t="s">
        <v>1215</v>
      </c>
      <c r="B238" s="28"/>
      <c r="C238" s="28"/>
      <c r="D238" s="73" t="s">
        <v>1623</v>
      </c>
      <c r="E238" s="61"/>
      <c r="F238" s="61"/>
      <c r="G238" s="19"/>
      <c r="H238" s="28"/>
    </row>
    <row r="239" spans="1:8">
      <c r="A239" s="28" t="s">
        <v>1216</v>
      </c>
      <c r="B239" s="28"/>
      <c r="C239" s="28"/>
      <c r="D239" s="73" t="s">
        <v>1624</v>
      </c>
      <c r="E239" s="61"/>
      <c r="F239" s="61"/>
      <c r="G239" s="19"/>
      <c r="H239" s="28"/>
    </row>
    <row r="240" spans="1:8">
      <c r="A240" s="28" t="s">
        <v>1217</v>
      </c>
      <c r="B240" s="28"/>
      <c r="C240" s="28"/>
      <c r="D240" s="73" t="s">
        <v>1625</v>
      </c>
      <c r="E240" s="61"/>
      <c r="F240" s="61"/>
      <c r="G240" s="19"/>
      <c r="H240" s="28"/>
    </row>
    <row r="241" spans="1:8">
      <c r="A241" s="28" t="s">
        <v>1218</v>
      </c>
      <c r="B241" s="28"/>
      <c r="C241" s="28"/>
      <c r="D241" s="75" t="s">
        <v>1626</v>
      </c>
      <c r="E241" s="71">
        <f>1*E236+1*E237+1*E238+1*E239+1*E240</f>
        <v>0</v>
      </c>
      <c r="F241" s="71">
        <f>1*F236+1*F237+1*F238+1*F239+1*F240</f>
        <v>0</v>
      </c>
      <c r="G241" s="19"/>
      <c r="H241" s="28"/>
    </row>
    <row r="242" spans="1:8" ht="15" thickBot="1">
      <c r="A242" s="28" t="s">
        <v>1219</v>
      </c>
      <c r="B242" s="28"/>
      <c r="C242" s="28"/>
      <c r="D242" s="64" t="s">
        <v>1770</v>
      </c>
      <c r="E242" s="65">
        <f>1*E234+1*E241</f>
        <v>0</v>
      </c>
      <c r="F242" s="65">
        <f>1*F234+1*F241</f>
        <v>0</v>
      </c>
      <c r="G242" s="62" t="s">
        <v>865</v>
      </c>
      <c r="H242" s="28"/>
    </row>
    <row r="243" spans="1:8" ht="15" thickTop="1">
      <c r="A243" s="28" t="s">
        <v>1220</v>
      </c>
      <c r="B243" s="28"/>
      <c r="C243" s="28"/>
      <c r="D243" s="59" t="s">
        <v>1627</v>
      </c>
      <c r="E243" s="66"/>
      <c r="F243" s="66"/>
      <c r="G243" s="19"/>
      <c r="H243" s="28"/>
    </row>
    <row r="244" spans="1:8">
      <c r="A244" s="28" t="s">
        <v>1221</v>
      </c>
      <c r="B244" s="28"/>
      <c r="C244" s="28"/>
      <c r="D244" s="63" t="s">
        <v>1628</v>
      </c>
      <c r="E244" s="61"/>
      <c r="F244" s="61"/>
      <c r="G244" s="19"/>
      <c r="H244" s="28"/>
    </row>
    <row r="245" spans="1:8" ht="40.5">
      <c r="A245" s="28" t="s">
        <v>1222</v>
      </c>
      <c r="B245" s="28"/>
      <c r="C245" s="28"/>
      <c r="D245" s="63" t="s">
        <v>1629</v>
      </c>
      <c r="E245" s="61"/>
      <c r="F245" s="61"/>
      <c r="G245" s="19"/>
      <c r="H245" s="28"/>
    </row>
    <row r="246" spans="1:8">
      <c r="A246" s="28" t="s">
        <v>1223</v>
      </c>
      <c r="B246" s="28"/>
      <c r="C246" s="28"/>
      <c r="D246" s="63" t="s">
        <v>1630</v>
      </c>
      <c r="E246" s="61"/>
      <c r="F246" s="61"/>
      <c r="G246" s="19"/>
      <c r="H246" s="28"/>
    </row>
    <row r="247" spans="1:8">
      <c r="A247" s="28" t="s">
        <v>1224</v>
      </c>
      <c r="B247" s="28"/>
      <c r="C247" s="28"/>
      <c r="D247" s="63" t="s">
        <v>1631</v>
      </c>
      <c r="E247" s="61"/>
      <c r="F247" s="61"/>
      <c r="G247" s="19"/>
      <c r="H247" s="28"/>
    </row>
    <row r="248" spans="1:8" ht="27">
      <c r="A248" s="28" t="s">
        <v>1225</v>
      </c>
      <c r="B248" s="28"/>
      <c r="C248" s="28"/>
      <c r="D248" s="63" t="s">
        <v>1632</v>
      </c>
      <c r="E248" s="61"/>
      <c r="F248" s="61"/>
      <c r="G248" s="19"/>
      <c r="H248" s="28"/>
    </row>
    <row r="249" spans="1:8" ht="15" thickBot="1">
      <c r="A249" s="28" t="s">
        <v>1226</v>
      </c>
      <c r="B249" s="28"/>
      <c r="C249" s="28"/>
      <c r="D249" s="64" t="s">
        <v>1771</v>
      </c>
      <c r="E249" s="65">
        <f>1*E244+1*E245+1*E246+1*E247+1*E248</f>
        <v>0</v>
      </c>
      <c r="F249" s="65">
        <f>1*F244+1*F245+1*F246+1*F247+1*F248</f>
        <v>0</v>
      </c>
      <c r="G249" s="62" t="s">
        <v>865</v>
      </c>
      <c r="H249" s="28"/>
    </row>
    <row r="250" spans="1:8" ht="15" thickTop="1">
      <c r="A250" s="28" t="s">
        <v>1227</v>
      </c>
      <c r="B250" s="28"/>
      <c r="C250" s="28"/>
      <c r="D250" s="59" t="s">
        <v>1633</v>
      </c>
      <c r="E250" s="66"/>
      <c r="F250" s="66"/>
      <c r="G250" s="19"/>
      <c r="H250" s="28"/>
    </row>
    <row r="251" spans="1:8" ht="27">
      <c r="A251" s="28" t="s">
        <v>1228</v>
      </c>
      <c r="B251" s="28"/>
      <c r="C251" s="28"/>
      <c r="D251" s="72" t="s">
        <v>1634</v>
      </c>
      <c r="E251" s="58"/>
      <c r="F251" s="58"/>
      <c r="G251" s="19"/>
      <c r="H251" s="28"/>
    </row>
    <row r="252" spans="1:8">
      <c r="A252" s="28" t="s">
        <v>1229</v>
      </c>
      <c r="B252" s="28"/>
      <c r="C252" s="28"/>
      <c r="D252" s="73" t="s">
        <v>1635</v>
      </c>
      <c r="E252" s="61"/>
      <c r="F252" s="61"/>
      <c r="G252" s="19"/>
      <c r="H252" s="28"/>
    </row>
    <row r="253" spans="1:8">
      <c r="A253" s="28" t="s">
        <v>1230</v>
      </c>
      <c r="B253" s="28"/>
      <c r="C253" s="28"/>
      <c r="D253" s="73" t="s">
        <v>1636</v>
      </c>
      <c r="E253" s="61"/>
      <c r="F253" s="61"/>
      <c r="G253" s="19"/>
      <c r="H253" s="28"/>
    </row>
    <row r="254" spans="1:8" ht="27">
      <c r="A254" s="28" t="s">
        <v>1231</v>
      </c>
      <c r="B254" s="28"/>
      <c r="C254" s="28"/>
      <c r="D254" s="73" t="s">
        <v>1637</v>
      </c>
      <c r="E254" s="61"/>
      <c r="F254" s="61"/>
      <c r="G254" s="19"/>
      <c r="H254" s="28"/>
    </row>
    <row r="255" spans="1:8">
      <c r="A255" s="28" t="s">
        <v>1232</v>
      </c>
      <c r="B255" s="28"/>
      <c r="C255" s="28"/>
      <c r="D255" s="73" t="s">
        <v>1638</v>
      </c>
      <c r="E255" s="61"/>
      <c r="F255" s="61"/>
      <c r="G255" s="19"/>
      <c r="H255" s="28"/>
    </row>
    <row r="256" spans="1:8">
      <c r="A256" s="28" t="s">
        <v>1233</v>
      </c>
      <c r="B256" s="28"/>
      <c r="C256" s="28"/>
      <c r="D256" s="73" t="s">
        <v>1639</v>
      </c>
      <c r="E256" s="61"/>
      <c r="F256" s="61"/>
      <c r="G256" s="19"/>
      <c r="H256" s="28"/>
    </row>
    <row r="257" spans="1:8">
      <c r="A257" s="28" t="s">
        <v>1234</v>
      </c>
      <c r="B257" s="28"/>
      <c r="C257" s="28"/>
      <c r="D257" s="73" t="s">
        <v>1640</v>
      </c>
      <c r="E257" s="61"/>
      <c r="F257" s="61"/>
      <c r="G257" s="19"/>
      <c r="H257" s="28"/>
    </row>
    <row r="258" spans="1:8">
      <c r="A258" s="28" t="s">
        <v>1235</v>
      </c>
      <c r="B258" s="28"/>
      <c r="C258" s="28"/>
      <c r="D258" s="73" t="s">
        <v>1641</v>
      </c>
      <c r="E258" s="61"/>
      <c r="F258" s="61"/>
      <c r="G258" s="19"/>
      <c r="H258" s="28"/>
    </row>
    <row r="259" spans="1:8" ht="40.5">
      <c r="A259" s="28" t="s">
        <v>1236</v>
      </c>
      <c r="B259" s="28"/>
      <c r="C259" s="28"/>
      <c r="D259" s="75" t="s">
        <v>1642</v>
      </c>
      <c r="E259" s="71">
        <f>1*E252+1*E253+1*E254+1*E255+1*E256+1*E257+1*E258</f>
        <v>0</v>
      </c>
      <c r="F259" s="71">
        <f>1*F252+1*F253+1*F254+1*F255+1*F256+1*F257+1*F258</f>
        <v>0</v>
      </c>
      <c r="G259" s="19"/>
      <c r="H259" s="28"/>
    </row>
    <row r="260" spans="1:8" ht="27">
      <c r="A260" s="28" t="s">
        <v>1237</v>
      </c>
      <c r="B260" s="28"/>
      <c r="C260" s="28"/>
      <c r="D260" s="72" t="s">
        <v>1643</v>
      </c>
      <c r="E260" s="58"/>
      <c r="F260" s="58"/>
      <c r="G260" s="19"/>
      <c r="H260" s="28"/>
    </row>
    <row r="261" spans="1:8">
      <c r="A261" s="28" t="s">
        <v>1238</v>
      </c>
      <c r="B261" s="28"/>
      <c r="C261" s="28"/>
      <c r="D261" s="73" t="s">
        <v>1635</v>
      </c>
      <c r="E261" s="61"/>
      <c r="F261" s="61"/>
      <c r="G261" s="19"/>
      <c r="H261" s="28"/>
    </row>
    <row r="262" spans="1:8" ht="27">
      <c r="A262" s="28" t="s">
        <v>1239</v>
      </c>
      <c r="B262" s="28"/>
      <c r="C262" s="28"/>
      <c r="D262" s="73" t="s">
        <v>1644</v>
      </c>
      <c r="E262" s="61"/>
      <c r="F262" s="61"/>
      <c r="G262" s="19"/>
      <c r="H262" s="28"/>
    </row>
    <row r="263" spans="1:8">
      <c r="A263" s="28" t="s">
        <v>1240</v>
      </c>
      <c r="B263" s="28"/>
      <c r="C263" s="28"/>
      <c r="D263" s="73" t="s">
        <v>1636</v>
      </c>
      <c r="E263" s="61"/>
      <c r="F263" s="61"/>
      <c r="G263" s="19"/>
      <c r="H263" s="28"/>
    </row>
    <row r="264" spans="1:8" ht="27">
      <c r="A264" s="28" t="s">
        <v>1241</v>
      </c>
      <c r="B264" s="28"/>
      <c r="C264" s="28"/>
      <c r="D264" s="73" t="s">
        <v>1637</v>
      </c>
      <c r="E264" s="61"/>
      <c r="F264" s="61"/>
      <c r="G264" s="19"/>
      <c r="H264" s="28"/>
    </row>
    <row r="265" spans="1:8">
      <c r="A265" s="28" t="s">
        <v>1242</v>
      </c>
      <c r="B265" s="28"/>
      <c r="C265" s="28"/>
      <c r="D265" s="73" t="s">
        <v>1638</v>
      </c>
      <c r="E265" s="61"/>
      <c r="F265" s="61"/>
      <c r="G265" s="19"/>
      <c r="H265" s="28"/>
    </row>
    <row r="266" spans="1:8">
      <c r="A266" s="28" t="s">
        <v>1243</v>
      </c>
      <c r="B266" s="28"/>
      <c r="C266" s="28"/>
      <c r="D266" s="73" t="s">
        <v>1639</v>
      </c>
      <c r="E266" s="61"/>
      <c r="F266" s="61"/>
      <c r="G266" s="19"/>
      <c r="H266" s="28"/>
    </row>
    <row r="267" spans="1:8">
      <c r="A267" s="28" t="s">
        <v>1244</v>
      </c>
      <c r="B267" s="28"/>
      <c r="C267" s="28"/>
      <c r="D267" s="73" t="s">
        <v>1640</v>
      </c>
      <c r="E267" s="61"/>
      <c r="F267" s="61"/>
      <c r="G267" s="19"/>
      <c r="H267" s="28"/>
    </row>
    <row r="268" spans="1:8">
      <c r="A268" s="28" t="s">
        <v>1245</v>
      </c>
      <c r="B268" s="28"/>
      <c r="C268" s="28"/>
      <c r="D268" s="73" t="s">
        <v>1645</v>
      </c>
      <c r="E268" s="61"/>
      <c r="F268" s="61"/>
      <c r="G268" s="19"/>
      <c r="H268" s="28"/>
    </row>
    <row r="269" spans="1:8" ht="40.5">
      <c r="A269" s="28" t="s">
        <v>1246</v>
      </c>
      <c r="B269" s="28"/>
      <c r="C269" s="28"/>
      <c r="D269" s="75" t="s">
        <v>1646</v>
      </c>
      <c r="E269" s="71">
        <f>1*E261+1*E262+1*E263+1*E264+1*E265+1*E266+1*E267+1*E268</f>
        <v>0</v>
      </c>
      <c r="F269" s="71">
        <f>1*F261+1*F262+1*F263+1*F264+1*F265+1*F266+1*F267+1*F268</f>
        <v>0</v>
      </c>
      <c r="G269" s="19"/>
      <c r="H269" s="28"/>
    </row>
    <row r="270" spans="1:8" ht="27">
      <c r="A270" s="28" t="s">
        <v>1247</v>
      </c>
      <c r="B270" s="28"/>
      <c r="C270" s="28"/>
      <c r="D270" s="72" t="s">
        <v>1647</v>
      </c>
      <c r="E270" s="58"/>
      <c r="F270" s="58"/>
      <c r="G270" s="19"/>
      <c r="H270" s="28"/>
    </row>
    <row r="271" spans="1:8">
      <c r="A271" s="28" t="s">
        <v>1248</v>
      </c>
      <c r="B271" s="28"/>
      <c r="C271" s="28"/>
      <c r="D271" s="73" t="s">
        <v>1648</v>
      </c>
      <c r="E271" s="61"/>
      <c r="F271" s="61"/>
      <c r="G271" s="19"/>
      <c r="H271" s="28"/>
    </row>
    <row r="272" spans="1:8">
      <c r="A272" s="28" t="s">
        <v>1249</v>
      </c>
      <c r="B272" s="28"/>
      <c r="C272" s="28"/>
      <c r="D272" s="73" t="s">
        <v>1639</v>
      </c>
      <c r="E272" s="61"/>
      <c r="F272" s="61"/>
      <c r="G272" s="19"/>
      <c r="H272" s="28"/>
    </row>
    <row r="273" spans="1:8">
      <c r="A273" s="28" t="s">
        <v>1250</v>
      </c>
      <c r="B273" s="28"/>
      <c r="C273" s="28"/>
      <c r="D273" s="73" t="s">
        <v>1649</v>
      </c>
      <c r="E273" s="61"/>
      <c r="F273" s="61"/>
      <c r="G273" s="19"/>
      <c r="H273" s="28"/>
    </row>
    <row r="274" spans="1:8">
      <c r="A274" s="28" t="s">
        <v>1251</v>
      </c>
      <c r="B274" s="28"/>
      <c r="C274" s="28"/>
      <c r="D274" s="73" t="s">
        <v>1650</v>
      </c>
      <c r="E274" s="61"/>
      <c r="F274" s="61"/>
      <c r="G274" s="19"/>
      <c r="H274" s="28"/>
    </row>
    <row r="275" spans="1:8">
      <c r="A275" s="28" t="s">
        <v>1252</v>
      </c>
      <c r="B275" s="28"/>
      <c r="C275" s="28"/>
      <c r="D275" s="73" t="s">
        <v>1651</v>
      </c>
      <c r="E275" s="61"/>
      <c r="F275" s="61"/>
      <c r="G275" s="19"/>
      <c r="H275" s="28"/>
    </row>
    <row r="276" spans="1:8" ht="27">
      <c r="A276" s="28" t="s">
        <v>1253</v>
      </c>
      <c r="B276" s="28"/>
      <c r="C276" s="28"/>
      <c r="D276" s="75" t="s">
        <v>1652</v>
      </c>
      <c r="E276" s="71">
        <f>1*E271+1*E272+1*E273+1*E274+1*E275</f>
        <v>0</v>
      </c>
      <c r="F276" s="71">
        <f>1*F271+1*F272+1*F273+1*F274+1*F275</f>
        <v>0</v>
      </c>
      <c r="G276" s="19"/>
      <c r="H276" s="28"/>
    </row>
    <row r="277" spans="1:8" ht="27">
      <c r="A277" s="28" t="s">
        <v>1254</v>
      </c>
      <c r="B277" s="28"/>
      <c r="C277" s="28"/>
      <c r="D277" s="72" t="s">
        <v>1653</v>
      </c>
      <c r="E277" s="58"/>
      <c r="F277" s="58"/>
      <c r="G277" s="19"/>
      <c r="H277" s="28"/>
    </row>
    <row r="278" spans="1:8">
      <c r="A278" s="28" t="s">
        <v>1255</v>
      </c>
      <c r="B278" s="28"/>
      <c r="C278" s="28"/>
      <c r="D278" s="73" t="s">
        <v>1648</v>
      </c>
      <c r="E278" s="61"/>
      <c r="F278" s="61"/>
      <c r="G278" s="19"/>
      <c r="H278" s="28"/>
    </row>
    <row r="279" spans="1:8">
      <c r="A279" s="28" t="s">
        <v>1256</v>
      </c>
      <c r="B279" s="28"/>
      <c r="C279" s="28"/>
      <c r="D279" s="73" t="s">
        <v>1639</v>
      </c>
      <c r="E279" s="61"/>
      <c r="F279" s="61"/>
      <c r="G279" s="19"/>
      <c r="H279" s="28"/>
    </row>
    <row r="280" spans="1:8">
      <c r="A280" s="28" t="s">
        <v>1257</v>
      </c>
      <c r="B280" s="28"/>
      <c r="C280" s="28"/>
      <c r="D280" s="73" t="s">
        <v>1649</v>
      </c>
      <c r="E280" s="61"/>
      <c r="F280" s="61"/>
      <c r="G280" s="19"/>
      <c r="H280" s="28"/>
    </row>
    <row r="281" spans="1:8">
      <c r="A281" s="28" t="s">
        <v>1258</v>
      </c>
      <c r="B281" s="28"/>
      <c r="C281" s="28"/>
      <c r="D281" s="73" t="s">
        <v>1650</v>
      </c>
      <c r="E281" s="61"/>
      <c r="F281" s="61"/>
      <c r="G281" s="19"/>
      <c r="H281" s="28"/>
    </row>
    <row r="282" spans="1:8">
      <c r="A282" s="28" t="s">
        <v>1259</v>
      </c>
      <c r="B282" s="28"/>
      <c r="C282" s="28"/>
      <c r="D282" s="73" t="s">
        <v>1651</v>
      </c>
      <c r="E282" s="61"/>
      <c r="F282" s="61"/>
      <c r="G282" s="19"/>
      <c r="H282" s="28"/>
    </row>
    <row r="283" spans="1:8" ht="40.5">
      <c r="A283" s="28" t="s">
        <v>1260</v>
      </c>
      <c r="B283" s="28"/>
      <c r="C283" s="28"/>
      <c r="D283" s="75" t="s">
        <v>1654</v>
      </c>
      <c r="E283" s="71">
        <f>1*E278+1*E279+1*E280+1*E281+1*E282</f>
        <v>0</v>
      </c>
      <c r="F283" s="71">
        <f>1*F278+1*F279+1*F280+1*F281+1*F282</f>
        <v>0</v>
      </c>
      <c r="G283" s="19"/>
      <c r="H283" s="28"/>
    </row>
    <row r="284" spans="1:8">
      <c r="A284" s="28" t="s">
        <v>1261</v>
      </c>
      <c r="B284" s="28"/>
      <c r="C284" s="28"/>
      <c r="D284" s="72" t="s">
        <v>1655</v>
      </c>
      <c r="E284" s="58"/>
      <c r="F284" s="58"/>
      <c r="G284" s="19"/>
      <c r="H284" s="28"/>
    </row>
    <row r="285" spans="1:8">
      <c r="A285" s="28" t="s">
        <v>1262</v>
      </c>
      <c r="B285" s="28"/>
      <c r="C285" s="28"/>
      <c r="D285" s="73" t="s">
        <v>1656</v>
      </c>
      <c r="E285" s="61"/>
      <c r="F285" s="61"/>
      <c r="G285" s="19"/>
      <c r="H285" s="28"/>
    </row>
    <row r="286" spans="1:8">
      <c r="A286" s="28" t="s">
        <v>1263</v>
      </c>
      <c r="B286" s="28"/>
      <c r="C286" s="28"/>
      <c r="D286" s="73" t="s">
        <v>1657</v>
      </c>
      <c r="E286" s="61"/>
      <c r="F286" s="61"/>
      <c r="G286" s="19"/>
      <c r="H286" s="28"/>
    </row>
    <row r="287" spans="1:8">
      <c r="A287" s="28" t="s">
        <v>1264</v>
      </c>
      <c r="B287" s="28"/>
      <c r="C287" s="28"/>
      <c r="D287" s="73" t="s">
        <v>1658</v>
      </c>
      <c r="E287" s="61"/>
      <c r="F287" s="61"/>
      <c r="G287" s="19"/>
      <c r="H287" s="28"/>
    </row>
    <row r="288" spans="1:8">
      <c r="A288" s="28" t="s">
        <v>1265</v>
      </c>
      <c r="B288" s="28"/>
      <c r="C288" s="28"/>
      <c r="D288" s="73" t="s">
        <v>1659</v>
      </c>
      <c r="E288" s="61"/>
      <c r="F288" s="61"/>
      <c r="G288" s="19"/>
      <c r="H288" s="28"/>
    </row>
    <row r="289" spans="1:8">
      <c r="A289" s="28" t="s">
        <v>1266</v>
      </c>
      <c r="B289" s="28"/>
      <c r="C289" s="28"/>
      <c r="D289" s="73" t="s">
        <v>1655</v>
      </c>
      <c r="E289" s="61"/>
      <c r="F289" s="61"/>
      <c r="G289" s="19"/>
      <c r="H289" s="28"/>
    </row>
    <row r="290" spans="1:8" ht="27">
      <c r="A290" s="28" t="s">
        <v>1267</v>
      </c>
      <c r="B290" s="28"/>
      <c r="C290" s="28"/>
      <c r="D290" s="75" t="s">
        <v>1660</v>
      </c>
      <c r="E290" s="71">
        <f>1*E285+1*E286+1*E287+1*E288+1*E289</f>
        <v>0</v>
      </c>
      <c r="F290" s="71">
        <f>1*F285+1*F286+1*F287+1*F288+1*F289</f>
        <v>0</v>
      </c>
      <c r="G290" s="19"/>
      <c r="H290" s="28"/>
    </row>
    <row r="291" spans="1:8" ht="15" thickBot="1">
      <c r="A291" s="28" t="s">
        <v>1268</v>
      </c>
      <c r="B291" s="28"/>
      <c r="C291" s="28"/>
      <c r="D291" s="64" t="s">
        <v>1772</v>
      </c>
      <c r="E291" s="65">
        <f>1*E259+1*E269+1*E276+1*E283+1*E290</f>
        <v>0</v>
      </c>
      <c r="F291" s="65">
        <f>1*F259+1*F269+1*F276+1*F283+1*F290</f>
        <v>0</v>
      </c>
      <c r="G291" s="62" t="s">
        <v>865</v>
      </c>
      <c r="H291" s="28"/>
    </row>
    <row r="292" spans="1:8" ht="15" thickTop="1">
      <c r="A292" s="28" t="s">
        <v>1269</v>
      </c>
      <c r="B292" s="28"/>
      <c r="C292" s="28"/>
      <c r="D292" s="59" t="s">
        <v>1661</v>
      </c>
      <c r="E292" s="66"/>
      <c r="F292" s="66"/>
      <c r="G292" s="19"/>
      <c r="H292" s="28"/>
    </row>
    <row r="293" spans="1:8" ht="27">
      <c r="A293" s="28" t="s">
        <v>1270</v>
      </c>
      <c r="B293" s="28"/>
      <c r="C293" s="28"/>
      <c r="D293" s="63" t="s">
        <v>1662</v>
      </c>
      <c r="E293" s="61"/>
      <c r="F293" s="61"/>
      <c r="G293" s="19"/>
      <c r="H293" s="28"/>
    </row>
    <row r="294" spans="1:8">
      <c r="A294" s="28" t="s">
        <v>1271</v>
      </c>
      <c r="B294" s="28"/>
      <c r="C294" s="28"/>
      <c r="D294" s="63" t="s">
        <v>1663</v>
      </c>
      <c r="E294" s="61"/>
      <c r="F294" s="61"/>
      <c r="G294" s="19"/>
      <c r="H294" s="28"/>
    </row>
    <row r="295" spans="1:8">
      <c r="A295" s="28" t="s">
        <v>1272</v>
      </c>
      <c r="B295" s="28"/>
      <c r="C295" s="28"/>
      <c r="D295" s="63" t="s">
        <v>1664</v>
      </c>
      <c r="E295" s="61"/>
      <c r="F295" s="61"/>
      <c r="G295" s="19"/>
      <c r="H295" s="28"/>
    </row>
    <row r="296" spans="1:8">
      <c r="A296" s="28" t="s">
        <v>1273</v>
      </c>
      <c r="B296" s="28"/>
      <c r="C296" s="28"/>
      <c r="D296" s="63" t="s">
        <v>1665</v>
      </c>
      <c r="E296" s="61"/>
      <c r="F296" s="61"/>
      <c r="G296" s="19"/>
      <c r="H296" s="28"/>
    </row>
    <row r="297" spans="1:8">
      <c r="A297" s="28" t="s">
        <v>1274</v>
      </c>
      <c r="B297" s="28"/>
      <c r="C297" s="28"/>
      <c r="D297" s="63" t="s">
        <v>1666</v>
      </c>
      <c r="E297" s="61"/>
      <c r="F297" s="61"/>
      <c r="G297" s="19"/>
      <c r="H297" s="28"/>
    </row>
    <row r="298" spans="1:8">
      <c r="A298" s="28" t="s">
        <v>1275</v>
      </c>
      <c r="B298" s="28"/>
      <c r="C298" s="28"/>
      <c r="D298" s="63" t="s">
        <v>1667</v>
      </c>
      <c r="E298" s="61"/>
      <c r="F298" s="61"/>
      <c r="G298" s="19"/>
      <c r="H298" s="28"/>
    </row>
    <row r="299" spans="1:8" ht="27">
      <c r="A299" s="28" t="s">
        <v>1276</v>
      </c>
      <c r="B299" s="28"/>
      <c r="C299" s="28"/>
      <c r="D299" s="63" t="s">
        <v>1668</v>
      </c>
      <c r="E299" s="61"/>
      <c r="F299" s="61"/>
      <c r="G299" s="19"/>
      <c r="H299" s="28"/>
    </row>
    <row r="300" spans="1:8" ht="27.5" thickBot="1">
      <c r="A300" s="28" t="s">
        <v>1277</v>
      </c>
      <c r="B300" s="28"/>
      <c r="C300" s="28"/>
      <c r="D300" s="64" t="s">
        <v>1773</v>
      </c>
      <c r="E300" s="65">
        <f>1*E293+1*E294+1*E295+1*E296+1*E297+1*E298+1*E299</f>
        <v>0</v>
      </c>
      <c r="F300" s="65">
        <f>1*F293+1*F294+1*F295+1*F296+1*F297+1*F298+1*F299</f>
        <v>0</v>
      </c>
      <c r="G300" s="62" t="s">
        <v>865</v>
      </c>
      <c r="H300" s="28"/>
    </row>
    <row r="301" spans="1:8" ht="15" thickTop="1">
      <c r="A301" s="28" t="s">
        <v>1278</v>
      </c>
      <c r="B301" s="28"/>
      <c r="C301" s="28"/>
      <c r="D301" s="59" t="s">
        <v>1669</v>
      </c>
      <c r="E301" s="66"/>
      <c r="F301" s="66"/>
      <c r="G301" s="19"/>
      <c r="H301" s="28"/>
    </row>
    <row r="302" spans="1:8">
      <c r="A302" s="28" t="s">
        <v>1279</v>
      </c>
      <c r="B302" s="28"/>
      <c r="C302" s="28"/>
      <c r="D302" s="63" t="s">
        <v>1670</v>
      </c>
      <c r="E302" s="61"/>
      <c r="F302" s="61"/>
      <c r="G302" s="19"/>
      <c r="H302" s="28"/>
    </row>
    <row r="303" spans="1:8">
      <c r="A303" s="28" t="s">
        <v>1280</v>
      </c>
      <c r="B303" s="28"/>
      <c r="C303" s="28"/>
      <c r="D303" s="63" t="s">
        <v>1671</v>
      </c>
      <c r="E303" s="61"/>
      <c r="F303" s="61"/>
      <c r="G303" s="19"/>
      <c r="H303" s="28"/>
    </row>
    <row r="304" spans="1:8">
      <c r="A304" s="28" t="s">
        <v>1281</v>
      </c>
      <c r="B304" s="28"/>
      <c r="C304" s="28"/>
      <c r="D304" s="63" t="s">
        <v>1672</v>
      </c>
      <c r="E304" s="61"/>
      <c r="F304" s="61"/>
      <c r="G304" s="19"/>
      <c r="H304" s="28"/>
    </row>
    <row r="305" spans="1:8">
      <c r="A305" s="28" t="s">
        <v>1282</v>
      </c>
      <c r="B305" s="28"/>
      <c r="C305" s="28"/>
      <c r="D305" s="63" t="s">
        <v>1673</v>
      </c>
      <c r="E305" s="61"/>
      <c r="F305" s="61"/>
      <c r="G305" s="19"/>
      <c r="H305" s="28"/>
    </row>
    <row r="306" spans="1:8">
      <c r="A306" s="28" t="s">
        <v>1283</v>
      </c>
      <c r="B306" s="28"/>
      <c r="C306" s="28"/>
      <c r="D306" s="63" t="s">
        <v>1674</v>
      </c>
      <c r="E306" s="61"/>
      <c r="F306" s="61"/>
      <c r="G306" s="19"/>
      <c r="H306" s="28"/>
    </row>
    <row r="307" spans="1:8" ht="27">
      <c r="A307" s="28" t="s">
        <v>1284</v>
      </c>
      <c r="B307" s="28"/>
      <c r="C307" s="28"/>
      <c r="D307" s="63" t="s">
        <v>1675</v>
      </c>
      <c r="E307" s="61"/>
      <c r="F307" s="61"/>
      <c r="G307" s="19"/>
      <c r="H307" s="28"/>
    </row>
    <row r="308" spans="1:8">
      <c r="A308" s="28" t="s">
        <v>1285</v>
      </c>
      <c r="B308" s="28"/>
      <c r="C308" s="28"/>
      <c r="D308" s="63" t="s">
        <v>1676</v>
      </c>
      <c r="E308" s="61"/>
      <c r="F308" s="61"/>
      <c r="G308" s="19"/>
      <c r="H308" s="28"/>
    </row>
    <row r="309" spans="1:8" ht="15" thickBot="1">
      <c r="A309" s="28" t="s">
        <v>1286</v>
      </c>
      <c r="B309" s="28"/>
      <c r="C309" s="28"/>
      <c r="D309" s="64" t="s">
        <v>1774</v>
      </c>
      <c r="E309" s="65">
        <f>1*E302+1*E303+1*E304+1*E305+1*E306+1*E307+1*E308</f>
        <v>0</v>
      </c>
      <c r="F309" s="65">
        <f>1*F302+1*F303+1*F304+1*F305+1*F306+1*F307+1*F308</f>
        <v>0</v>
      </c>
      <c r="G309" s="62" t="s">
        <v>865</v>
      </c>
      <c r="H309" s="28"/>
    </row>
    <row r="310" spans="1:8" ht="15" thickTop="1">
      <c r="A310" s="28" t="s">
        <v>1287</v>
      </c>
      <c r="B310" s="28"/>
      <c r="C310" s="28"/>
      <c r="D310" s="59" t="s">
        <v>1677</v>
      </c>
      <c r="E310" s="66"/>
      <c r="F310" s="66"/>
      <c r="G310" s="19"/>
      <c r="H310" s="28"/>
    </row>
    <row r="311" spans="1:8">
      <c r="A311" s="28" t="s">
        <v>1288</v>
      </c>
      <c r="B311" s="28"/>
      <c r="C311" s="28"/>
      <c r="D311" s="72" t="s">
        <v>1678</v>
      </c>
      <c r="E311" s="58"/>
      <c r="F311" s="58"/>
      <c r="G311" s="19"/>
      <c r="H311" s="28"/>
    </row>
    <row r="312" spans="1:8">
      <c r="A312" s="28" t="s">
        <v>1289</v>
      </c>
      <c r="B312" s="28"/>
      <c r="C312" s="28"/>
      <c r="D312" s="73" t="s">
        <v>1679</v>
      </c>
      <c r="E312" s="61"/>
      <c r="F312" s="61"/>
      <c r="G312" s="19"/>
      <c r="H312" s="28"/>
    </row>
    <row r="313" spans="1:8" ht="27">
      <c r="A313" s="28" t="s">
        <v>1290</v>
      </c>
      <c r="B313" s="28"/>
      <c r="C313" s="28"/>
      <c r="D313" s="73" t="s">
        <v>1680</v>
      </c>
      <c r="E313" s="61"/>
      <c r="F313" s="61"/>
      <c r="G313" s="19"/>
      <c r="H313" s="28"/>
    </row>
    <row r="314" spans="1:8">
      <c r="A314" s="28" t="s">
        <v>1291</v>
      </c>
      <c r="B314" s="28"/>
      <c r="C314" s="28"/>
      <c r="D314" s="73" t="s">
        <v>1681</v>
      </c>
      <c r="E314" s="61"/>
      <c r="F314" s="61"/>
      <c r="G314" s="19"/>
      <c r="H314" s="28"/>
    </row>
    <row r="315" spans="1:8">
      <c r="A315" s="28" t="s">
        <v>1292</v>
      </c>
      <c r="B315" s="28"/>
      <c r="C315" s="28"/>
      <c r="D315" s="73" t="s">
        <v>1682</v>
      </c>
      <c r="E315" s="61"/>
      <c r="F315" s="61"/>
      <c r="G315" s="19"/>
      <c r="H315" s="28"/>
    </row>
    <row r="316" spans="1:8">
      <c r="A316" s="28" t="s">
        <v>1293</v>
      </c>
      <c r="B316" s="28"/>
      <c r="C316" s="28"/>
      <c r="D316" s="73" t="s">
        <v>1683</v>
      </c>
      <c r="E316" s="61"/>
      <c r="F316" s="61"/>
      <c r="G316" s="19"/>
      <c r="H316" s="28"/>
    </row>
    <row r="317" spans="1:8" ht="27">
      <c r="A317" s="28" t="s">
        <v>1294</v>
      </c>
      <c r="B317" s="28"/>
      <c r="C317" s="28"/>
      <c r="D317" s="73" t="s">
        <v>1684</v>
      </c>
      <c r="E317" s="61"/>
      <c r="F317" s="61"/>
      <c r="G317" s="19"/>
      <c r="H317" s="28"/>
    </row>
    <row r="318" spans="1:8">
      <c r="A318" s="28" t="s">
        <v>1295</v>
      </c>
      <c r="B318" s="28"/>
      <c r="C318" s="28"/>
      <c r="D318" s="73" t="s">
        <v>1685</v>
      </c>
      <c r="E318" s="61"/>
      <c r="F318" s="61"/>
      <c r="G318" s="19"/>
      <c r="H318" s="28"/>
    </row>
    <row r="319" spans="1:8">
      <c r="A319" s="28" t="s">
        <v>1296</v>
      </c>
      <c r="B319" s="28"/>
      <c r="C319" s="28"/>
      <c r="D319" s="75" t="s">
        <v>1686</v>
      </c>
      <c r="E319" s="71">
        <f>1*E312+1*E313+1*E314+1*E315+1*E316+1*E317+1*E318</f>
        <v>0</v>
      </c>
      <c r="F319" s="71">
        <f>1*F312+1*F313+1*F314+1*F315+1*F316+1*F317+1*F318</f>
        <v>0</v>
      </c>
      <c r="G319" s="19"/>
      <c r="H319" s="28"/>
    </row>
    <row r="320" spans="1:8">
      <c r="A320" s="28" t="s">
        <v>1297</v>
      </c>
      <c r="B320" s="28"/>
      <c r="C320" s="28"/>
      <c r="D320" s="72" t="s">
        <v>1687</v>
      </c>
      <c r="E320" s="58"/>
      <c r="F320" s="58"/>
      <c r="G320" s="19"/>
      <c r="H320" s="28"/>
    </row>
    <row r="321" spans="1:8" ht="27">
      <c r="A321" s="28" t="s">
        <v>1298</v>
      </c>
      <c r="B321" s="28"/>
      <c r="C321" s="28"/>
      <c r="D321" s="77" t="s">
        <v>1688</v>
      </c>
      <c r="E321" s="58"/>
      <c r="F321" s="58"/>
      <c r="G321" s="19"/>
      <c r="H321" s="28"/>
    </row>
    <row r="322" spans="1:8" ht="27">
      <c r="A322" s="28" t="s">
        <v>1299</v>
      </c>
      <c r="B322" s="28"/>
      <c r="C322" s="28"/>
      <c r="D322" s="78" t="s">
        <v>1689</v>
      </c>
      <c r="E322" s="61"/>
      <c r="F322" s="61"/>
      <c r="G322" s="19"/>
      <c r="H322" s="28"/>
    </row>
    <row r="323" spans="1:8">
      <c r="A323" s="28" t="s">
        <v>1300</v>
      </c>
      <c r="B323" s="28"/>
      <c r="C323" s="28"/>
      <c r="D323" s="78" t="s">
        <v>1690</v>
      </c>
      <c r="E323" s="61"/>
      <c r="F323" s="61"/>
      <c r="G323" s="19"/>
      <c r="H323" s="28"/>
    </row>
    <row r="324" spans="1:8">
      <c r="A324" s="28" t="s">
        <v>1301</v>
      </c>
      <c r="B324" s="28"/>
      <c r="C324" s="28"/>
      <c r="D324" s="78" t="s">
        <v>1691</v>
      </c>
      <c r="E324" s="61"/>
      <c r="F324" s="61"/>
      <c r="G324" s="19"/>
      <c r="H324" s="28"/>
    </row>
    <row r="325" spans="1:8" ht="27">
      <c r="A325" s="28" t="s">
        <v>1302</v>
      </c>
      <c r="B325" s="28"/>
      <c r="C325" s="28"/>
      <c r="D325" s="78" t="s">
        <v>1692</v>
      </c>
      <c r="E325" s="61"/>
      <c r="F325" s="61"/>
      <c r="G325" s="19"/>
      <c r="H325" s="28"/>
    </row>
    <row r="326" spans="1:8" ht="27">
      <c r="A326" s="28" t="s">
        <v>1303</v>
      </c>
      <c r="B326" s="28"/>
      <c r="C326" s="28"/>
      <c r="D326" s="78" t="s">
        <v>1693</v>
      </c>
      <c r="E326" s="61"/>
      <c r="F326" s="61"/>
      <c r="G326" s="19"/>
      <c r="H326" s="28"/>
    </row>
    <row r="327" spans="1:8" ht="27">
      <c r="A327" s="28" t="s">
        <v>1304</v>
      </c>
      <c r="B327" s="28"/>
      <c r="C327" s="28"/>
      <c r="D327" s="79" t="s">
        <v>1694</v>
      </c>
      <c r="E327" s="71">
        <f>1*E322+1*E323+1*E324+1*E325+1*E326</f>
        <v>0</v>
      </c>
      <c r="F327" s="71">
        <f>1*F322+1*F323+1*F324+1*F325+1*F326</f>
        <v>0</v>
      </c>
      <c r="G327" s="19"/>
      <c r="H327" s="28"/>
    </row>
    <row r="328" spans="1:8" ht="27">
      <c r="A328" s="28" t="s">
        <v>1305</v>
      </c>
      <c r="B328" s="28"/>
      <c r="C328" s="28"/>
      <c r="D328" s="77" t="s">
        <v>1695</v>
      </c>
      <c r="E328" s="58"/>
      <c r="F328" s="58"/>
      <c r="G328" s="19"/>
      <c r="H328" s="28"/>
    </row>
    <row r="329" spans="1:8" ht="27">
      <c r="A329" s="28" t="s">
        <v>1306</v>
      </c>
      <c r="B329" s="28"/>
      <c r="C329" s="28"/>
      <c r="D329" s="78" t="s">
        <v>1696</v>
      </c>
      <c r="E329" s="61"/>
      <c r="F329" s="61"/>
      <c r="G329" s="19"/>
      <c r="H329" s="28"/>
    </row>
    <row r="330" spans="1:8">
      <c r="A330" s="28" t="s">
        <v>1307</v>
      </c>
      <c r="B330" s="28"/>
      <c r="C330" s="28"/>
      <c r="D330" s="78" t="s">
        <v>1697</v>
      </c>
      <c r="E330" s="61"/>
      <c r="F330" s="61"/>
      <c r="G330" s="19"/>
      <c r="H330" s="28"/>
    </row>
    <row r="331" spans="1:8" ht="27">
      <c r="A331" s="28" t="s">
        <v>1308</v>
      </c>
      <c r="B331" s="28"/>
      <c r="C331" s="28"/>
      <c r="D331" s="78" t="s">
        <v>1698</v>
      </c>
      <c r="E331" s="61"/>
      <c r="F331" s="61"/>
      <c r="G331" s="19"/>
      <c r="H331" s="28"/>
    </row>
    <row r="332" spans="1:8" ht="27">
      <c r="A332" s="28" t="s">
        <v>1309</v>
      </c>
      <c r="B332" s="28"/>
      <c r="C332" s="28"/>
      <c r="D332" s="79" t="s">
        <v>1699</v>
      </c>
      <c r="E332" s="71">
        <f>1*E329+1*E330+1*E331</f>
        <v>0</v>
      </c>
      <c r="F332" s="71">
        <f>1*F329+1*F330+1*F331</f>
        <v>0</v>
      </c>
      <c r="G332" s="19"/>
      <c r="H332" s="28"/>
    </row>
    <row r="333" spans="1:8">
      <c r="A333" s="28" t="s">
        <v>1310</v>
      </c>
      <c r="B333" s="28"/>
      <c r="C333" s="28"/>
      <c r="D333" s="77" t="s">
        <v>1700</v>
      </c>
      <c r="E333" s="58"/>
      <c r="F333" s="58"/>
      <c r="G333" s="19"/>
      <c r="H333" s="28"/>
    </row>
    <row r="334" spans="1:8">
      <c r="A334" s="28" t="s">
        <v>1311</v>
      </c>
      <c r="B334" s="28"/>
      <c r="C334" s="28"/>
      <c r="D334" s="78" t="s">
        <v>1701</v>
      </c>
      <c r="E334" s="61"/>
      <c r="F334" s="61"/>
      <c r="G334" s="19"/>
      <c r="H334" s="28"/>
    </row>
    <row r="335" spans="1:8">
      <c r="A335" s="28" t="s">
        <v>1312</v>
      </c>
      <c r="B335" s="28"/>
      <c r="C335" s="28"/>
      <c r="D335" s="78" t="s">
        <v>1702</v>
      </c>
      <c r="E335" s="61"/>
      <c r="F335" s="61"/>
      <c r="G335" s="19"/>
      <c r="H335" s="28"/>
    </row>
    <row r="336" spans="1:8">
      <c r="A336" s="28" t="s">
        <v>1313</v>
      </c>
      <c r="B336" s="28"/>
      <c r="C336" s="28"/>
      <c r="D336" s="78" t="s">
        <v>1703</v>
      </c>
      <c r="E336" s="61"/>
      <c r="F336" s="61"/>
      <c r="G336" s="19"/>
      <c r="H336" s="28"/>
    </row>
    <row r="337" spans="1:8">
      <c r="A337" s="28" t="s">
        <v>1314</v>
      </c>
      <c r="B337" s="28"/>
      <c r="C337" s="28"/>
      <c r="D337" s="78" t="s">
        <v>1579</v>
      </c>
      <c r="E337" s="61"/>
      <c r="F337" s="61"/>
      <c r="G337" s="19"/>
      <c r="H337" s="28"/>
    </row>
    <row r="338" spans="1:8" ht="27">
      <c r="A338" s="28" t="s">
        <v>1315</v>
      </c>
      <c r="B338" s="28"/>
      <c r="C338" s="28"/>
      <c r="D338" s="78" t="s">
        <v>1704</v>
      </c>
      <c r="E338" s="61"/>
      <c r="F338" s="61"/>
      <c r="G338" s="19"/>
      <c r="H338" s="28"/>
    </row>
    <row r="339" spans="1:8" ht="27">
      <c r="A339" s="28" t="s">
        <v>1316</v>
      </c>
      <c r="B339" s="28"/>
      <c r="C339" s="28"/>
      <c r="D339" s="79" t="s">
        <v>1705</v>
      </c>
      <c r="E339" s="71">
        <f>1*E334+1*E335+1*E336+1*E337+1*E338</f>
        <v>0</v>
      </c>
      <c r="F339" s="71">
        <f>1*F334+1*F335+1*F336+1*F337+1*F338</f>
        <v>0</v>
      </c>
      <c r="G339" s="19"/>
      <c r="H339" s="28"/>
    </row>
    <row r="340" spans="1:8">
      <c r="A340" s="28" t="s">
        <v>1317</v>
      </c>
      <c r="B340" s="28"/>
      <c r="C340" s="28"/>
      <c r="D340" s="75" t="s">
        <v>1687</v>
      </c>
      <c r="E340" s="71">
        <f>1*E327+1*E332+1*E339</f>
        <v>0</v>
      </c>
      <c r="F340" s="71">
        <f>1*F327+1*F332+1*F339</f>
        <v>0</v>
      </c>
      <c r="G340" s="19"/>
      <c r="H340" s="28"/>
    </row>
    <row r="341" spans="1:8" ht="27.5" thickBot="1">
      <c r="A341" s="28" t="s">
        <v>1318</v>
      </c>
      <c r="B341" s="28"/>
      <c r="C341" s="28"/>
      <c r="D341" s="64" t="s">
        <v>1775</v>
      </c>
      <c r="E341" s="65">
        <f>1*E319+1*E340</f>
        <v>0</v>
      </c>
      <c r="F341" s="65">
        <f>1*F319+1*F340</f>
        <v>0</v>
      </c>
      <c r="G341" s="62" t="s">
        <v>865</v>
      </c>
      <c r="H341" s="28"/>
    </row>
    <row r="342" spans="1:8" ht="27.5" thickTop="1">
      <c r="A342" s="28" t="s">
        <v>1319</v>
      </c>
      <c r="B342" s="28"/>
      <c r="C342" s="28"/>
      <c r="D342" s="59" t="s">
        <v>1706</v>
      </c>
      <c r="E342" s="66"/>
      <c r="F342" s="66"/>
      <c r="G342" s="19"/>
      <c r="H342" s="28"/>
    </row>
    <row r="343" spans="1:8" ht="27">
      <c r="A343" s="28" t="s">
        <v>1320</v>
      </c>
      <c r="B343" s="28"/>
      <c r="C343" s="28"/>
      <c r="D343" s="72" t="s">
        <v>1550</v>
      </c>
      <c r="E343" s="58"/>
      <c r="F343" s="58"/>
      <c r="G343" s="19"/>
      <c r="H343" s="28"/>
    </row>
    <row r="344" spans="1:8">
      <c r="A344" s="28" t="s">
        <v>1321</v>
      </c>
      <c r="B344" s="28"/>
      <c r="C344" s="28"/>
      <c r="D344" s="73" t="s">
        <v>1551</v>
      </c>
      <c r="E344" s="61"/>
      <c r="F344" s="61"/>
      <c r="G344" s="19"/>
      <c r="H344" s="28"/>
    </row>
    <row r="345" spans="1:8">
      <c r="A345" s="28" t="s">
        <v>1322</v>
      </c>
      <c r="B345" s="28"/>
      <c r="C345" s="28"/>
      <c r="D345" s="73" t="s">
        <v>1552</v>
      </c>
      <c r="E345" s="61"/>
      <c r="F345" s="61"/>
      <c r="G345" s="19"/>
      <c r="H345" s="28"/>
    </row>
    <row r="346" spans="1:8">
      <c r="A346" s="28" t="s">
        <v>1323</v>
      </c>
      <c r="B346" s="28"/>
      <c r="C346" s="28"/>
      <c r="D346" s="73" t="s">
        <v>1553</v>
      </c>
      <c r="E346" s="61"/>
      <c r="F346" s="61"/>
      <c r="G346" s="19"/>
      <c r="H346" s="28"/>
    </row>
    <row r="347" spans="1:8">
      <c r="A347" s="28" t="s">
        <v>1324</v>
      </c>
      <c r="B347" s="28"/>
      <c r="C347" s="28"/>
      <c r="D347" s="73" t="s">
        <v>1554</v>
      </c>
      <c r="E347" s="61"/>
      <c r="F347" s="61"/>
      <c r="G347" s="19"/>
      <c r="H347" s="28"/>
    </row>
    <row r="348" spans="1:8" ht="27">
      <c r="A348" s="28" t="s">
        <v>1325</v>
      </c>
      <c r="B348" s="28"/>
      <c r="C348" s="28"/>
      <c r="D348" s="75" t="s">
        <v>1555</v>
      </c>
      <c r="E348" s="71">
        <f>1*E344+1*E345+1*E346+1*E347</f>
        <v>0</v>
      </c>
      <c r="F348" s="71">
        <f>1*F344+1*F345+1*F346+1*F347</f>
        <v>0</v>
      </c>
      <c r="G348" s="19"/>
      <c r="H348" s="28"/>
    </row>
    <row r="349" spans="1:8" ht="27">
      <c r="A349" s="28" t="s">
        <v>1326</v>
      </c>
      <c r="B349" s="28"/>
      <c r="C349" s="28"/>
      <c r="D349" s="72" t="s">
        <v>1707</v>
      </c>
      <c r="E349" s="58"/>
      <c r="F349" s="58"/>
      <c r="G349" s="19"/>
      <c r="H349" s="28"/>
    </row>
    <row r="350" spans="1:8">
      <c r="A350" s="28" t="s">
        <v>1327</v>
      </c>
      <c r="B350" s="28"/>
      <c r="C350" s="28"/>
      <c r="D350" s="73" t="s">
        <v>1551</v>
      </c>
      <c r="E350" s="61"/>
      <c r="F350" s="61"/>
      <c r="G350" s="19"/>
      <c r="H350" s="28"/>
    </row>
    <row r="351" spans="1:8">
      <c r="A351" s="28" t="s">
        <v>1328</v>
      </c>
      <c r="B351" s="28"/>
      <c r="C351" s="28"/>
      <c r="D351" s="73" t="s">
        <v>1552</v>
      </c>
      <c r="E351" s="61"/>
      <c r="F351" s="61"/>
      <c r="G351" s="19"/>
      <c r="H351" s="28"/>
    </row>
    <row r="352" spans="1:8">
      <c r="A352" s="28" t="s">
        <v>1329</v>
      </c>
      <c r="B352" s="28"/>
      <c r="C352" s="28"/>
      <c r="D352" s="73" t="s">
        <v>1553</v>
      </c>
      <c r="E352" s="61"/>
      <c r="F352" s="61"/>
      <c r="G352" s="19"/>
      <c r="H352" s="28"/>
    </row>
    <row r="353" spans="1:8">
      <c r="A353" s="28" t="s">
        <v>1330</v>
      </c>
      <c r="B353" s="28"/>
      <c r="C353" s="28"/>
      <c r="D353" s="73" t="s">
        <v>1554</v>
      </c>
      <c r="E353" s="61"/>
      <c r="F353" s="61"/>
      <c r="G353" s="19"/>
      <c r="H353" s="28"/>
    </row>
    <row r="354" spans="1:8" ht="27">
      <c r="A354" s="28" t="s">
        <v>1331</v>
      </c>
      <c r="B354" s="28"/>
      <c r="C354" s="28"/>
      <c r="D354" s="75" t="s">
        <v>1708</v>
      </c>
      <c r="E354" s="71">
        <f>1*E350+1*E351+1*E352+1*E353</f>
        <v>0</v>
      </c>
      <c r="F354" s="71">
        <f>1*F350+1*F351+1*F352+1*F353</f>
        <v>0</v>
      </c>
      <c r="G354" s="19"/>
      <c r="H354" s="28"/>
    </row>
    <row r="355" spans="1:8" ht="27">
      <c r="A355" s="28" t="s">
        <v>1332</v>
      </c>
      <c r="B355" s="28"/>
      <c r="C355" s="28"/>
      <c r="D355" s="63" t="s">
        <v>1709</v>
      </c>
      <c r="E355" s="61"/>
      <c r="F355" s="61"/>
      <c r="G355" s="19"/>
      <c r="H355" s="28"/>
    </row>
    <row r="356" spans="1:8" ht="27.5" thickBot="1">
      <c r="A356" s="28" t="s">
        <v>1333</v>
      </c>
      <c r="B356" s="28"/>
      <c r="C356" s="28"/>
      <c r="D356" s="64" t="s">
        <v>1776</v>
      </c>
      <c r="E356" s="65">
        <f>1*E348+1*E354+1*E355</f>
        <v>0</v>
      </c>
      <c r="F356" s="65">
        <f>1*F348+1*F354+1*F355</f>
        <v>0</v>
      </c>
      <c r="G356" s="62" t="s">
        <v>865</v>
      </c>
      <c r="H356" s="28"/>
    </row>
    <row r="357" spans="1:8" ht="15" thickTop="1">
      <c r="A357" s="28" t="s">
        <v>1334</v>
      </c>
      <c r="B357" s="28"/>
      <c r="C357" s="28"/>
      <c r="D357" s="59" t="s">
        <v>1710</v>
      </c>
      <c r="E357" s="66"/>
      <c r="F357" s="66"/>
      <c r="G357" s="19"/>
      <c r="H357" s="28"/>
    </row>
    <row r="358" spans="1:8" ht="40.5">
      <c r="A358" s="28" t="s">
        <v>1335</v>
      </c>
      <c r="B358" s="28"/>
      <c r="C358" s="28"/>
      <c r="D358" s="72" t="s">
        <v>1711</v>
      </c>
      <c r="E358" s="58"/>
      <c r="F358" s="58"/>
      <c r="G358" s="19"/>
      <c r="H358" s="28"/>
    </row>
    <row r="359" spans="1:8">
      <c r="A359" s="28" t="s">
        <v>1336</v>
      </c>
      <c r="B359" s="28"/>
      <c r="C359" s="28"/>
      <c r="D359" s="73" t="s">
        <v>1712</v>
      </c>
      <c r="E359" s="61"/>
      <c r="F359" s="61"/>
      <c r="G359" s="19"/>
      <c r="H359" s="28"/>
    </row>
    <row r="360" spans="1:8">
      <c r="A360" s="28" t="s">
        <v>1337</v>
      </c>
      <c r="B360" s="28"/>
      <c r="C360" s="28"/>
      <c r="D360" s="73" t="s">
        <v>1713</v>
      </c>
      <c r="E360" s="61"/>
      <c r="F360" s="61"/>
      <c r="G360" s="19"/>
      <c r="H360" s="28"/>
    </row>
    <row r="361" spans="1:8">
      <c r="A361" s="28" t="s">
        <v>1338</v>
      </c>
      <c r="B361" s="28"/>
      <c r="C361" s="28"/>
      <c r="D361" s="73" t="s">
        <v>1714</v>
      </c>
      <c r="E361" s="61"/>
      <c r="F361" s="61"/>
      <c r="G361" s="19"/>
      <c r="H361" s="28"/>
    </row>
    <row r="362" spans="1:8">
      <c r="A362" s="28" t="s">
        <v>1339</v>
      </c>
      <c r="B362" s="28"/>
      <c r="C362" s="28"/>
      <c r="D362" s="73" t="s">
        <v>1635</v>
      </c>
      <c r="E362" s="61"/>
      <c r="F362" s="61"/>
      <c r="G362" s="19"/>
      <c r="H362" s="28"/>
    </row>
    <row r="363" spans="1:8">
      <c r="A363" s="28" t="s">
        <v>1340</v>
      </c>
      <c r="B363" s="28"/>
      <c r="C363" s="28"/>
      <c r="D363" s="73" t="s">
        <v>1636</v>
      </c>
      <c r="E363" s="61"/>
      <c r="F363" s="61"/>
      <c r="G363" s="19"/>
      <c r="H363" s="28"/>
    </row>
    <row r="364" spans="1:8" ht="27">
      <c r="A364" s="28" t="s">
        <v>1341</v>
      </c>
      <c r="B364" s="28"/>
      <c r="C364" s="28"/>
      <c r="D364" s="73" t="s">
        <v>1637</v>
      </c>
      <c r="E364" s="61"/>
      <c r="F364" s="61"/>
      <c r="G364" s="19"/>
      <c r="H364" s="28"/>
    </row>
    <row r="365" spans="1:8">
      <c r="A365" s="28" t="s">
        <v>1342</v>
      </c>
      <c r="B365" s="28"/>
      <c r="C365" s="28"/>
      <c r="D365" s="73" t="s">
        <v>1638</v>
      </c>
      <c r="E365" s="61"/>
      <c r="F365" s="61"/>
      <c r="G365" s="19"/>
      <c r="H365" s="28"/>
    </row>
    <row r="366" spans="1:8">
      <c r="A366" s="28" t="s">
        <v>1343</v>
      </c>
      <c r="B366" s="28"/>
      <c r="C366" s="28"/>
      <c r="D366" s="73" t="s">
        <v>1639</v>
      </c>
      <c r="E366" s="61"/>
      <c r="F366" s="61"/>
      <c r="G366" s="19"/>
      <c r="H366" s="28"/>
    </row>
    <row r="367" spans="1:8">
      <c r="A367" s="28" t="s">
        <v>1344</v>
      </c>
      <c r="B367" s="28"/>
      <c r="C367" s="28"/>
      <c r="D367" s="73" t="s">
        <v>1640</v>
      </c>
      <c r="E367" s="61"/>
      <c r="F367" s="61"/>
      <c r="G367" s="19"/>
      <c r="H367" s="28"/>
    </row>
    <row r="368" spans="1:8">
      <c r="A368" s="28" t="s">
        <v>1345</v>
      </c>
      <c r="B368" s="28"/>
      <c r="C368" s="28"/>
      <c r="D368" s="73" t="s">
        <v>1715</v>
      </c>
      <c r="E368" s="61"/>
      <c r="F368" s="61"/>
      <c r="G368" s="19"/>
      <c r="H368" s="28"/>
    </row>
    <row r="369" spans="1:8" ht="54">
      <c r="A369" s="28" t="s">
        <v>1346</v>
      </c>
      <c r="B369" s="28"/>
      <c r="C369" s="28"/>
      <c r="D369" s="75" t="s">
        <v>1716</v>
      </c>
      <c r="E369" s="71">
        <f>1*E359+1*E360+1*E361+1*E362+1*E363+1*E364+1*E365+1*E366+1*E367+1*E368</f>
        <v>0</v>
      </c>
      <c r="F369" s="71">
        <f>1*F359+1*F360+1*F361+1*F362+1*F363+1*F364+1*F365+1*F366+1*F367+1*F368</f>
        <v>0</v>
      </c>
      <c r="G369" s="19"/>
      <c r="H369" s="28"/>
    </row>
    <row r="370" spans="1:8" ht="54">
      <c r="A370" s="28" t="s">
        <v>1347</v>
      </c>
      <c r="B370" s="28"/>
      <c r="C370" s="28"/>
      <c r="D370" s="72" t="s">
        <v>1717</v>
      </c>
      <c r="E370" s="58"/>
      <c r="F370" s="58"/>
      <c r="G370" s="19"/>
      <c r="H370" s="28"/>
    </row>
    <row r="371" spans="1:8">
      <c r="A371" s="28" t="s">
        <v>1348</v>
      </c>
      <c r="B371" s="28"/>
      <c r="C371" s="28"/>
      <c r="D371" s="73" t="s">
        <v>1718</v>
      </c>
      <c r="E371" s="61"/>
      <c r="F371" s="61"/>
      <c r="G371" s="19"/>
      <c r="H371" s="28"/>
    </row>
    <row r="372" spans="1:8">
      <c r="A372" s="28" t="s">
        <v>1349</v>
      </c>
      <c r="B372" s="28"/>
      <c r="C372" s="28"/>
      <c r="D372" s="73" t="s">
        <v>1635</v>
      </c>
      <c r="E372" s="61"/>
      <c r="F372" s="61"/>
      <c r="G372" s="19"/>
      <c r="H372" s="28"/>
    </row>
    <row r="373" spans="1:8" ht="27">
      <c r="A373" s="28" t="s">
        <v>1350</v>
      </c>
      <c r="B373" s="28"/>
      <c r="C373" s="28"/>
      <c r="D373" s="73" t="s">
        <v>1719</v>
      </c>
      <c r="E373" s="61"/>
      <c r="F373" s="61"/>
      <c r="G373" s="19"/>
      <c r="H373" s="28"/>
    </row>
    <row r="374" spans="1:8">
      <c r="A374" s="28" t="s">
        <v>1351</v>
      </c>
      <c r="B374" s="28"/>
      <c r="C374" s="28"/>
      <c r="D374" s="73" t="s">
        <v>1636</v>
      </c>
      <c r="E374" s="61"/>
      <c r="F374" s="61"/>
      <c r="G374" s="19"/>
      <c r="H374" s="28"/>
    </row>
    <row r="375" spans="1:8" ht="27">
      <c r="A375" s="28" t="s">
        <v>1352</v>
      </c>
      <c r="B375" s="28"/>
      <c r="C375" s="28"/>
      <c r="D375" s="73" t="s">
        <v>1637</v>
      </c>
      <c r="E375" s="61"/>
      <c r="F375" s="61"/>
      <c r="G375" s="19"/>
      <c r="H375" s="28"/>
    </row>
    <row r="376" spans="1:8">
      <c r="A376" s="28" t="s">
        <v>1353</v>
      </c>
      <c r="B376" s="28"/>
      <c r="C376" s="28"/>
      <c r="D376" s="73" t="s">
        <v>1638</v>
      </c>
      <c r="E376" s="61"/>
      <c r="F376" s="61"/>
      <c r="G376" s="19"/>
      <c r="H376" s="28"/>
    </row>
    <row r="377" spans="1:8">
      <c r="A377" s="28" t="s">
        <v>1354</v>
      </c>
      <c r="B377" s="28"/>
      <c r="C377" s="28"/>
      <c r="D377" s="73" t="s">
        <v>1639</v>
      </c>
      <c r="E377" s="61"/>
      <c r="F377" s="61"/>
      <c r="G377" s="19"/>
      <c r="H377" s="28"/>
    </row>
    <row r="378" spans="1:8">
      <c r="A378" s="28" t="s">
        <v>1355</v>
      </c>
      <c r="B378" s="28"/>
      <c r="C378" s="28"/>
      <c r="D378" s="73" t="s">
        <v>1640</v>
      </c>
      <c r="E378" s="61"/>
      <c r="F378" s="61"/>
      <c r="G378" s="19"/>
      <c r="H378" s="28"/>
    </row>
    <row r="379" spans="1:8">
      <c r="A379" s="28" t="s">
        <v>1356</v>
      </c>
      <c r="B379" s="28"/>
      <c r="C379" s="28"/>
      <c r="D379" s="73" t="s">
        <v>1645</v>
      </c>
      <c r="E379" s="61"/>
      <c r="F379" s="61"/>
      <c r="G379" s="19"/>
      <c r="H379" s="28"/>
    </row>
    <row r="380" spans="1:8" ht="54">
      <c r="A380" s="28" t="s">
        <v>1357</v>
      </c>
      <c r="B380" s="28"/>
      <c r="C380" s="28"/>
      <c r="D380" s="75" t="s">
        <v>1720</v>
      </c>
      <c r="E380" s="71">
        <f>1*E371+1*E372+1*E373+1*E374+1*E375+1*E376+1*E377+1*E378+1*E379</f>
        <v>0</v>
      </c>
      <c r="F380" s="71">
        <f>1*F371+1*F372+1*F373+1*F374+1*F375+1*F376+1*F377+1*F378+1*F379</f>
        <v>0</v>
      </c>
      <c r="G380" s="19"/>
      <c r="H380" s="28"/>
    </row>
    <row r="381" spans="1:8" ht="27">
      <c r="A381" s="28" t="s">
        <v>1358</v>
      </c>
      <c r="B381" s="28"/>
      <c r="C381" s="28"/>
      <c r="D381" s="72" t="s">
        <v>1721</v>
      </c>
      <c r="E381" s="58"/>
      <c r="F381" s="58"/>
      <c r="G381" s="19"/>
      <c r="H381" s="28"/>
    </row>
    <row r="382" spans="1:8">
      <c r="A382" s="28" t="s">
        <v>1359</v>
      </c>
      <c r="B382" s="28"/>
      <c r="C382" s="28"/>
      <c r="D382" s="73" t="s">
        <v>1648</v>
      </c>
      <c r="E382" s="61"/>
      <c r="F382" s="61"/>
      <c r="G382" s="19"/>
      <c r="H382" s="28"/>
    </row>
    <row r="383" spans="1:8">
      <c r="A383" s="28" t="s">
        <v>1360</v>
      </c>
      <c r="B383" s="28"/>
      <c r="C383" s="28"/>
      <c r="D383" s="73" t="s">
        <v>1639</v>
      </c>
      <c r="E383" s="61"/>
      <c r="F383" s="61"/>
      <c r="G383" s="19"/>
      <c r="H383" s="28"/>
    </row>
    <row r="384" spans="1:8">
      <c r="A384" s="28" t="s">
        <v>1361</v>
      </c>
      <c r="B384" s="28"/>
      <c r="C384" s="28"/>
      <c r="D384" s="73" t="s">
        <v>1649</v>
      </c>
      <c r="E384" s="61"/>
      <c r="F384" s="61"/>
      <c r="G384" s="19"/>
      <c r="H384" s="28"/>
    </row>
    <row r="385" spans="1:8">
      <c r="A385" s="28" t="s">
        <v>1362</v>
      </c>
      <c r="B385" s="28"/>
      <c r="C385" s="28"/>
      <c r="D385" s="73" t="s">
        <v>1650</v>
      </c>
      <c r="E385" s="61"/>
      <c r="F385" s="61"/>
      <c r="G385" s="19"/>
      <c r="H385" s="28"/>
    </row>
    <row r="386" spans="1:8">
      <c r="A386" s="28" t="s">
        <v>1363</v>
      </c>
      <c r="B386" s="28"/>
      <c r="C386" s="28"/>
      <c r="D386" s="73" t="s">
        <v>1651</v>
      </c>
      <c r="E386" s="61"/>
      <c r="F386" s="61"/>
      <c r="G386" s="19"/>
      <c r="H386" s="28"/>
    </row>
    <row r="387" spans="1:8" ht="27">
      <c r="A387" s="28" t="s">
        <v>1364</v>
      </c>
      <c r="B387" s="28"/>
      <c r="C387" s="28"/>
      <c r="D387" s="75" t="s">
        <v>1722</v>
      </c>
      <c r="E387" s="71">
        <f>1*E382+1*E383+1*E384+1*E385+1*E386</f>
        <v>0</v>
      </c>
      <c r="F387" s="71">
        <f>1*F382+1*F383+1*F384+1*F385+1*F386</f>
        <v>0</v>
      </c>
      <c r="G387" s="19"/>
      <c r="H387" s="28"/>
    </row>
    <row r="388" spans="1:8" ht="27">
      <c r="A388" s="28" t="s">
        <v>1365</v>
      </c>
      <c r="B388" s="28"/>
      <c r="C388" s="28"/>
      <c r="D388" s="72" t="s">
        <v>1723</v>
      </c>
      <c r="E388" s="58"/>
      <c r="F388" s="58"/>
      <c r="G388" s="19"/>
      <c r="H388" s="28"/>
    </row>
    <row r="389" spans="1:8">
      <c r="A389" s="28" t="s">
        <v>1366</v>
      </c>
      <c r="B389" s="28"/>
      <c r="C389" s="28"/>
      <c r="D389" s="73" t="s">
        <v>1648</v>
      </c>
      <c r="E389" s="61"/>
      <c r="F389" s="61"/>
      <c r="G389" s="19"/>
      <c r="H389" s="28"/>
    </row>
    <row r="390" spans="1:8">
      <c r="A390" s="28" t="s">
        <v>1367</v>
      </c>
      <c r="B390" s="28"/>
      <c r="C390" s="28"/>
      <c r="D390" s="73" t="s">
        <v>1639</v>
      </c>
      <c r="E390" s="61"/>
      <c r="F390" s="61"/>
      <c r="G390" s="19"/>
      <c r="H390" s="28"/>
    </row>
    <row r="391" spans="1:8">
      <c r="A391" s="28" t="s">
        <v>1368</v>
      </c>
      <c r="B391" s="28"/>
      <c r="C391" s="28"/>
      <c r="D391" s="73" t="s">
        <v>1649</v>
      </c>
      <c r="E391" s="61"/>
      <c r="F391" s="61"/>
      <c r="G391" s="19"/>
      <c r="H391" s="28"/>
    </row>
    <row r="392" spans="1:8">
      <c r="A392" s="28" t="s">
        <v>1369</v>
      </c>
      <c r="B392" s="28"/>
      <c r="C392" s="28"/>
      <c r="D392" s="73" t="s">
        <v>1650</v>
      </c>
      <c r="E392" s="61"/>
      <c r="F392" s="61"/>
      <c r="G392" s="19"/>
      <c r="H392" s="28"/>
    </row>
    <row r="393" spans="1:8">
      <c r="A393" s="28" t="s">
        <v>1370</v>
      </c>
      <c r="B393" s="28"/>
      <c r="C393" s="28"/>
      <c r="D393" s="73" t="s">
        <v>1651</v>
      </c>
      <c r="E393" s="61"/>
      <c r="F393" s="61"/>
      <c r="G393" s="19"/>
      <c r="H393" s="28"/>
    </row>
    <row r="394" spans="1:8" ht="27">
      <c r="A394" s="28" t="s">
        <v>1371</v>
      </c>
      <c r="B394" s="28"/>
      <c r="C394" s="28"/>
      <c r="D394" s="75" t="s">
        <v>1724</v>
      </c>
      <c r="E394" s="71">
        <f>1*E389+1*E390+1*E391+1*E392+1*E393</f>
        <v>0</v>
      </c>
      <c r="F394" s="71">
        <f>1*F389+1*F390+1*F391+1*F392+1*F393</f>
        <v>0</v>
      </c>
      <c r="G394" s="19"/>
      <c r="H394" s="28"/>
    </row>
    <row r="395" spans="1:8">
      <c r="A395" s="28" t="s">
        <v>1372</v>
      </c>
      <c r="B395" s="28"/>
      <c r="C395" s="28"/>
      <c r="D395" s="72" t="s">
        <v>1725</v>
      </c>
      <c r="E395" s="58"/>
      <c r="F395" s="58"/>
      <c r="G395" s="19"/>
      <c r="H395" s="28"/>
    </row>
    <row r="396" spans="1:8">
      <c r="A396" s="28" t="s">
        <v>1373</v>
      </c>
      <c r="B396" s="28"/>
      <c r="C396" s="28"/>
      <c r="D396" s="73" t="s">
        <v>1726</v>
      </c>
      <c r="E396" s="61"/>
      <c r="F396" s="61"/>
      <c r="G396" s="19"/>
      <c r="H396" s="28"/>
    </row>
    <row r="397" spans="1:8">
      <c r="A397" s="28" t="s">
        <v>1374</v>
      </c>
      <c r="B397" s="28"/>
      <c r="C397" s="28"/>
      <c r="D397" s="73" t="s">
        <v>1656</v>
      </c>
      <c r="E397" s="61"/>
      <c r="F397" s="61"/>
      <c r="G397" s="19"/>
      <c r="H397" s="28"/>
    </row>
    <row r="398" spans="1:8">
      <c r="A398" s="28" t="s">
        <v>1375</v>
      </c>
      <c r="B398" s="28"/>
      <c r="C398" s="28"/>
      <c r="D398" s="73" t="s">
        <v>1657</v>
      </c>
      <c r="E398" s="61"/>
      <c r="F398" s="61"/>
      <c r="G398" s="19"/>
      <c r="H398" s="28"/>
    </row>
    <row r="399" spans="1:8">
      <c r="A399" s="28" t="s">
        <v>1376</v>
      </c>
      <c r="B399" s="28"/>
      <c r="C399" s="28"/>
      <c r="D399" s="73" t="s">
        <v>1658</v>
      </c>
      <c r="E399" s="61"/>
      <c r="F399" s="61"/>
      <c r="G399" s="19"/>
      <c r="H399" s="28"/>
    </row>
    <row r="400" spans="1:8">
      <c r="A400" s="28" t="s">
        <v>1377</v>
      </c>
      <c r="B400" s="28"/>
      <c r="C400" s="28"/>
      <c r="D400" s="73" t="s">
        <v>1659</v>
      </c>
      <c r="E400" s="61"/>
      <c r="F400" s="61"/>
      <c r="G400" s="19"/>
      <c r="H400" s="28"/>
    </row>
    <row r="401" spans="1:8">
      <c r="A401" s="28" t="s">
        <v>1378</v>
      </c>
      <c r="B401" s="28"/>
      <c r="C401" s="28"/>
      <c r="D401" s="73" t="s">
        <v>1725</v>
      </c>
      <c r="E401" s="61"/>
      <c r="F401" s="61"/>
      <c r="G401" s="19"/>
      <c r="H401" s="28"/>
    </row>
    <row r="402" spans="1:8">
      <c r="A402" s="28" t="s">
        <v>1379</v>
      </c>
      <c r="B402" s="28"/>
      <c r="C402" s="28"/>
      <c r="D402" s="75" t="s">
        <v>1727</v>
      </c>
      <c r="E402" s="71">
        <f>1*E396+1*E397+1*E398+1*E399+1*E400+1*E401</f>
        <v>0</v>
      </c>
      <c r="F402" s="71">
        <f>1*F396+1*F397+1*F398+1*F399+1*F400+1*F401</f>
        <v>0</v>
      </c>
      <c r="G402" s="19"/>
      <c r="H402" s="28"/>
    </row>
    <row r="403" spans="1:8" ht="15" thickBot="1">
      <c r="A403" s="28" t="s">
        <v>1380</v>
      </c>
      <c r="B403" s="28"/>
      <c r="C403" s="28"/>
      <c r="D403" s="67" t="s">
        <v>1728</v>
      </c>
      <c r="E403" s="65">
        <f>1*E369+1*E380+1*E387+1*E394+1*E402</f>
        <v>0</v>
      </c>
      <c r="F403" s="65">
        <f>1*F369+1*F380+1*F387+1*F394+1*F402</f>
        <v>0</v>
      </c>
      <c r="G403" s="62" t="s">
        <v>865</v>
      </c>
      <c r="H403" s="28"/>
    </row>
    <row r="404" spans="1:8" ht="15" thickTop="1">
      <c r="A404" s="28" t="s">
        <v>1381</v>
      </c>
      <c r="B404" s="28"/>
      <c r="C404" s="28"/>
      <c r="D404" s="59" t="s">
        <v>1729</v>
      </c>
      <c r="E404" s="66"/>
      <c r="F404" s="66"/>
      <c r="G404" s="19"/>
      <c r="H404" s="28"/>
    </row>
    <row r="405" spans="1:8" ht="27">
      <c r="A405" s="28" t="s">
        <v>1382</v>
      </c>
      <c r="B405" s="28"/>
      <c r="C405" s="28"/>
      <c r="D405" s="63" t="s">
        <v>1662</v>
      </c>
      <c r="E405" s="61"/>
      <c r="F405" s="61"/>
      <c r="G405" s="19"/>
      <c r="H405" s="28"/>
    </row>
    <row r="406" spans="1:8">
      <c r="A406" s="28" t="s">
        <v>1383</v>
      </c>
      <c r="B406" s="28"/>
      <c r="C406" s="28"/>
      <c r="D406" s="63" t="s">
        <v>1663</v>
      </c>
      <c r="E406" s="61"/>
      <c r="F406" s="61"/>
      <c r="G406" s="19"/>
      <c r="H406" s="28"/>
    </row>
    <row r="407" spans="1:8">
      <c r="A407" s="28" t="s">
        <v>1384</v>
      </c>
      <c r="B407" s="28"/>
      <c r="C407" s="28"/>
      <c r="D407" s="63" t="s">
        <v>1664</v>
      </c>
      <c r="E407" s="61"/>
      <c r="F407" s="61"/>
      <c r="G407" s="19"/>
      <c r="H407" s="28"/>
    </row>
    <row r="408" spans="1:8">
      <c r="A408" s="28" t="s">
        <v>1385</v>
      </c>
      <c r="B408" s="28"/>
      <c r="C408" s="28"/>
      <c r="D408" s="63" t="s">
        <v>1665</v>
      </c>
      <c r="E408" s="61"/>
      <c r="F408" s="61"/>
      <c r="G408" s="19"/>
      <c r="H408" s="28"/>
    </row>
    <row r="409" spans="1:8">
      <c r="A409" s="28" t="s">
        <v>1386</v>
      </c>
      <c r="B409" s="28"/>
      <c r="C409" s="28"/>
      <c r="D409" s="63" t="s">
        <v>1666</v>
      </c>
      <c r="E409" s="61"/>
      <c r="F409" s="61"/>
      <c r="G409" s="19"/>
      <c r="H409" s="28"/>
    </row>
    <row r="410" spans="1:8">
      <c r="A410" s="28" t="s">
        <v>1387</v>
      </c>
      <c r="B410" s="28"/>
      <c r="C410" s="28"/>
      <c r="D410" s="63" t="s">
        <v>1667</v>
      </c>
      <c r="E410" s="61"/>
      <c r="F410" s="61"/>
      <c r="G410" s="19"/>
      <c r="H410" s="28"/>
    </row>
    <row r="411" spans="1:8">
      <c r="A411" s="28" t="s">
        <v>1388</v>
      </c>
      <c r="B411" s="28"/>
      <c r="C411" s="28"/>
      <c r="D411" s="63" t="s">
        <v>1730</v>
      </c>
      <c r="E411" s="61"/>
      <c r="F411" s="61"/>
      <c r="G411" s="19"/>
      <c r="H411" s="28"/>
    </row>
    <row r="412" spans="1:8" ht="27.5" thickBot="1">
      <c r="A412" s="28" t="s">
        <v>1389</v>
      </c>
      <c r="B412" s="28"/>
      <c r="C412" s="28"/>
      <c r="D412" s="64" t="s">
        <v>1777</v>
      </c>
      <c r="E412" s="65">
        <f>1*E405+1*E406+1*E407+1*E408+1*E409+1*E410+1*E411</f>
        <v>0</v>
      </c>
      <c r="F412" s="65">
        <f>1*F405+1*F406+1*F407+1*F408+1*F409+1*F410+1*F411</f>
        <v>0</v>
      </c>
      <c r="G412" s="62" t="s">
        <v>865</v>
      </c>
      <c r="H412" s="28"/>
    </row>
    <row r="413" spans="1:8" ht="15" thickTop="1">
      <c r="A413" s="28" t="s">
        <v>1390</v>
      </c>
      <c r="B413" s="28"/>
      <c r="C413" s="28"/>
      <c r="D413" s="59" t="s">
        <v>1731</v>
      </c>
      <c r="E413" s="66"/>
      <c r="F413" s="66"/>
      <c r="G413" s="19"/>
      <c r="H413" s="28"/>
    </row>
    <row r="414" spans="1:8">
      <c r="A414" s="28" t="s">
        <v>1391</v>
      </c>
      <c r="B414" s="28"/>
      <c r="C414" s="28"/>
      <c r="D414" s="63" t="s">
        <v>1670</v>
      </c>
      <c r="E414" s="61"/>
      <c r="F414" s="61"/>
      <c r="G414" s="19"/>
      <c r="H414" s="28"/>
    </row>
    <row r="415" spans="1:8">
      <c r="A415" s="28" t="s">
        <v>1392</v>
      </c>
      <c r="B415" s="28"/>
      <c r="C415" s="28"/>
      <c r="D415" s="63" t="s">
        <v>1671</v>
      </c>
      <c r="E415" s="61"/>
      <c r="F415" s="61"/>
      <c r="G415" s="19"/>
      <c r="H415" s="28"/>
    </row>
    <row r="416" spans="1:8">
      <c r="A416" s="28" t="s">
        <v>1393</v>
      </c>
      <c r="B416" s="28"/>
      <c r="C416" s="28"/>
      <c r="D416" s="63" t="s">
        <v>1672</v>
      </c>
      <c r="E416" s="61"/>
      <c r="F416" s="61"/>
      <c r="G416" s="19"/>
      <c r="H416" s="28"/>
    </row>
    <row r="417" spans="1:8">
      <c r="A417" s="28" t="s">
        <v>1394</v>
      </c>
      <c r="B417" s="28"/>
      <c r="C417" s="28"/>
      <c r="D417" s="63" t="s">
        <v>1732</v>
      </c>
      <c r="E417" s="61"/>
      <c r="F417" s="61"/>
      <c r="G417" s="19"/>
      <c r="H417" s="28"/>
    </row>
    <row r="418" spans="1:8">
      <c r="A418" s="28" t="s">
        <v>1395</v>
      </c>
      <c r="B418" s="28"/>
      <c r="C418" s="28"/>
      <c r="D418" s="63" t="s">
        <v>1674</v>
      </c>
      <c r="E418" s="61"/>
      <c r="F418" s="61"/>
      <c r="G418" s="19"/>
      <c r="H418" s="28"/>
    </row>
    <row r="419" spans="1:8" ht="27">
      <c r="A419" s="28" t="s">
        <v>1396</v>
      </c>
      <c r="B419" s="28"/>
      <c r="C419" s="28"/>
      <c r="D419" s="63" t="s">
        <v>1675</v>
      </c>
      <c r="E419" s="61"/>
      <c r="F419" s="61"/>
      <c r="G419" s="19"/>
      <c r="H419" s="28"/>
    </row>
    <row r="420" spans="1:8">
      <c r="A420" s="28" t="s">
        <v>1397</v>
      </c>
      <c r="B420" s="28"/>
      <c r="C420" s="28"/>
      <c r="D420" s="63" t="s">
        <v>1733</v>
      </c>
      <c r="E420" s="61"/>
      <c r="F420" s="61"/>
      <c r="G420" s="19"/>
      <c r="H420" s="28"/>
    </row>
    <row r="421" spans="1:8" ht="15" thickBot="1">
      <c r="A421" s="28" t="s">
        <v>1398</v>
      </c>
      <c r="B421" s="28"/>
      <c r="C421" s="28"/>
      <c r="D421" s="64" t="s">
        <v>1778</v>
      </c>
      <c r="E421" s="65">
        <f>1*E414+1*E415+1*E416+1*E417+1*E418+1*E419+1*E420</f>
        <v>0</v>
      </c>
      <c r="F421" s="65">
        <f>1*F414+1*F415+1*F416+1*F417+1*F418+1*F419+1*F420</f>
        <v>0</v>
      </c>
      <c r="G421" s="62" t="s">
        <v>865</v>
      </c>
      <c r="H421" s="28"/>
    </row>
    <row r="422" spans="1:8" ht="15" thickTop="1">
      <c r="A422" s="28" t="s">
        <v>1399</v>
      </c>
      <c r="B422" s="28"/>
      <c r="C422" s="28"/>
      <c r="D422" s="59" t="s">
        <v>1734</v>
      </c>
      <c r="E422" s="66"/>
      <c r="F422" s="66"/>
      <c r="G422" s="19"/>
      <c r="H422" s="28"/>
    </row>
    <row r="423" spans="1:8">
      <c r="A423" s="28" t="s">
        <v>1400</v>
      </c>
      <c r="B423" s="28"/>
      <c r="C423" s="28"/>
      <c r="D423" s="72" t="s">
        <v>1735</v>
      </c>
      <c r="E423" s="58"/>
      <c r="F423" s="58"/>
      <c r="G423" s="19"/>
      <c r="H423" s="28"/>
    </row>
    <row r="424" spans="1:8">
      <c r="A424" s="28" t="s">
        <v>1401</v>
      </c>
      <c r="B424" s="28"/>
      <c r="C424" s="28"/>
      <c r="D424" s="73" t="s">
        <v>1679</v>
      </c>
      <c r="E424" s="61"/>
      <c r="F424" s="61"/>
      <c r="G424" s="19"/>
      <c r="H424" s="28"/>
    </row>
    <row r="425" spans="1:8" ht="27">
      <c r="A425" s="28" t="s">
        <v>1402</v>
      </c>
      <c r="B425" s="28"/>
      <c r="C425" s="28"/>
      <c r="D425" s="73" t="s">
        <v>1736</v>
      </c>
      <c r="E425" s="61"/>
      <c r="F425" s="61"/>
      <c r="G425" s="19"/>
      <c r="H425" s="28"/>
    </row>
    <row r="426" spans="1:8" ht="27">
      <c r="A426" s="28" t="s">
        <v>1403</v>
      </c>
      <c r="B426" s="28"/>
      <c r="C426" s="28"/>
      <c r="D426" s="73" t="s">
        <v>1680</v>
      </c>
      <c r="E426" s="61"/>
      <c r="F426" s="61"/>
      <c r="G426" s="19"/>
      <c r="H426" s="28"/>
    </row>
    <row r="427" spans="1:8">
      <c r="A427" s="28" t="s">
        <v>1404</v>
      </c>
      <c r="B427" s="28"/>
      <c r="C427" s="28"/>
      <c r="D427" s="73" t="s">
        <v>1681</v>
      </c>
      <c r="E427" s="61"/>
      <c r="F427" s="61"/>
      <c r="G427" s="19"/>
      <c r="H427" s="28"/>
    </row>
    <row r="428" spans="1:8">
      <c r="A428" s="28" t="s">
        <v>1405</v>
      </c>
      <c r="B428" s="28"/>
      <c r="C428" s="28"/>
      <c r="D428" s="73" t="s">
        <v>1682</v>
      </c>
      <c r="E428" s="61"/>
      <c r="F428" s="61"/>
      <c r="G428" s="19"/>
      <c r="H428" s="28"/>
    </row>
    <row r="429" spans="1:8">
      <c r="A429" s="28" t="s">
        <v>1406</v>
      </c>
      <c r="B429" s="28"/>
      <c r="C429" s="28"/>
      <c r="D429" s="73" t="s">
        <v>1683</v>
      </c>
      <c r="E429" s="61"/>
      <c r="F429" s="61"/>
      <c r="G429" s="19"/>
      <c r="H429" s="28"/>
    </row>
    <row r="430" spans="1:8" ht="27">
      <c r="A430" s="28" t="s">
        <v>1407</v>
      </c>
      <c r="B430" s="28"/>
      <c r="C430" s="28"/>
      <c r="D430" s="73" t="s">
        <v>1684</v>
      </c>
      <c r="E430" s="61"/>
      <c r="F430" s="61"/>
      <c r="G430" s="19"/>
      <c r="H430" s="28"/>
    </row>
    <row r="431" spans="1:8">
      <c r="A431" s="28" t="s">
        <v>1408</v>
      </c>
      <c r="B431" s="28"/>
      <c r="C431" s="28"/>
      <c r="D431" s="73" t="s">
        <v>1737</v>
      </c>
      <c r="E431" s="61"/>
      <c r="F431" s="61"/>
      <c r="G431" s="19"/>
      <c r="H431" s="28"/>
    </row>
    <row r="432" spans="1:8">
      <c r="A432" s="28" t="s">
        <v>1409</v>
      </c>
      <c r="B432" s="28"/>
      <c r="C432" s="28"/>
      <c r="D432" s="75" t="s">
        <v>1738</v>
      </c>
      <c r="E432" s="71">
        <f>1*E424+1*E425+1*E426+1*E427+1*E428+1*E429+1*E430+1*E431</f>
        <v>0</v>
      </c>
      <c r="F432" s="71">
        <f>1*F424+1*F425+1*F426+1*F427+1*F428+1*F429+1*F430+1*F431</f>
        <v>0</v>
      </c>
      <c r="G432" s="19"/>
      <c r="H432" s="28"/>
    </row>
    <row r="433" spans="1:8">
      <c r="A433" s="28" t="s">
        <v>1410</v>
      </c>
      <c r="B433" s="28"/>
      <c r="C433" s="28"/>
      <c r="D433" s="72" t="s">
        <v>1739</v>
      </c>
      <c r="E433" s="58"/>
      <c r="F433" s="58"/>
      <c r="G433" s="19"/>
      <c r="H433" s="28"/>
    </row>
    <row r="434" spans="1:8" ht="27">
      <c r="A434" s="28" t="s">
        <v>1411</v>
      </c>
      <c r="B434" s="28"/>
      <c r="C434" s="28"/>
      <c r="D434" s="77" t="s">
        <v>1740</v>
      </c>
      <c r="E434" s="58"/>
      <c r="F434" s="58"/>
      <c r="G434" s="19"/>
      <c r="H434" s="28"/>
    </row>
    <row r="435" spans="1:8" ht="27">
      <c r="A435" s="28" t="s">
        <v>1412</v>
      </c>
      <c r="B435" s="28"/>
      <c r="C435" s="28"/>
      <c r="D435" s="78" t="s">
        <v>1689</v>
      </c>
      <c r="E435" s="61"/>
      <c r="F435" s="61"/>
      <c r="G435" s="19"/>
      <c r="H435" s="28"/>
    </row>
    <row r="436" spans="1:8">
      <c r="A436" s="28" t="s">
        <v>1413</v>
      </c>
      <c r="B436" s="28"/>
      <c r="C436" s="28"/>
      <c r="D436" s="78" t="s">
        <v>1690</v>
      </c>
      <c r="E436" s="61"/>
      <c r="F436" s="61"/>
      <c r="G436" s="19"/>
      <c r="H436" s="28"/>
    </row>
    <row r="437" spans="1:8">
      <c r="A437" s="28" t="s">
        <v>1414</v>
      </c>
      <c r="B437" s="28"/>
      <c r="C437" s="28"/>
      <c r="D437" s="78" t="s">
        <v>1691</v>
      </c>
      <c r="E437" s="61"/>
      <c r="F437" s="61"/>
      <c r="G437" s="19"/>
      <c r="H437" s="28"/>
    </row>
    <row r="438" spans="1:8" ht="27">
      <c r="A438" s="28" t="s">
        <v>1415</v>
      </c>
      <c r="B438" s="28"/>
      <c r="C438" s="28"/>
      <c r="D438" s="78" t="s">
        <v>1692</v>
      </c>
      <c r="E438" s="61"/>
      <c r="F438" s="61"/>
      <c r="G438" s="19"/>
      <c r="H438" s="28"/>
    </row>
    <row r="439" spans="1:8" ht="27">
      <c r="A439" s="28" t="s">
        <v>1416</v>
      </c>
      <c r="B439" s="28"/>
      <c r="C439" s="28"/>
      <c r="D439" s="78" t="s">
        <v>1693</v>
      </c>
      <c r="E439" s="61"/>
      <c r="F439" s="61"/>
      <c r="G439" s="19"/>
      <c r="H439" s="28"/>
    </row>
    <row r="440" spans="1:8" ht="27">
      <c r="A440" s="28" t="s">
        <v>1417</v>
      </c>
      <c r="B440" s="28"/>
      <c r="C440" s="28"/>
      <c r="D440" s="79" t="s">
        <v>1741</v>
      </c>
      <c r="E440" s="71">
        <f>1*E435+1*E436+1*E437+1*E438+1*E439</f>
        <v>0</v>
      </c>
      <c r="F440" s="71">
        <f>1*F435+1*F436+1*F437+1*F438+1*F439</f>
        <v>0</v>
      </c>
      <c r="G440" s="19"/>
      <c r="H440" s="28"/>
    </row>
    <row r="441" spans="1:8" ht="27">
      <c r="A441" s="28" t="s">
        <v>1418</v>
      </c>
      <c r="B441" s="28"/>
      <c r="C441" s="28"/>
      <c r="D441" s="77" t="s">
        <v>1695</v>
      </c>
      <c r="E441" s="58"/>
      <c r="F441" s="58"/>
      <c r="G441" s="19"/>
      <c r="H441" s="28"/>
    </row>
    <row r="442" spans="1:8" ht="27">
      <c r="A442" s="28" t="s">
        <v>1419</v>
      </c>
      <c r="B442" s="28"/>
      <c r="C442" s="28"/>
      <c r="D442" s="78" t="s">
        <v>1696</v>
      </c>
      <c r="E442" s="61"/>
      <c r="F442" s="61"/>
      <c r="G442" s="19"/>
      <c r="H442" s="28"/>
    </row>
    <row r="443" spans="1:8">
      <c r="A443" s="28" t="s">
        <v>1420</v>
      </c>
      <c r="B443" s="28"/>
      <c r="C443" s="28"/>
      <c r="D443" s="78" t="s">
        <v>1697</v>
      </c>
      <c r="E443" s="61"/>
      <c r="F443" s="61"/>
      <c r="G443" s="19"/>
      <c r="H443" s="28"/>
    </row>
    <row r="444" spans="1:8" ht="27">
      <c r="A444" s="28" t="s">
        <v>1421</v>
      </c>
      <c r="B444" s="28"/>
      <c r="C444" s="28"/>
      <c r="D444" s="78" t="s">
        <v>1742</v>
      </c>
      <c r="E444" s="61"/>
      <c r="F444" s="61"/>
      <c r="G444" s="19"/>
      <c r="H444" s="28"/>
    </row>
    <row r="445" spans="1:8" ht="27">
      <c r="A445" s="28" t="s">
        <v>1422</v>
      </c>
      <c r="B445" s="28"/>
      <c r="C445" s="28"/>
      <c r="D445" s="79" t="s">
        <v>1699</v>
      </c>
      <c r="E445" s="71">
        <f>1*E442+1*E443+1*E444</f>
        <v>0</v>
      </c>
      <c r="F445" s="71">
        <f>1*F442+1*F443+1*F444</f>
        <v>0</v>
      </c>
      <c r="G445" s="19"/>
      <c r="H445" s="28"/>
    </row>
    <row r="446" spans="1:8">
      <c r="A446" s="28" t="s">
        <v>1423</v>
      </c>
      <c r="B446" s="28"/>
      <c r="C446" s="28"/>
      <c r="D446" s="77" t="s">
        <v>1743</v>
      </c>
      <c r="E446" s="58"/>
      <c r="F446" s="58"/>
      <c r="G446" s="19"/>
      <c r="H446" s="28"/>
    </row>
    <row r="447" spans="1:8">
      <c r="A447" s="28" t="s">
        <v>1424</v>
      </c>
      <c r="B447" s="28"/>
      <c r="C447" s="28"/>
      <c r="D447" s="78" t="s">
        <v>1702</v>
      </c>
      <c r="E447" s="61"/>
      <c r="F447" s="61"/>
      <c r="G447" s="19"/>
      <c r="H447" s="28"/>
    </row>
    <row r="448" spans="1:8">
      <c r="A448" s="28" t="s">
        <v>1425</v>
      </c>
      <c r="B448" s="28"/>
      <c r="C448" s="28"/>
      <c r="D448" s="78" t="s">
        <v>1703</v>
      </c>
      <c r="E448" s="61"/>
      <c r="F448" s="61"/>
      <c r="G448" s="19"/>
      <c r="H448" s="28"/>
    </row>
    <row r="449" spans="1:8">
      <c r="A449" s="28" t="s">
        <v>1426</v>
      </c>
      <c r="B449" s="28"/>
      <c r="C449" s="28"/>
      <c r="D449" s="78" t="s">
        <v>1701</v>
      </c>
      <c r="E449" s="61"/>
      <c r="F449" s="61"/>
      <c r="G449" s="19"/>
      <c r="H449" s="28"/>
    </row>
    <row r="450" spans="1:8">
      <c r="A450" s="28" t="s">
        <v>1427</v>
      </c>
      <c r="B450" s="28"/>
      <c r="C450" s="28"/>
      <c r="D450" s="78" t="s">
        <v>1744</v>
      </c>
      <c r="E450" s="61"/>
      <c r="F450" s="61"/>
      <c r="G450" s="19"/>
      <c r="H450" s="28"/>
    </row>
    <row r="451" spans="1:8">
      <c r="A451" s="28" t="s">
        <v>1428</v>
      </c>
      <c r="B451" s="28"/>
      <c r="C451" s="28"/>
      <c r="D451" s="78" t="s">
        <v>1745</v>
      </c>
      <c r="E451" s="61"/>
      <c r="F451" s="61"/>
      <c r="G451" s="19"/>
      <c r="H451" s="28"/>
    </row>
    <row r="452" spans="1:8">
      <c r="A452" s="28" t="s">
        <v>1429</v>
      </c>
      <c r="B452" s="28"/>
      <c r="C452" s="28"/>
      <c r="D452" s="78" t="s">
        <v>1746</v>
      </c>
      <c r="E452" s="61"/>
      <c r="F452" s="61"/>
      <c r="G452" s="19"/>
      <c r="H452" s="28"/>
    </row>
    <row r="453" spans="1:8">
      <c r="A453" s="28" t="s">
        <v>1430</v>
      </c>
      <c r="B453" s="28"/>
      <c r="C453" s="28"/>
      <c r="D453" s="78" t="s">
        <v>1747</v>
      </c>
      <c r="E453" s="61"/>
      <c r="F453" s="61"/>
      <c r="G453" s="19"/>
      <c r="H453" s="28"/>
    </row>
    <row r="454" spans="1:8">
      <c r="A454" s="28" t="s">
        <v>1431</v>
      </c>
      <c r="B454" s="28"/>
      <c r="C454" s="28"/>
      <c r="D454" s="78" t="s">
        <v>1748</v>
      </c>
      <c r="E454" s="61"/>
      <c r="F454" s="61"/>
      <c r="G454" s="19"/>
      <c r="H454" s="28"/>
    </row>
    <row r="455" spans="1:8" ht="27">
      <c r="A455" s="28" t="s">
        <v>1432</v>
      </c>
      <c r="B455" s="28"/>
      <c r="C455" s="28"/>
      <c r="D455" s="79" t="s">
        <v>1749</v>
      </c>
      <c r="E455" s="71">
        <f>1*E447+1*E448+1*E449+1*E450+1*E451+1*E452+1*E453+1*E454</f>
        <v>0</v>
      </c>
      <c r="F455" s="71">
        <f>1*F447+1*F448+1*F449+1*F450+1*F451+1*F452+1*F453+1*F454</f>
        <v>0</v>
      </c>
      <c r="G455" s="19"/>
      <c r="H455" s="28"/>
    </row>
    <row r="456" spans="1:8">
      <c r="A456" s="28" t="s">
        <v>1433</v>
      </c>
      <c r="B456" s="28"/>
      <c r="C456" s="28"/>
      <c r="D456" s="75" t="s">
        <v>1750</v>
      </c>
      <c r="E456" s="71">
        <f>1*E440+1*E445+1*E455</f>
        <v>0</v>
      </c>
      <c r="F456" s="71">
        <f>1*F440+1*F445+1*F455</f>
        <v>0</v>
      </c>
      <c r="G456" s="19"/>
      <c r="H456" s="28"/>
    </row>
    <row r="457" spans="1:8" ht="27.5" thickBot="1">
      <c r="A457" s="28" t="s">
        <v>1434</v>
      </c>
      <c r="B457" s="28"/>
      <c r="C457" s="28"/>
      <c r="D457" s="64" t="s">
        <v>1779</v>
      </c>
      <c r="E457" s="65">
        <f>1*E432+1*E456</f>
        <v>0</v>
      </c>
      <c r="F457" s="65">
        <f>1*F432+1*F456</f>
        <v>0</v>
      </c>
      <c r="G457" s="62" t="s">
        <v>865</v>
      </c>
      <c r="H457" s="28"/>
    </row>
    <row r="458" spans="1:8" ht="15" thickTop="1">
      <c r="A458" s="28" t="s">
        <v>1435</v>
      </c>
      <c r="B458" s="28"/>
      <c r="C458" s="28"/>
      <c r="D458" s="59" t="s">
        <v>1751</v>
      </c>
      <c r="E458" s="66"/>
      <c r="F458" s="66"/>
      <c r="G458" s="19"/>
      <c r="H458" s="28"/>
    </row>
    <row r="459" spans="1:8" ht="27">
      <c r="A459" s="28" t="s">
        <v>1436</v>
      </c>
      <c r="B459" s="28"/>
      <c r="C459" s="28"/>
      <c r="D459" s="72" t="s">
        <v>1585</v>
      </c>
      <c r="E459" s="58"/>
      <c r="F459" s="58"/>
      <c r="G459" s="19"/>
      <c r="H459" s="28"/>
    </row>
    <row r="460" spans="1:8">
      <c r="A460" s="28" t="s">
        <v>1437</v>
      </c>
      <c r="B460" s="28"/>
      <c r="C460" s="28"/>
      <c r="D460" s="73" t="s">
        <v>1551</v>
      </c>
      <c r="E460" s="61"/>
      <c r="F460" s="61"/>
      <c r="G460" s="19"/>
      <c r="H460" s="28"/>
    </row>
    <row r="461" spans="1:8">
      <c r="A461" s="28" t="s">
        <v>1438</v>
      </c>
      <c r="B461" s="28"/>
      <c r="C461" s="28"/>
      <c r="D461" s="73" t="s">
        <v>1552</v>
      </c>
      <c r="E461" s="61"/>
      <c r="F461" s="61"/>
      <c r="G461" s="19"/>
      <c r="H461" s="28"/>
    </row>
    <row r="462" spans="1:8">
      <c r="A462" s="28" t="s">
        <v>1439</v>
      </c>
      <c r="B462" s="28"/>
      <c r="C462" s="28"/>
      <c r="D462" s="73" t="s">
        <v>1553</v>
      </c>
      <c r="E462" s="61"/>
      <c r="F462" s="61"/>
      <c r="G462" s="19"/>
      <c r="H462" s="28"/>
    </row>
    <row r="463" spans="1:8">
      <c r="A463" s="28" t="s">
        <v>1440</v>
      </c>
      <c r="B463" s="28"/>
      <c r="C463" s="28"/>
      <c r="D463" s="73" t="s">
        <v>1554</v>
      </c>
      <c r="E463" s="61"/>
      <c r="F463" s="61"/>
      <c r="G463" s="19"/>
      <c r="H463" s="28"/>
    </row>
    <row r="464" spans="1:8" ht="27">
      <c r="A464" s="28" t="s">
        <v>1441</v>
      </c>
      <c r="B464" s="28"/>
      <c r="C464" s="28"/>
      <c r="D464" s="75" t="s">
        <v>1586</v>
      </c>
      <c r="E464" s="71">
        <f>1*E460+1*E461+1*E462+1*E463</f>
        <v>0</v>
      </c>
      <c r="F464" s="71">
        <f>1*F460+1*F461+1*F462+1*F463</f>
        <v>0</v>
      </c>
      <c r="G464" s="19"/>
      <c r="H464" s="28"/>
    </row>
    <row r="465" spans="1:8">
      <c r="A465" s="28" t="s">
        <v>1442</v>
      </c>
      <c r="B465" s="28"/>
      <c r="C465" s="28"/>
      <c r="D465" s="72" t="s">
        <v>1752</v>
      </c>
      <c r="E465" s="58"/>
      <c r="F465" s="58"/>
      <c r="G465" s="19"/>
      <c r="H465" s="28"/>
    </row>
    <row r="466" spans="1:8">
      <c r="A466" s="28" t="s">
        <v>1443</v>
      </c>
      <c r="B466" s="28"/>
      <c r="C466" s="28"/>
      <c r="D466" s="73" t="s">
        <v>1551</v>
      </c>
      <c r="E466" s="61">
        <v>100</v>
      </c>
      <c r="F466" s="61"/>
      <c r="G466" s="19"/>
      <c r="H466" s="28"/>
    </row>
    <row r="467" spans="1:8">
      <c r="A467" s="28" t="s">
        <v>1444</v>
      </c>
      <c r="B467" s="28"/>
      <c r="C467" s="28"/>
      <c r="D467" s="73" t="s">
        <v>1552</v>
      </c>
      <c r="E467" s="61">
        <v>1000</v>
      </c>
      <c r="F467" s="61"/>
      <c r="G467" s="19"/>
      <c r="H467" s="28"/>
    </row>
    <row r="468" spans="1:8">
      <c r="A468" s="28" t="s">
        <v>1445</v>
      </c>
      <c r="B468" s="28"/>
      <c r="C468" s="28"/>
      <c r="D468" s="73" t="s">
        <v>1553</v>
      </c>
      <c r="E468" s="61"/>
      <c r="F468" s="61"/>
      <c r="G468" s="19"/>
      <c r="H468" s="28"/>
    </row>
    <row r="469" spans="1:8">
      <c r="A469" s="28" t="s">
        <v>1446</v>
      </c>
      <c r="B469" s="28"/>
      <c r="C469" s="28"/>
      <c r="D469" s="73" t="s">
        <v>1554</v>
      </c>
      <c r="E469" s="61"/>
      <c r="F469" s="61"/>
      <c r="G469" s="19"/>
      <c r="H469" s="28"/>
    </row>
    <row r="470" spans="1:8" ht="27">
      <c r="A470" s="28" t="s">
        <v>1447</v>
      </c>
      <c r="B470" s="28"/>
      <c r="C470" s="28"/>
      <c r="D470" s="75" t="s">
        <v>1753</v>
      </c>
      <c r="E470" s="71">
        <f>1*E466+1*E467+1*E468+1*E469</f>
        <v>1100</v>
      </c>
      <c r="F470" s="71">
        <f>1*F466+1*F467+1*F468+1*F469</f>
        <v>0</v>
      </c>
      <c r="G470" s="19"/>
      <c r="H470" s="28"/>
    </row>
    <row r="471" spans="1:8" ht="27">
      <c r="A471" s="28" t="s">
        <v>1448</v>
      </c>
      <c r="B471" s="28"/>
      <c r="C471" s="28"/>
      <c r="D471" s="63" t="s">
        <v>1754</v>
      </c>
      <c r="E471" s="61"/>
      <c r="F471" s="61"/>
      <c r="G471" s="19"/>
      <c r="H471" s="28"/>
    </row>
    <row r="472" spans="1:8" ht="27.5" thickBot="1">
      <c r="A472" s="28" t="s">
        <v>1449</v>
      </c>
      <c r="B472" s="28"/>
      <c r="C472" s="28"/>
      <c r="D472" s="64" t="s">
        <v>1780</v>
      </c>
      <c r="E472" s="65">
        <f>1*E464+1*E470+1*E471</f>
        <v>1100</v>
      </c>
      <c r="F472" s="65">
        <f>1*F464+1*F470+1*F471</f>
        <v>0</v>
      </c>
      <c r="G472" s="62" t="s">
        <v>865</v>
      </c>
      <c r="H472" s="28"/>
    </row>
    <row r="473" spans="1:8" ht="15" hidden="1" thickTop="1">
      <c r="A473" s="28"/>
      <c r="B473" s="28"/>
      <c r="C473" s="28" t="s">
        <v>509</v>
      </c>
      <c r="D473" s="19"/>
      <c r="E473" s="19"/>
      <c r="F473" s="19"/>
      <c r="G473" s="19"/>
      <c r="H473" s="28"/>
    </row>
    <row r="474" spans="1:8" hidden="1">
      <c r="A474" s="28"/>
      <c r="B474" s="28"/>
      <c r="C474" s="28" t="s">
        <v>512</v>
      </c>
      <c r="D474" s="28"/>
      <c r="E474" s="28"/>
      <c r="F474" s="28"/>
      <c r="G474" s="28"/>
      <c r="H474" s="28" t="s">
        <v>513</v>
      </c>
    </row>
    <row r="475" spans="1:8" ht="15" thickTop="1">
      <c r="A475" s="19"/>
      <c r="B475" s="19"/>
      <c r="C475" s="19"/>
      <c r="D475" s="19"/>
      <c r="E475" s="19"/>
      <c r="F475" s="19"/>
      <c r="G475" s="19"/>
      <c r="H475" s="19"/>
    </row>
  </sheetData>
  <sheetProtection algorithmName="SHA-1" hashValue="aIfIAQ5RCDuCiM4R379QSbYdy0E=" saltValue="HJCUeBf8zB/XsZoXc4+qGA==" spinCount="100000" sheet="1" objects="1" scenarios="1" formatColumns="0" formatRows="0"/>
  <dataValidations count="1">
    <dataValidation type="decimal" allowBlank="1" showInputMessage="1" showErrorMessage="1" error="Please enter a numeric value upto 2 decimal places only" sqref="E471:F471 E466:F469 E460:F463 E447:F454 E442:F444 E435:F439 E424:F431 E414:F420 E405:F411 E396:F401 E389:F393 E382:F386 E371:F379 E359:F368 E355:F355 E350:F353 E344:F347 E334:F338 E329:F331 E322:F326 E312:F318 E302:F308 E293:F299 E285:F289 E278:F282 E271:F275 E261:F268 E252:F258 E244:F248 E236:F240 E226:F233 E220:F222 E215:F217 E212:F212 E205:F210 E201:F202 E197:F197 E192:F195 E182:F186 E178:F179 E171:F175 E159:F167 E151:F155 E148:F148 E143:F146 E135:F137 E128:F132 E118:F124 E108:F114 E99:F105 E91:F96 E88:F88 E76:F86 E71:F72 E68:F68 E66:F66 E62:F63 E47:F58 E42:F45 E35:F38 E30:F32" xr:uid="{BF951ABB-4725-4285-BC2A-2EFA040D2206}">
      <formula1>-999999999999999</formula1>
      <formula2>999999999999999</formula2>
    </dataValidation>
  </dataValidations>
  <hyperlinks>
    <hyperlink ref="G59" tooltip="See details" display="See details" xr:uid="{03C32B71-F5BB-40BF-A7CC-4B7B91B7803B}"/>
    <hyperlink ref="G69" tooltip="See details" display="See details" xr:uid="{4807445E-E44D-456D-BA39-B7BED4AA8D6B}"/>
    <hyperlink ref="G89" tooltip="See details" display="See details" xr:uid="{2F3F9D32-D9D4-4D43-9B4B-138A533B9403}"/>
    <hyperlink ref="G97" tooltip="See details" display="See details" xr:uid="{9DBF9126-F76D-4B9E-8E97-5BD5B5F95699}"/>
    <hyperlink ref="G106" tooltip="See details" display="See details" xr:uid="{737FC83C-69F4-4291-9C4E-46B4AFFFDA94}"/>
    <hyperlink ref="G115" tooltip="See details" display="See details" xr:uid="{0C7F6875-DD27-4B65-BC0D-6873570CD0B5}"/>
    <hyperlink ref="G140" tooltip="See details" display="See details" xr:uid="{5842920A-6A25-4961-99C9-23DBCF5EDA45}"/>
    <hyperlink ref="G149" tooltip="See details" display="See details" xr:uid="{3BFA83CC-83CA-49FE-A32E-350087708CF9}"/>
    <hyperlink ref="G156" tooltip="See details" display="See details" xr:uid="{76831046-3698-41E7-83A6-698503AB271E}"/>
    <hyperlink ref="G189" tooltip="See details" display="See details" xr:uid="{30310627-BCFC-4C78-824E-9534A510D92B}"/>
    <hyperlink ref="G198" tooltip="See details" display="See details" xr:uid="{A26D72DC-DCD6-45F6-899D-8170816DADFB}"/>
    <hyperlink ref="G213" tooltip="See details" display="See details" xr:uid="{D6D50CBA-8F96-4CB1-BD91-7224406F2EEA}"/>
    <hyperlink ref="G218" tooltip="See details" display="See details" xr:uid="{71B4BF8C-D767-4876-9758-D76A6792511D}"/>
    <hyperlink ref="G223" tooltip="See details" display="See details" xr:uid="{69108D1D-D72B-4907-A09A-1E09A4F92447}"/>
    <hyperlink ref="G242" tooltip="See details" display="See details" xr:uid="{26D0948F-3B6F-4014-9B54-C395790F1EA0}"/>
    <hyperlink ref="G249" tooltip="See details" display="See details" xr:uid="{EED3F395-0DC7-47C8-B87E-1DA35C250528}"/>
    <hyperlink ref="G291" tooltip="See details" display="See details" xr:uid="{DFBC6D75-812F-4AA8-BFF3-6BF8FDB9417D}"/>
    <hyperlink ref="G300" tooltip="See details" display="See details" xr:uid="{37C480AA-7949-4A35-9B0A-F5E8C5D22D76}"/>
    <hyperlink ref="G309" tooltip="See details" display="See details" xr:uid="{AAE62BA3-0C73-4FDC-BB19-8F7D536EAC11}"/>
    <hyperlink ref="G341" tooltip="See details" display="See details" xr:uid="{60E3521A-CB76-4DDD-8EFC-D36B6C435CBF}"/>
    <hyperlink ref="G356" tooltip="See details" display="See details" xr:uid="{DAECD1F2-A175-456D-804D-A92CA302B12F}"/>
    <hyperlink ref="G403" tooltip="See details" display="See details" xr:uid="{21ED8F95-79D7-4BE7-A569-5AC169322240}"/>
    <hyperlink ref="G412" tooltip="See details" display="See details" xr:uid="{6AB5591B-ED26-4B7C-9F71-C4BD2ECFA024}"/>
    <hyperlink ref="G421" tooltip="See details" display="See details" xr:uid="{619CA18E-344C-4768-9054-ADE974F5FC1C}"/>
    <hyperlink ref="G457" tooltip="See details" display="See details" xr:uid="{7CF8ABDC-E1EA-49AE-A4D1-7E739CD94AEB}"/>
    <hyperlink ref="G472" tooltip="See details" display="See details" xr:uid="{E14E1459-E3EE-4D40-948F-71F0DF489F07}"/>
  </hyperlinks>
  <pageMargins left="0.7" right="0.7" top="0.75" bottom="0.75" header="0.3" footer="0.3"/>
  <drawing r:id="rId1"/>
  <legacyDrawing r:id="rId2"/>
  <controls>
    <mc:AlternateContent xmlns:mc="http://schemas.openxmlformats.org/markup-compatibility/2006">
      <mc:Choice Requires="x14">
        <control shapeId="16448"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6448" r:id="rId3" name="LegendBtn"/>
      </mc:Fallback>
    </mc:AlternateContent>
    <mc:AlternateContent xmlns:mc="http://schemas.openxmlformats.org/markup-compatibility/2006">
      <mc:Choice Requires="x14">
        <control shapeId="16447"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6447" r:id="rId5" name="HelpBtn"/>
      </mc:Fallback>
    </mc:AlternateContent>
    <mc:AlternateContent xmlns:mc="http://schemas.openxmlformats.org/markup-compatibility/2006">
      <mc:Choice Requires="x14">
        <control shapeId="16446"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6446" r:id="rId7" name="ToolboxBtn"/>
      </mc:Fallback>
    </mc:AlternateContent>
    <mc:AlternateContent xmlns:mc="http://schemas.openxmlformats.org/markup-compatibility/2006">
      <mc:Choice Requires="x14">
        <control shapeId="16445"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6445" r:id="rId9" name="HomeBtn"/>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7C80-8503-4D1E-A1F2-610A4A613187}">
  <sheetPr codeName="Sheet11"/>
  <dimension ref="A1:DZ63"/>
  <sheetViews>
    <sheetView showGridLines="0" tabSelected="1" topLeftCell="D1" workbookViewId="0">
      <pane ySplit="2" topLeftCell="A45" activePane="bottomLeft" state="frozen"/>
      <selection pane="bottomLeft" activeCell="D27" sqref="D27:D39"/>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1782</v>
      </c>
      <c r="B1" s="19"/>
      <c r="C1" s="19"/>
      <c r="D1" s="19"/>
      <c r="E1" s="19"/>
      <c r="F1" s="19"/>
      <c r="G1" s="19"/>
      <c r="H1" s="19"/>
    </row>
    <row r="2" spans="1:130" ht="25.15" customHeight="1">
      <c r="A2" s="39"/>
      <c r="B2" s="39"/>
      <c r="C2" s="39"/>
      <c r="D2" s="41" t="s">
        <v>1861</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1783</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c r="A10" s="28" t="s">
        <v>1784</v>
      </c>
      <c r="B10" s="28"/>
      <c r="C10" s="28"/>
      <c r="D10" s="31" t="s">
        <v>1785</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1847</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c r="A24" s="28" t="s">
        <v>1786</v>
      </c>
      <c r="B24" s="28"/>
      <c r="C24" s="28"/>
      <c r="D24" s="31" t="s">
        <v>1823</v>
      </c>
      <c r="E24" s="31"/>
      <c r="F24" s="31"/>
      <c r="G24" s="19"/>
      <c r="H24" s="28"/>
    </row>
    <row r="25" spans="1:8">
      <c r="A25" s="28" t="s">
        <v>1787</v>
      </c>
      <c r="B25" s="28"/>
      <c r="C25" s="28"/>
      <c r="D25" s="32" t="s">
        <v>1824</v>
      </c>
      <c r="E25" s="31"/>
      <c r="F25" s="31"/>
      <c r="G25" s="19"/>
      <c r="H25" s="28"/>
    </row>
    <row r="26" spans="1:8">
      <c r="A26" s="28" t="s">
        <v>1788</v>
      </c>
      <c r="B26" s="28"/>
      <c r="C26" s="28"/>
      <c r="D26" s="57" t="s">
        <v>1825</v>
      </c>
      <c r="E26" s="58"/>
      <c r="F26" s="58"/>
      <c r="G26" s="19"/>
      <c r="H26" s="28"/>
    </row>
    <row r="27" spans="1:8">
      <c r="A27" s="28" t="s">
        <v>1789</v>
      </c>
      <c r="B27" s="28"/>
      <c r="C27" s="28"/>
      <c r="D27" s="80" t="s">
        <v>1848</v>
      </c>
      <c r="E27" s="71">
        <f>'SOPL-Analysis-Function'!E60</f>
        <v>0</v>
      </c>
      <c r="F27" s="71">
        <f>'SOPL-Analysis-Function'!F60</f>
        <v>0</v>
      </c>
      <c r="G27" s="62" t="s">
        <v>865</v>
      </c>
      <c r="H27" s="28"/>
    </row>
    <row r="28" spans="1:8">
      <c r="A28" s="28" t="s">
        <v>1790</v>
      </c>
      <c r="B28" s="28"/>
      <c r="C28" s="28"/>
      <c r="D28" s="80" t="s">
        <v>1849</v>
      </c>
      <c r="E28" s="71">
        <f>'SOPL-Analysis-Function'!E67</f>
        <v>0</v>
      </c>
      <c r="F28" s="71">
        <f>'SOPL-Analysis-Function'!F67</f>
        <v>0</v>
      </c>
      <c r="G28" s="62" t="s">
        <v>865</v>
      </c>
      <c r="H28" s="28"/>
    </row>
    <row r="29" spans="1:8">
      <c r="A29" s="28" t="s">
        <v>1791</v>
      </c>
      <c r="B29" s="28"/>
      <c r="C29" s="28"/>
      <c r="D29" s="70" t="s">
        <v>1850</v>
      </c>
      <c r="E29" s="69">
        <f>1*E27+-1*E28</f>
        <v>0</v>
      </c>
      <c r="F29" s="69">
        <f>1*F27+-1*F28</f>
        <v>0</v>
      </c>
      <c r="G29" s="19"/>
      <c r="H29" s="28"/>
    </row>
    <row r="30" spans="1:8">
      <c r="A30" s="28" t="s">
        <v>1792</v>
      </c>
      <c r="B30" s="28"/>
      <c r="C30" s="28"/>
      <c r="D30" s="80" t="s">
        <v>1851</v>
      </c>
      <c r="E30" s="71">
        <f>'SOPL-Analysis-Function'!E110</f>
        <v>0</v>
      </c>
      <c r="F30" s="71">
        <f>'SOPL-Analysis-Function'!F110</f>
        <v>0</v>
      </c>
      <c r="G30" s="62" t="s">
        <v>865</v>
      </c>
      <c r="H30" s="28"/>
    </row>
    <row r="31" spans="1:8">
      <c r="A31" s="28" t="s">
        <v>1793</v>
      </c>
      <c r="B31" s="28"/>
      <c r="C31" s="28"/>
      <c r="D31" s="38" t="s">
        <v>1826</v>
      </c>
      <c r="E31" s="61"/>
      <c r="F31" s="61"/>
      <c r="G31" s="19"/>
      <c r="H31" s="28"/>
    </row>
    <row r="32" spans="1:8">
      <c r="A32" s="28" t="s">
        <v>1794</v>
      </c>
      <c r="B32" s="28"/>
      <c r="C32" s="28"/>
      <c r="D32" s="80" t="s">
        <v>1852</v>
      </c>
      <c r="E32" s="61"/>
      <c r="F32" s="61"/>
      <c r="G32" s="19"/>
      <c r="H32" s="28"/>
    </row>
    <row r="33" spans="1:8">
      <c r="A33" s="28" t="s">
        <v>1795</v>
      </c>
      <c r="B33" s="28"/>
      <c r="C33" s="28"/>
      <c r="D33" s="38" t="s">
        <v>1827</v>
      </c>
      <c r="E33" s="61"/>
      <c r="F33" s="61"/>
      <c r="G33" s="19"/>
      <c r="H33" s="28"/>
    </row>
    <row r="34" spans="1:8">
      <c r="A34" s="28" t="s">
        <v>1796</v>
      </c>
      <c r="B34" s="28"/>
      <c r="C34" s="28"/>
      <c r="D34" s="80" t="s">
        <v>1853</v>
      </c>
      <c r="E34" s="71">
        <f>'SOPL-Analysis-Function'!E154</f>
        <v>0</v>
      </c>
      <c r="F34" s="71">
        <f>'SOPL-Analysis-Function'!F154</f>
        <v>0</v>
      </c>
      <c r="G34" s="62" t="s">
        <v>865</v>
      </c>
      <c r="H34" s="28"/>
    </row>
    <row r="35" spans="1:8">
      <c r="A35" s="28" t="s">
        <v>1797</v>
      </c>
      <c r="B35" s="28"/>
      <c r="C35" s="28"/>
      <c r="D35" s="81" t="s">
        <v>1828</v>
      </c>
      <c r="E35" s="69">
        <f>1*E27+-1*E28+1*E30+-1*E31+-1*E32+-1*E33+-1*E34</f>
        <v>0</v>
      </c>
      <c r="F35" s="69">
        <f>1*F27+-1*F28+1*F30+-1*F31+-1*F32+-1*F33+-1*F34</f>
        <v>0</v>
      </c>
      <c r="G35" s="19"/>
      <c r="H35" s="28"/>
    </row>
    <row r="36" spans="1:8">
      <c r="A36" s="28" t="s">
        <v>1798</v>
      </c>
      <c r="B36" s="28"/>
      <c r="C36" s="28"/>
      <c r="D36" s="80" t="s">
        <v>1854</v>
      </c>
      <c r="E36" s="71">
        <f>'SOPL-Analysis-Function'!E158</f>
        <v>0</v>
      </c>
      <c r="F36" s="71">
        <f>'SOPL-Analysis-Function'!F158</f>
        <v>0</v>
      </c>
      <c r="G36" s="62" t="s">
        <v>865</v>
      </c>
      <c r="H36" s="28"/>
    </row>
    <row r="37" spans="1:8">
      <c r="A37" s="28" t="s">
        <v>1799</v>
      </c>
      <c r="B37" s="28"/>
      <c r="C37" s="28"/>
      <c r="D37" s="80" t="s">
        <v>1855</v>
      </c>
      <c r="E37" s="61"/>
      <c r="F37" s="61"/>
      <c r="G37" s="19"/>
      <c r="H37" s="28"/>
    </row>
    <row r="38" spans="1:8" ht="27">
      <c r="A38" s="28" t="s">
        <v>1800</v>
      </c>
      <c r="B38" s="28"/>
      <c r="C38" s="28"/>
      <c r="D38" s="38" t="s">
        <v>1829</v>
      </c>
      <c r="E38" s="61"/>
      <c r="F38" s="61"/>
      <c r="G38" s="19"/>
      <c r="H38" s="28"/>
    </row>
    <row r="39" spans="1:8" ht="27">
      <c r="A39" s="28" t="s">
        <v>1801</v>
      </c>
      <c r="B39" s="28"/>
      <c r="C39" s="28"/>
      <c r="D39" s="38" t="s">
        <v>1830</v>
      </c>
      <c r="E39" s="61"/>
      <c r="F39" s="61"/>
      <c r="G39" s="19"/>
      <c r="H39" s="28"/>
    </row>
    <row r="40" spans="1:8">
      <c r="A40" s="28" t="s">
        <v>1802</v>
      </c>
      <c r="B40" s="28"/>
      <c r="C40" s="28"/>
      <c r="D40" s="70" t="s">
        <v>1856</v>
      </c>
      <c r="E40" s="71">
        <f>1*E27+-1*E28+1*E30+-1*E31+-1*E32+-1*E33+-1*E34+1*E36+-1*E37+1*E38+1*E39</f>
        <v>0</v>
      </c>
      <c r="F40" s="71">
        <f>1*F27+-1*F28+1*F30+-1*F31+-1*F32+-1*F33+-1*F34+1*F36+-1*F37+1*F38+1*F39</f>
        <v>0</v>
      </c>
      <c r="G40" s="19"/>
      <c r="H40" s="28"/>
    </row>
    <row r="41" spans="1:8">
      <c r="A41" s="28" t="s">
        <v>1803</v>
      </c>
      <c r="B41" s="28"/>
      <c r="C41" s="28"/>
      <c r="D41" s="80" t="s">
        <v>1857</v>
      </c>
      <c r="E41" s="61"/>
      <c r="F41" s="61"/>
      <c r="G41" s="19"/>
      <c r="H41" s="28"/>
    </row>
    <row r="42" spans="1:8">
      <c r="A42" s="28" t="s">
        <v>1804</v>
      </c>
      <c r="B42" s="28"/>
      <c r="C42" s="28"/>
      <c r="D42" s="38" t="s">
        <v>1831</v>
      </c>
      <c r="E42" s="61"/>
      <c r="F42" s="61"/>
      <c r="G42" s="19"/>
      <c r="H42" s="28"/>
    </row>
    <row r="43" spans="1:8">
      <c r="A43" s="28" t="s">
        <v>1805</v>
      </c>
      <c r="B43" s="28"/>
      <c r="C43" s="28"/>
      <c r="D43" s="70" t="s">
        <v>1858</v>
      </c>
      <c r="E43" s="71">
        <f>1*E40+-1*E41+-1*E42</f>
        <v>0</v>
      </c>
      <c r="F43" s="71">
        <f>1*F40+-1*F41+-1*F42</f>
        <v>0</v>
      </c>
      <c r="G43" s="19"/>
      <c r="H43" s="28"/>
    </row>
    <row r="44" spans="1:8">
      <c r="A44" s="28" t="s">
        <v>1806</v>
      </c>
      <c r="B44" s="28"/>
      <c r="C44" s="28"/>
      <c r="D44" s="57" t="s">
        <v>1832</v>
      </c>
      <c r="E44" s="58"/>
      <c r="F44" s="58"/>
      <c r="G44" s="19"/>
      <c r="H44" s="28"/>
    </row>
    <row r="45" spans="1:8" ht="27">
      <c r="A45" s="28" t="s">
        <v>1807</v>
      </c>
      <c r="B45" s="28"/>
      <c r="C45" s="28"/>
      <c r="D45" s="38" t="s">
        <v>1833</v>
      </c>
      <c r="E45" s="61"/>
      <c r="F45" s="61"/>
      <c r="G45" s="19"/>
      <c r="H45" s="28"/>
    </row>
    <row r="46" spans="1:8" ht="15" thickBot="1">
      <c r="A46" s="28" t="s">
        <v>1808</v>
      </c>
      <c r="B46" s="28"/>
      <c r="C46" s="28"/>
      <c r="D46" s="82" t="s">
        <v>1859</v>
      </c>
      <c r="E46" s="65">
        <f>1*E43+1*E45</f>
        <v>0</v>
      </c>
      <c r="F46" s="65">
        <f>1*F43+1*F45</f>
        <v>0</v>
      </c>
      <c r="G46" s="62" t="s">
        <v>865</v>
      </c>
      <c r="H46" s="28"/>
    </row>
    <row r="47" spans="1:8" ht="15" thickTop="1">
      <c r="A47" s="28" t="s">
        <v>1809</v>
      </c>
      <c r="B47" s="28"/>
      <c r="C47" s="28"/>
      <c r="D47" s="57" t="s">
        <v>1834</v>
      </c>
      <c r="E47" s="66"/>
      <c r="F47" s="66"/>
      <c r="G47" s="19"/>
      <c r="H47" s="28"/>
    </row>
    <row r="48" spans="1:8" ht="27">
      <c r="A48" s="28" t="s">
        <v>1810</v>
      </c>
      <c r="B48" s="28"/>
      <c r="C48" s="28"/>
      <c r="D48" s="38" t="s">
        <v>1835</v>
      </c>
      <c r="E48" s="61"/>
      <c r="F48" s="61"/>
      <c r="G48" s="19"/>
      <c r="H48" s="28"/>
    </row>
    <row r="49" spans="1:8" ht="27">
      <c r="A49" s="28" t="s">
        <v>1811</v>
      </c>
      <c r="B49" s="28"/>
      <c r="C49" s="28"/>
      <c r="D49" s="38" t="s">
        <v>1836</v>
      </c>
      <c r="E49" s="61"/>
      <c r="F49" s="61"/>
      <c r="G49" s="19"/>
      <c r="H49" s="28"/>
    </row>
    <row r="50" spans="1:8" ht="27">
      <c r="A50" s="28" t="s">
        <v>1812</v>
      </c>
      <c r="B50" s="28"/>
      <c r="C50" s="28"/>
      <c r="D50" s="38" t="s">
        <v>1837</v>
      </c>
      <c r="E50" s="61"/>
      <c r="F50" s="61"/>
      <c r="G50" s="19"/>
      <c r="H50" s="28"/>
    </row>
    <row r="51" spans="1:8" ht="15" thickBot="1">
      <c r="A51" s="28" t="s">
        <v>1813</v>
      </c>
      <c r="B51" s="28"/>
      <c r="C51" s="28"/>
      <c r="D51" s="70" t="s">
        <v>1860</v>
      </c>
      <c r="E51" s="65">
        <f>1*E48+1*E49+1*E50</f>
        <v>0</v>
      </c>
      <c r="F51" s="65">
        <f>1*F48+1*F49+1*F50</f>
        <v>0</v>
      </c>
      <c r="G51" s="62" t="s">
        <v>865</v>
      </c>
      <c r="H51" s="28"/>
    </row>
    <row r="52" spans="1:8" ht="15" thickTop="1">
      <c r="A52" s="28" t="s">
        <v>1814</v>
      </c>
      <c r="B52" s="28"/>
      <c r="C52" s="28"/>
      <c r="D52" s="57" t="s">
        <v>1838</v>
      </c>
      <c r="E52" s="66"/>
      <c r="F52" s="66"/>
      <c r="G52" s="19"/>
      <c r="H52" s="28"/>
    </row>
    <row r="53" spans="1:8">
      <c r="A53" s="28" t="s">
        <v>1815</v>
      </c>
      <c r="B53" s="28"/>
      <c r="C53" s="28"/>
      <c r="D53" s="59" t="s">
        <v>1839</v>
      </c>
      <c r="E53" s="58"/>
      <c r="F53" s="58"/>
      <c r="G53" s="19"/>
      <c r="H53" s="28"/>
    </row>
    <row r="54" spans="1:8" ht="27">
      <c r="A54" s="28" t="s">
        <v>1816</v>
      </c>
      <c r="B54" s="28"/>
      <c r="C54" s="28"/>
      <c r="D54" s="63" t="s">
        <v>1840</v>
      </c>
      <c r="E54" s="61"/>
      <c r="F54" s="61"/>
      <c r="G54" s="19"/>
      <c r="H54" s="28"/>
    </row>
    <row r="55" spans="1:8" ht="27">
      <c r="A55" s="28" t="s">
        <v>1817</v>
      </c>
      <c r="B55" s="28"/>
      <c r="C55" s="28"/>
      <c r="D55" s="63" t="s">
        <v>1841</v>
      </c>
      <c r="E55" s="61"/>
      <c r="F55" s="61"/>
      <c r="G55" s="19"/>
      <c r="H55" s="28"/>
    </row>
    <row r="56" spans="1:8" ht="15" thickBot="1">
      <c r="A56" s="28" t="s">
        <v>1818</v>
      </c>
      <c r="B56" s="28"/>
      <c r="C56" s="28"/>
      <c r="D56" s="67" t="s">
        <v>1842</v>
      </c>
      <c r="E56" s="65">
        <f>1*E54+1*E55</f>
        <v>0</v>
      </c>
      <c r="F56" s="65">
        <f>1*F54+1*F55</f>
        <v>0</v>
      </c>
      <c r="G56" s="19"/>
      <c r="H56" s="28"/>
    </row>
    <row r="57" spans="1:8" ht="15" thickTop="1">
      <c r="A57" s="28" t="s">
        <v>1819</v>
      </c>
      <c r="B57" s="28"/>
      <c r="C57" s="28"/>
      <c r="D57" s="59" t="s">
        <v>1843</v>
      </c>
      <c r="E57" s="66"/>
      <c r="F57" s="66"/>
      <c r="G57" s="19"/>
      <c r="H57" s="28"/>
    </row>
    <row r="58" spans="1:8" ht="27">
      <c r="A58" s="28" t="s">
        <v>1820</v>
      </c>
      <c r="B58" s="28"/>
      <c r="C58" s="28"/>
      <c r="D58" s="63" t="s">
        <v>1844</v>
      </c>
      <c r="E58" s="61"/>
      <c r="F58" s="61"/>
      <c r="G58" s="19"/>
      <c r="H58" s="28"/>
    </row>
    <row r="59" spans="1:8" ht="27">
      <c r="A59" s="28" t="s">
        <v>1821</v>
      </c>
      <c r="B59" s="28"/>
      <c r="C59" s="28"/>
      <c r="D59" s="63" t="s">
        <v>1845</v>
      </c>
      <c r="E59" s="61"/>
      <c r="F59" s="61"/>
      <c r="G59" s="19"/>
      <c r="H59" s="28"/>
    </row>
    <row r="60" spans="1:8" ht="27.5" thickBot="1">
      <c r="A60" s="28" t="s">
        <v>1822</v>
      </c>
      <c r="B60" s="28"/>
      <c r="C60" s="28"/>
      <c r="D60" s="67" t="s">
        <v>1846</v>
      </c>
      <c r="E60" s="65">
        <f>1*E58+1*E59</f>
        <v>0</v>
      </c>
      <c r="F60" s="65">
        <f>1*F58+1*F59</f>
        <v>0</v>
      </c>
      <c r="G60" s="19"/>
      <c r="H60" s="28"/>
    </row>
    <row r="61" spans="1:8" ht="15" hidden="1" thickTop="1">
      <c r="A61" s="28"/>
      <c r="B61" s="28"/>
      <c r="C61" s="28" t="s">
        <v>509</v>
      </c>
      <c r="D61" s="19"/>
      <c r="E61" s="19"/>
      <c r="F61" s="19"/>
      <c r="G61" s="19"/>
      <c r="H61" s="28"/>
    </row>
    <row r="62" spans="1:8" hidden="1">
      <c r="A62" s="28"/>
      <c r="B62" s="28"/>
      <c r="C62" s="28" t="s">
        <v>512</v>
      </c>
      <c r="D62" s="28"/>
      <c r="E62" s="28"/>
      <c r="F62" s="28"/>
      <c r="G62" s="28"/>
      <c r="H62" s="28" t="s">
        <v>513</v>
      </c>
    </row>
    <row r="63" spans="1:8" ht="15" thickTop="1">
      <c r="A63" s="19"/>
      <c r="B63" s="19"/>
      <c r="C63" s="19"/>
      <c r="D63" s="19"/>
      <c r="E63" s="19"/>
      <c r="F63" s="19"/>
      <c r="G63" s="19"/>
      <c r="H63" s="19"/>
    </row>
  </sheetData>
  <sheetProtection algorithmName="SHA-1" hashValue="TkiMkBRG9cinqyqN6Usm65lexUs=" saltValue="v9ecig/D5XxlRADHFY0/aw==" spinCount="100000" sheet="1" objects="1" scenarios="1" formatColumns="0" formatRows="0"/>
  <dataValidations count="1">
    <dataValidation type="decimal" allowBlank="1" showInputMessage="1" showErrorMessage="1" error="Please enter a numeric value upto 2 decimal places only" sqref="E58:F59 E54:F55 E48:F50 E45:F45 E41:F42 E31:E33 F37:F39 E37:E39 F31:F33" xr:uid="{172EE0D4-7A4F-40CC-833C-A4AB7D3CA943}">
      <formula1>-999999999999999</formula1>
      <formula2>999999999999999</formula2>
    </dataValidation>
  </dataValidations>
  <hyperlinks>
    <hyperlink ref="G27" tooltip="See details" display="See details" xr:uid="{EBCCEA76-6FBA-4AC8-83A7-19CBA28A9FBC}"/>
    <hyperlink ref="G28" tooltip="See details" display="See details" xr:uid="{7EA0C7F5-E779-4210-89F0-D21C31AB424E}"/>
    <hyperlink ref="G30" tooltip="See details" display="See details" xr:uid="{E1EDA1D7-18EB-4953-ADB0-209315CCEA52}"/>
    <hyperlink ref="G34" tooltip="See details" display="See details" xr:uid="{8110FFDB-D32C-4A7F-8C85-69D5B47358E2}"/>
    <hyperlink ref="G36" tooltip="See details" display="See details" xr:uid="{6AA62213-E60F-442F-8BFD-AF7288EB97F7}"/>
    <hyperlink ref="G46" tooltip="See details" display="See details" xr:uid="{039F3C1D-AB1A-4011-BB21-3E32DE8F1608}"/>
    <hyperlink ref="G51" tooltip="See details" display="See details" xr:uid="{49D83E5B-B311-49DA-A652-24318F182EA0}"/>
  </hyperlinks>
  <pageMargins left="0.7" right="0.7" top="0.75" bottom="0.75" header="0.3" footer="0.3"/>
  <drawing r:id="rId1"/>
  <legacyDrawing r:id="rId2"/>
  <controls>
    <mc:AlternateContent xmlns:mc="http://schemas.openxmlformats.org/markup-compatibility/2006">
      <mc:Choice Requires="x14">
        <control shapeId="17480"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7480" r:id="rId3" name="LegendBtn"/>
      </mc:Fallback>
    </mc:AlternateContent>
    <mc:AlternateContent xmlns:mc="http://schemas.openxmlformats.org/markup-compatibility/2006">
      <mc:Choice Requires="x14">
        <control shapeId="17479"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7479" r:id="rId5" name="HelpBtn"/>
      </mc:Fallback>
    </mc:AlternateContent>
    <mc:AlternateContent xmlns:mc="http://schemas.openxmlformats.org/markup-compatibility/2006">
      <mc:Choice Requires="x14">
        <control shapeId="17478"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7478" r:id="rId7" name="ToolboxBtn"/>
      </mc:Fallback>
    </mc:AlternateContent>
    <mc:AlternateContent xmlns:mc="http://schemas.openxmlformats.org/markup-compatibility/2006">
      <mc:Choice Requires="x14">
        <control shapeId="17477"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7477" r:id="rId9" name="HomeBtn"/>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D993B-2BCD-4A3E-8722-4924CF645191}">
  <sheetPr codeName="Sheet12"/>
  <dimension ref="A1:DZ161"/>
  <sheetViews>
    <sheetView showGridLines="0" topLeftCell="D1" workbookViewId="0">
      <pane ySplit="2" topLeftCell="A3" activePane="bottomLeft" state="frozen"/>
      <selection pane="bottomLeft" activeCell="E31" sqref="E31"/>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1862</v>
      </c>
      <c r="B1" s="19"/>
      <c r="C1" s="19"/>
      <c r="D1" s="19"/>
      <c r="E1" s="19"/>
      <c r="F1" s="19"/>
      <c r="G1" s="19"/>
      <c r="H1" s="19"/>
    </row>
    <row r="2" spans="1:130" ht="25.15" customHeight="1">
      <c r="A2" s="39"/>
      <c r="B2" s="39"/>
      <c r="C2" s="39"/>
      <c r="D2" s="41" t="s">
        <v>2127</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1863</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c r="A10" s="28" t="s">
        <v>1864</v>
      </c>
      <c r="B10" s="28"/>
      <c r="C10" s="28"/>
      <c r="D10" s="31" t="s">
        <v>1785</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2121</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c r="A24" s="28" t="s">
        <v>1865</v>
      </c>
      <c r="B24" s="28"/>
      <c r="C24" s="28"/>
      <c r="D24" s="31" t="s">
        <v>2000</v>
      </c>
      <c r="E24" s="31"/>
      <c r="F24" s="31"/>
      <c r="G24" s="19"/>
      <c r="H24" s="28"/>
    </row>
    <row r="25" spans="1:8">
      <c r="A25" s="28" t="s">
        <v>1866</v>
      </c>
      <c r="B25" s="28"/>
      <c r="C25" s="28"/>
      <c r="D25" s="32" t="s">
        <v>1824</v>
      </c>
      <c r="E25" s="31"/>
      <c r="F25" s="31"/>
      <c r="G25" s="19"/>
      <c r="H25" s="28"/>
    </row>
    <row r="26" spans="1:8">
      <c r="A26" s="28" t="s">
        <v>1867</v>
      </c>
      <c r="B26" s="28"/>
      <c r="C26" s="28"/>
      <c r="D26" s="57" t="s">
        <v>2001</v>
      </c>
      <c r="E26" s="58"/>
      <c r="F26" s="58"/>
      <c r="G26" s="19"/>
      <c r="H26" s="28"/>
    </row>
    <row r="27" spans="1:8">
      <c r="A27" s="28" t="s">
        <v>1868</v>
      </c>
      <c r="B27" s="28"/>
      <c r="C27" s="28"/>
      <c r="D27" s="59" t="s">
        <v>2002</v>
      </c>
      <c r="E27" s="58"/>
      <c r="F27" s="58"/>
      <c r="G27" s="19"/>
      <c r="H27" s="28"/>
    </row>
    <row r="28" spans="1:8" ht="27">
      <c r="A28" s="28" t="s">
        <v>1869</v>
      </c>
      <c r="B28" s="28"/>
      <c r="C28" s="28"/>
      <c r="D28" s="63" t="s">
        <v>2003</v>
      </c>
      <c r="E28" s="61"/>
      <c r="F28" s="61"/>
      <c r="G28" s="19"/>
      <c r="H28" s="28"/>
    </row>
    <row r="29" spans="1:8">
      <c r="A29" s="28" t="s">
        <v>1870</v>
      </c>
      <c r="B29" s="28"/>
      <c r="C29" s="28"/>
      <c r="D29" s="63" t="s">
        <v>2004</v>
      </c>
      <c r="E29" s="61"/>
      <c r="F29" s="61"/>
      <c r="G29" s="19"/>
      <c r="H29" s="28"/>
    </row>
    <row r="30" spans="1:8">
      <c r="A30" s="28" t="s">
        <v>1871</v>
      </c>
      <c r="B30" s="28"/>
      <c r="C30" s="28"/>
      <c r="D30" s="63" t="s">
        <v>2005</v>
      </c>
      <c r="E30" s="61"/>
      <c r="F30" s="61"/>
      <c r="G30" s="19"/>
      <c r="H30" s="28"/>
    </row>
    <row r="31" spans="1:8" ht="27">
      <c r="A31" s="28" t="s">
        <v>1872</v>
      </c>
      <c r="B31" s="28"/>
      <c r="C31" s="28"/>
      <c r="D31" s="63" t="s">
        <v>2006</v>
      </c>
      <c r="E31" s="61"/>
      <c r="F31" s="61"/>
      <c r="G31" s="19"/>
      <c r="H31" s="28"/>
    </row>
    <row r="32" spans="1:8">
      <c r="A32" s="28" t="s">
        <v>1873</v>
      </c>
      <c r="B32" s="28"/>
      <c r="C32" s="28"/>
      <c r="D32" s="63" t="s">
        <v>2007</v>
      </c>
      <c r="E32" s="61"/>
      <c r="F32" s="61"/>
      <c r="G32" s="19"/>
      <c r="H32" s="28"/>
    </row>
    <row r="33" spans="1:8" ht="27">
      <c r="A33" s="28" t="s">
        <v>1874</v>
      </c>
      <c r="B33" s="28"/>
      <c r="C33" s="28"/>
      <c r="D33" s="63" t="s">
        <v>2008</v>
      </c>
      <c r="E33" s="61"/>
      <c r="F33" s="61"/>
      <c r="G33" s="19"/>
      <c r="H33" s="28"/>
    </row>
    <row r="34" spans="1:8" ht="27">
      <c r="A34" s="28" t="s">
        <v>1875</v>
      </c>
      <c r="B34" s="28"/>
      <c r="C34" s="28"/>
      <c r="D34" s="63" t="s">
        <v>2009</v>
      </c>
      <c r="E34" s="61"/>
      <c r="F34" s="61"/>
      <c r="G34" s="19"/>
      <c r="H34" s="28"/>
    </row>
    <row r="35" spans="1:8">
      <c r="A35" s="28" t="s">
        <v>1876</v>
      </c>
      <c r="B35" s="28"/>
      <c r="C35" s="28"/>
      <c r="D35" s="63" t="s">
        <v>2010</v>
      </c>
      <c r="E35" s="61"/>
      <c r="F35" s="61"/>
      <c r="G35" s="19"/>
      <c r="H35" s="28"/>
    </row>
    <row r="36" spans="1:8">
      <c r="A36" s="28" t="s">
        <v>1877</v>
      </c>
      <c r="B36" s="28"/>
      <c r="C36" s="28"/>
      <c r="D36" s="67" t="s">
        <v>2011</v>
      </c>
      <c r="E36" s="71">
        <f>1*E28+1*E29+1*E30+1*E31+1*E32+1*E33+1*E34+1*E35</f>
        <v>0</v>
      </c>
      <c r="F36" s="71">
        <f>1*F28+1*F29+1*F30+1*F31+1*F32+1*F33+1*F34+1*F35</f>
        <v>0</v>
      </c>
      <c r="G36" s="19"/>
      <c r="H36" s="28"/>
    </row>
    <row r="37" spans="1:8">
      <c r="A37" s="28" t="s">
        <v>1878</v>
      </c>
      <c r="B37" s="28"/>
      <c r="C37" s="28"/>
      <c r="D37" s="59" t="s">
        <v>2012</v>
      </c>
      <c r="E37" s="58"/>
      <c r="F37" s="58"/>
      <c r="G37" s="19"/>
      <c r="H37" s="28"/>
    </row>
    <row r="38" spans="1:8" ht="27">
      <c r="A38" s="28" t="s">
        <v>1879</v>
      </c>
      <c r="B38" s="28"/>
      <c r="C38" s="28"/>
      <c r="D38" s="63" t="s">
        <v>2013</v>
      </c>
      <c r="E38" s="61"/>
      <c r="F38" s="61"/>
      <c r="G38" s="19"/>
      <c r="H38" s="28"/>
    </row>
    <row r="39" spans="1:8" ht="27">
      <c r="A39" s="28" t="s">
        <v>1880</v>
      </c>
      <c r="B39" s="28"/>
      <c r="C39" s="28"/>
      <c r="D39" s="63" t="s">
        <v>2014</v>
      </c>
      <c r="E39" s="61"/>
      <c r="F39" s="61"/>
      <c r="G39" s="19"/>
      <c r="H39" s="28"/>
    </row>
    <row r="40" spans="1:8" ht="27">
      <c r="A40" s="28" t="s">
        <v>1881</v>
      </c>
      <c r="B40" s="28"/>
      <c r="C40" s="28"/>
      <c r="D40" s="63" t="s">
        <v>2015</v>
      </c>
      <c r="E40" s="61"/>
      <c r="F40" s="61"/>
      <c r="G40" s="19"/>
      <c r="H40" s="28"/>
    </row>
    <row r="41" spans="1:8" ht="27">
      <c r="A41" s="28" t="s">
        <v>1882</v>
      </c>
      <c r="B41" s="28"/>
      <c r="C41" s="28"/>
      <c r="D41" s="63" t="s">
        <v>2016</v>
      </c>
      <c r="E41" s="61"/>
      <c r="F41" s="61"/>
      <c r="G41" s="19"/>
      <c r="H41" s="28"/>
    </row>
    <row r="42" spans="1:8" ht="27">
      <c r="A42" s="28" t="s">
        <v>1883</v>
      </c>
      <c r="B42" s="28"/>
      <c r="C42" s="28"/>
      <c r="D42" s="63" t="s">
        <v>2017</v>
      </c>
      <c r="E42" s="61"/>
      <c r="F42" s="61"/>
      <c r="G42" s="19"/>
      <c r="H42" s="28"/>
    </row>
    <row r="43" spans="1:8" ht="27">
      <c r="A43" s="28" t="s">
        <v>1884</v>
      </c>
      <c r="B43" s="28"/>
      <c r="C43" s="28"/>
      <c r="D43" s="63" t="s">
        <v>2018</v>
      </c>
      <c r="E43" s="61"/>
      <c r="F43" s="61"/>
      <c r="G43" s="19"/>
      <c r="H43" s="28"/>
    </row>
    <row r="44" spans="1:8" ht="27">
      <c r="A44" s="28" t="s">
        <v>1885</v>
      </c>
      <c r="B44" s="28"/>
      <c r="C44" s="28"/>
      <c r="D44" s="63" t="s">
        <v>2019</v>
      </c>
      <c r="E44" s="61"/>
      <c r="F44" s="61"/>
      <c r="G44" s="19"/>
      <c r="H44" s="28"/>
    </row>
    <row r="45" spans="1:8">
      <c r="A45" s="28" t="s">
        <v>1886</v>
      </c>
      <c r="B45" s="28"/>
      <c r="C45" s="28"/>
      <c r="D45" s="63" t="s">
        <v>2020</v>
      </c>
      <c r="E45" s="61"/>
      <c r="F45" s="61"/>
      <c r="G45" s="19"/>
      <c r="H45" s="28"/>
    </row>
    <row r="46" spans="1:8" ht="27">
      <c r="A46" s="28" t="s">
        <v>1887</v>
      </c>
      <c r="B46" s="28"/>
      <c r="C46" s="28"/>
      <c r="D46" s="67" t="s">
        <v>2021</v>
      </c>
      <c r="E46" s="71">
        <f>1*E38+1*E39+1*E40+1*E41+1*E42+1*E43+1*E44+1*E45</f>
        <v>0</v>
      </c>
      <c r="F46" s="71">
        <f>1*F38+1*F39+1*F40+1*F41+1*F42+1*F43+1*F44+1*F45</f>
        <v>0</v>
      </c>
      <c r="G46" s="19"/>
      <c r="H46" s="28"/>
    </row>
    <row r="47" spans="1:8">
      <c r="A47" s="28" t="s">
        <v>1888</v>
      </c>
      <c r="B47" s="28"/>
      <c r="C47" s="28"/>
      <c r="D47" s="59" t="s">
        <v>2022</v>
      </c>
      <c r="E47" s="58"/>
      <c r="F47" s="58"/>
      <c r="G47" s="19"/>
      <c r="H47" s="28"/>
    </row>
    <row r="48" spans="1:8" ht="27">
      <c r="A48" s="28" t="s">
        <v>1889</v>
      </c>
      <c r="B48" s="28"/>
      <c r="C48" s="28"/>
      <c r="D48" s="63" t="s">
        <v>2023</v>
      </c>
      <c r="E48" s="61"/>
      <c r="F48" s="61"/>
      <c r="G48" s="19"/>
      <c r="H48" s="28"/>
    </row>
    <row r="49" spans="1:8">
      <c r="A49" s="28" t="s">
        <v>1890</v>
      </c>
      <c r="B49" s="28"/>
      <c r="C49" s="28"/>
      <c r="D49" s="63" t="s">
        <v>2024</v>
      </c>
      <c r="E49" s="61"/>
      <c r="F49" s="61"/>
      <c r="G49" s="19"/>
      <c r="H49" s="28"/>
    </row>
    <row r="50" spans="1:8">
      <c r="A50" s="28" t="s">
        <v>1891</v>
      </c>
      <c r="B50" s="28"/>
      <c r="C50" s="28"/>
      <c r="D50" s="67" t="s">
        <v>2025</v>
      </c>
      <c r="E50" s="71">
        <f>1*E48+1*E49</f>
        <v>0</v>
      </c>
      <c r="F50" s="71">
        <f>1*F48+1*F49</f>
        <v>0</v>
      </c>
      <c r="G50" s="19"/>
      <c r="H50" s="28"/>
    </row>
    <row r="51" spans="1:8">
      <c r="A51" s="28" t="s">
        <v>1892</v>
      </c>
      <c r="B51" s="28"/>
      <c r="C51" s="28"/>
      <c r="D51" s="59" t="s">
        <v>2026</v>
      </c>
      <c r="E51" s="58"/>
      <c r="F51" s="58"/>
      <c r="G51" s="19"/>
      <c r="H51" s="28"/>
    </row>
    <row r="52" spans="1:8">
      <c r="A52" s="28" t="s">
        <v>1893</v>
      </c>
      <c r="B52" s="28"/>
      <c r="C52" s="28"/>
      <c r="D52" s="63" t="s">
        <v>2027</v>
      </c>
      <c r="E52" s="61"/>
      <c r="F52" s="61"/>
      <c r="G52" s="19"/>
      <c r="H52" s="28"/>
    </row>
    <row r="53" spans="1:8" ht="27">
      <c r="A53" s="28" t="s">
        <v>1894</v>
      </c>
      <c r="B53" s="28"/>
      <c r="C53" s="28"/>
      <c r="D53" s="63" t="s">
        <v>2028</v>
      </c>
      <c r="E53" s="61"/>
      <c r="F53" s="61"/>
      <c r="G53" s="19"/>
      <c r="H53" s="28"/>
    </row>
    <row r="54" spans="1:8">
      <c r="A54" s="28" t="s">
        <v>1895</v>
      </c>
      <c r="B54" s="28"/>
      <c r="C54" s="28"/>
      <c r="D54" s="63" t="s">
        <v>2026</v>
      </c>
      <c r="E54" s="61"/>
      <c r="F54" s="61"/>
      <c r="G54" s="19"/>
      <c r="H54" s="28"/>
    </row>
    <row r="55" spans="1:8" ht="27">
      <c r="A55" s="28" t="s">
        <v>1896</v>
      </c>
      <c r="B55" s="28"/>
      <c r="C55" s="28"/>
      <c r="D55" s="67" t="s">
        <v>2029</v>
      </c>
      <c r="E55" s="71">
        <f>1*E52+1*E53+1*E54</f>
        <v>0</v>
      </c>
      <c r="F55" s="71">
        <f>1*F52+1*F53+1*F54</f>
        <v>0</v>
      </c>
      <c r="G55" s="19"/>
      <c r="H55" s="28"/>
    </row>
    <row r="56" spans="1:8">
      <c r="A56" s="28" t="s">
        <v>1897</v>
      </c>
      <c r="B56" s="28"/>
      <c r="C56" s="28"/>
      <c r="D56" s="38" t="s">
        <v>2030</v>
      </c>
      <c r="E56" s="61"/>
      <c r="F56" s="61"/>
      <c r="G56" s="19"/>
      <c r="H56" s="28"/>
    </row>
    <row r="57" spans="1:8">
      <c r="A57" s="28" t="s">
        <v>1898</v>
      </c>
      <c r="B57" s="28"/>
      <c r="C57" s="28"/>
      <c r="D57" s="38" t="s">
        <v>2031</v>
      </c>
      <c r="E57" s="61"/>
      <c r="F57" s="61"/>
      <c r="G57" s="19"/>
      <c r="H57" s="28"/>
    </row>
    <row r="58" spans="1:8">
      <c r="A58" s="28" t="s">
        <v>1899</v>
      </c>
      <c r="B58" s="28"/>
      <c r="C58" s="28"/>
      <c r="D58" s="38" t="s">
        <v>2032</v>
      </c>
      <c r="E58" s="61"/>
      <c r="F58" s="61"/>
      <c r="G58" s="19"/>
      <c r="H58" s="28"/>
    </row>
    <row r="59" spans="1:8">
      <c r="A59" s="28" t="s">
        <v>1900</v>
      </c>
      <c r="B59" s="28"/>
      <c r="C59" s="28"/>
      <c r="D59" s="38" t="s">
        <v>2033</v>
      </c>
      <c r="E59" s="61"/>
      <c r="F59" s="61"/>
      <c r="G59" s="19"/>
      <c r="H59" s="28"/>
    </row>
    <row r="60" spans="1:8" ht="15" thickBot="1">
      <c r="A60" s="28" t="s">
        <v>1901</v>
      </c>
      <c r="B60" s="28"/>
      <c r="C60" s="28"/>
      <c r="D60" s="70" t="s">
        <v>2122</v>
      </c>
      <c r="E60" s="65">
        <f>1*E36+1*E46+1*E50+1*E55+1*E56+1*E57+1*E58+1*E59</f>
        <v>0</v>
      </c>
      <c r="F60" s="65">
        <f>1*F36+1*F46+1*F50+1*F55+1*F56+1*F57+1*F58+1*F59</f>
        <v>0</v>
      </c>
      <c r="G60" s="62" t="s">
        <v>865</v>
      </c>
      <c r="H60" s="28"/>
    </row>
    <row r="61" spans="1:8" ht="15" thickTop="1">
      <c r="A61" s="28" t="s">
        <v>1902</v>
      </c>
      <c r="B61" s="28"/>
      <c r="C61" s="28"/>
      <c r="D61" s="57" t="s">
        <v>2034</v>
      </c>
      <c r="E61" s="66"/>
      <c r="F61" s="66"/>
      <c r="G61" s="19"/>
      <c r="H61" s="28"/>
    </row>
    <row r="62" spans="1:8">
      <c r="A62" s="28" t="s">
        <v>1903</v>
      </c>
      <c r="B62" s="28"/>
      <c r="C62" s="28"/>
      <c r="D62" s="38" t="s">
        <v>2035</v>
      </c>
      <c r="E62" s="61"/>
      <c r="F62" s="61"/>
      <c r="G62" s="19"/>
      <c r="H62" s="28"/>
    </row>
    <row r="63" spans="1:8">
      <c r="A63" s="28" t="s">
        <v>1904</v>
      </c>
      <c r="B63" s="28"/>
      <c r="C63" s="28"/>
      <c r="D63" s="38" t="s">
        <v>2036</v>
      </c>
      <c r="E63" s="61"/>
      <c r="F63" s="61"/>
      <c r="G63" s="19"/>
      <c r="H63" s="28"/>
    </row>
    <row r="64" spans="1:8">
      <c r="A64" s="28" t="s">
        <v>1905</v>
      </c>
      <c r="B64" s="28"/>
      <c r="C64" s="28"/>
      <c r="D64" s="38" t="s">
        <v>2037</v>
      </c>
      <c r="E64" s="61"/>
      <c r="F64" s="61"/>
      <c r="G64" s="19"/>
      <c r="H64" s="28"/>
    </row>
    <row r="65" spans="1:8">
      <c r="A65" s="28" t="s">
        <v>1906</v>
      </c>
      <c r="B65" s="28"/>
      <c r="C65" s="28"/>
      <c r="D65" s="38" t="s">
        <v>2038</v>
      </c>
      <c r="E65" s="61"/>
      <c r="F65" s="61"/>
      <c r="G65" s="19"/>
      <c r="H65" s="28"/>
    </row>
    <row r="66" spans="1:8">
      <c r="A66" s="28" t="s">
        <v>1907</v>
      </c>
      <c r="B66" s="28"/>
      <c r="C66" s="28"/>
      <c r="D66" s="38" t="s">
        <v>2039</v>
      </c>
      <c r="E66" s="61"/>
      <c r="F66" s="61"/>
      <c r="G66" s="19"/>
      <c r="H66" s="28"/>
    </row>
    <row r="67" spans="1:8" ht="15" thickBot="1">
      <c r="A67" s="28" t="s">
        <v>1908</v>
      </c>
      <c r="B67" s="28"/>
      <c r="C67" s="28"/>
      <c r="D67" s="70" t="s">
        <v>2123</v>
      </c>
      <c r="E67" s="65">
        <f>1*E62+1*E63+1*E64+1*E65+1*E66</f>
        <v>0</v>
      </c>
      <c r="F67" s="65">
        <f>1*F62+1*F63+1*F64+1*F65+1*F66</f>
        <v>0</v>
      </c>
      <c r="G67" s="62" t="s">
        <v>865</v>
      </c>
      <c r="H67" s="28"/>
    </row>
    <row r="68" spans="1:8" ht="15" thickTop="1">
      <c r="A68" s="28" t="s">
        <v>1909</v>
      </c>
      <c r="B68" s="28"/>
      <c r="C68" s="28"/>
      <c r="D68" s="57" t="s">
        <v>2040</v>
      </c>
      <c r="E68" s="66"/>
      <c r="F68" s="66"/>
      <c r="G68" s="19"/>
      <c r="H68" s="28"/>
    </row>
    <row r="69" spans="1:8">
      <c r="A69" s="28" t="s">
        <v>1910</v>
      </c>
      <c r="B69" s="28"/>
      <c r="C69" s="28"/>
      <c r="D69" s="38" t="s">
        <v>1701</v>
      </c>
      <c r="E69" s="61"/>
      <c r="F69" s="61"/>
      <c r="G69" s="19"/>
      <c r="H69" s="28"/>
    </row>
    <row r="70" spans="1:8">
      <c r="A70" s="28" t="s">
        <v>1911</v>
      </c>
      <c r="B70" s="28"/>
      <c r="C70" s="28"/>
      <c r="D70" s="38" t="s">
        <v>2041</v>
      </c>
      <c r="E70" s="61"/>
      <c r="F70" s="61"/>
      <c r="G70" s="19"/>
      <c r="H70" s="28"/>
    </row>
    <row r="71" spans="1:8">
      <c r="A71" s="28" t="s">
        <v>1912</v>
      </c>
      <c r="B71" s="28"/>
      <c r="C71" s="28"/>
      <c r="D71" s="38" t="s">
        <v>2030</v>
      </c>
      <c r="E71" s="61"/>
      <c r="F71" s="61"/>
      <c r="G71" s="19"/>
      <c r="H71" s="28"/>
    </row>
    <row r="72" spans="1:8">
      <c r="A72" s="28" t="s">
        <v>1913</v>
      </c>
      <c r="B72" s="28"/>
      <c r="C72" s="28"/>
      <c r="D72" s="38" t="s">
        <v>2042</v>
      </c>
      <c r="E72" s="61"/>
      <c r="F72" s="61"/>
      <c r="G72" s="19"/>
      <c r="H72" s="28"/>
    </row>
    <row r="73" spans="1:8">
      <c r="A73" s="28" t="s">
        <v>1914</v>
      </c>
      <c r="B73" s="28"/>
      <c r="C73" s="28"/>
      <c r="D73" s="38" t="s">
        <v>2043</v>
      </c>
      <c r="E73" s="61"/>
      <c r="F73" s="61"/>
      <c r="G73" s="19"/>
      <c r="H73" s="28"/>
    </row>
    <row r="74" spans="1:8" ht="27">
      <c r="A74" s="28" t="s">
        <v>1915</v>
      </c>
      <c r="B74" s="28"/>
      <c r="C74" s="28"/>
      <c r="D74" s="38" t="s">
        <v>2044</v>
      </c>
      <c r="E74" s="61"/>
      <c r="F74" s="61"/>
      <c r="G74" s="19"/>
      <c r="H74" s="28"/>
    </row>
    <row r="75" spans="1:8" ht="27">
      <c r="A75" s="28" t="s">
        <v>1916</v>
      </c>
      <c r="B75" s="28"/>
      <c r="C75" s="28"/>
      <c r="D75" s="38" t="s">
        <v>2045</v>
      </c>
      <c r="E75" s="61"/>
      <c r="F75" s="61"/>
      <c r="G75" s="19"/>
      <c r="H75" s="28"/>
    </row>
    <row r="76" spans="1:8" ht="27">
      <c r="A76" s="28" t="s">
        <v>1917</v>
      </c>
      <c r="B76" s="28"/>
      <c r="C76" s="28"/>
      <c r="D76" s="38" t="s">
        <v>2046</v>
      </c>
      <c r="E76" s="61"/>
      <c r="F76" s="61"/>
      <c r="G76" s="19"/>
      <c r="H76" s="28"/>
    </row>
    <row r="77" spans="1:8" ht="27">
      <c r="A77" s="28" t="s">
        <v>1918</v>
      </c>
      <c r="B77" s="28"/>
      <c r="C77" s="28"/>
      <c r="D77" s="38" t="s">
        <v>2047</v>
      </c>
      <c r="E77" s="61"/>
      <c r="F77" s="61"/>
      <c r="G77" s="19"/>
      <c r="H77" s="28"/>
    </row>
    <row r="78" spans="1:8" ht="27">
      <c r="A78" s="28" t="s">
        <v>1919</v>
      </c>
      <c r="B78" s="28"/>
      <c r="C78" s="28"/>
      <c r="D78" s="38" t="s">
        <v>2048</v>
      </c>
      <c r="E78" s="61"/>
      <c r="F78" s="61"/>
      <c r="G78" s="19"/>
      <c r="H78" s="28"/>
    </row>
    <row r="79" spans="1:8" ht="27">
      <c r="A79" s="28" t="s">
        <v>1920</v>
      </c>
      <c r="B79" s="28"/>
      <c r="C79" s="28"/>
      <c r="D79" s="38" t="s">
        <v>2049</v>
      </c>
      <c r="E79" s="61"/>
      <c r="F79" s="61"/>
      <c r="G79" s="19"/>
      <c r="H79" s="28"/>
    </row>
    <row r="80" spans="1:8">
      <c r="A80" s="28" t="s">
        <v>1921</v>
      </c>
      <c r="B80" s="28"/>
      <c r="C80" s="28"/>
      <c r="D80" s="59" t="s">
        <v>2050</v>
      </c>
      <c r="E80" s="58"/>
      <c r="F80" s="58"/>
      <c r="G80" s="19"/>
      <c r="H80" s="28"/>
    </row>
    <row r="81" spans="1:8">
      <c r="A81" s="28" t="s">
        <v>1922</v>
      </c>
      <c r="B81" s="28"/>
      <c r="C81" s="28"/>
      <c r="D81" s="63" t="s">
        <v>2051</v>
      </c>
      <c r="E81" s="61"/>
      <c r="F81" s="61"/>
      <c r="G81" s="19"/>
      <c r="H81" s="28"/>
    </row>
    <row r="82" spans="1:8">
      <c r="A82" s="28" t="s">
        <v>1923</v>
      </c>
      <c r="B82" s="28"/>
      <c r="C82" s="28"/>
      <c r="D82" s="63" t="s">
        <v>2052</v>
      </c>
      <c r="E82" s="61"/>
      <c r="F82" s="61"/>
      <c r="G82" s="19"/>
      <c r="H82" s="28"/>
    </row>
    <row r="83" spans="1:8">
      <c r="A83" s="28" t="s">
        <v>1924</v>
      </c>
      <c r="B83" s="28"/>
      <c r="C83" s="28"/>
      <c r="D83" s="67" t="s">
        <v>2053</v>
      </c>
      <c r="E83" s="71">
        <f>1*E81+1*E82</f>
        <v>0</v>
      </c>
      <c r="F83" s="71">
        <f>1*F81+1*F82</f>
        <v>0</v>
      </c>
      <c r="G83" s="19"/>
      <c r="H83" s="28"/>
    </row>
    <row r="84" spans="1:8" ht="27">
      <c r="A84" s="28" t="s">
        <v>1925</v>
      </c>
      <c r="B84" s="28"/>
      <c r="C84" s="28"/>
      <c r="D84" s="59" t="s">
        <v>2054</v>
      </c>
      <c r="E84" s="58"/>
      <c r="F84" s="58"/>
      <c r="G84" s="19"/>
      <c r="H84" s="28"/>
    </row>
    <row r="85" spans="1:8">
      <c r="A85" s="28" t="s">
        <v>1926</v>
      </c>
      <c r="B85" s="28"/>
      <c r="C85" s="28"/>
      <c r="D85" s="63" t="s">
        <v>2055</v>
      </c>
      <c r="E85" s="61"/>
      <c r="F85" s="61"/>
      <c r="G85" s="19"/>
      <c r="H85" s="28"/>
    </row>
    <row r="86" spans="1:8">
      <c r="A86" s="28" t="s">
        <v>1927</v>
      </c>
      <c r="B86" s="28"/>
      <c r="C86" s="28"/>
      <c r="D86" s="63" t="s">
        <v>2056</v>
      </c>
      <c r="E86" s="61"/>
      <c r="F86" s="61"/>
      <c r="G86" s="19"/>
      <c r="H86" s="28"/>
    </row>
    <row r="87" spans="1:8">
      <c r="A87" s="28" t="s">
        <v>1928</v>
      </c>
      <c r="B87" s="28"/>
      <c r="C87" s="28"/>
      <c r="D87" s="63" t="s">
        <v>2057</v>
      </c>
      <c r="E87" s="61"/>
      <c r="F87" s="61"/>
      <c r="G87" s="19"/>
      <c r="H87" s="28"/>
    </row>
    <row r="88" spans="1:8" ht="40.5">
      <c r="A88" s="28" t="s">
        <v>1929</v>
      </c>
      <c r="B88" s="28"/>
      <c r="C88" s="28"/>
      <c r="D88" s="67" t="s">
        <v>2058</v>
      </c>
      <c r="E88" s="71">
        <f>1*E85+1*E86+1*E87</f>
        <v>0</v>
      </c>
      <c r="F88" s="71">
        <f>1*F85+1*F86+1*F87</f>
        <v>0</v>
      </c>
      <c r="G88" s="19"/>
      <c r="H88" s="28"/>
    </row>
    <row r="89" spans="1:8">
      <c r="A89" s="28" t="s">
        <v>1930</v>
      </c>
      <c r="B89" s="28"/>
      <c r="C89" s="28"/>
      <c r="D89" s="38" t="s">
        <v>2059</v>
      </c>
      <c r="E89" s="61"/>
      <c r="F89" s="61"/>
      <c r="G89" s="19"/>
      <c r="H89" s="28"/>
    </row>
    <row r="90" spans="1:8" ht="27">
      <c r="A90" s="28" t="s">
        <v>1931</v>
      </c>
      <c r="B90" s="28"/>
      <c r="C90" s="28"/>
      <c r="D90" s="38" t="s">
        <v>2060</v>
      </c>
      <c r="E90" s="61"/>
      <c r="F90" s="61"/>
      <c r="G90" s="19"/>
      <c r="H90" s="28"/>
    </row>
    <row r="91" spans="1:8" ht="27">
      <c r="A91" s="28" t="s">
        <v>1932</v>
      </c>
      <c r="B91" s="28"/>
      <c r="C91" s="28"/>
      <c r="D91" s="38" t="s">
        <v>2061</v>
      </c>
      <c r="E91" s="61"/>
      <c r="F91" s="61"/>
      <c r="G91" s="19"/>
      <c r="H91" s="28"/>
    </row>
    <row r="92" spans="1:8" ht="27">
      <c r="A92" s="28" t="s">
        <v>1933</v>
      </c>
      <c r="B92" s="28"/>
      <c r="C92" s="28"/>
      <c r="D92" s="38" t="s">
        <v>2062</v>
      </c>
      <c r="E92" s="61"/>
      <c r="F92" s="61"/>
      <c r="G92" s="19"/>
      <c r="H92" s="28"/>
    </row>
    <row r="93" spans="1:8" ht="27">
      <c r="A93" s="28" t="s">
        <v>1934</v>
      </c>
      <c r="B93" s="28"/>
      <c r="C93" s="28"/>
      <c r="D93" s="59" t="s">
        <v>2063</v>
      </c>
      <c r="E93" s="58"/>
      <c r="F93" s="58"/>
      <c r="G93" s="19"/>
      <c r="H93" s="28"/>
    </row>
    <row r="94" spans="1:8" ht="27">
      <c r="A94" s="28" t="s">
        <v>1935</v>
      </c>
      <c r="B94" s="28"/>
      <c r="C94" s="28"/>
      <c r="D94" s="63" t="s">
        <v>2064</v>
      </c>
      <c r="E94" s="61"/>
      <c r="F94" s="61"/>
      <c r="G94" s="19"/>
      <c r="H94" s="28"/>
    </row>
    <row r="95" spans="1:8" ht="27">
      <c r="A95" s="28" t="s">
        <v>1936</v>
      </c>
      <c r="B95" s="28"/>
      <c r="C95" s="28"/>
      <c r="D95" s="63" t="s">
        <v>2065</v>
      </c>
      <c r="E95" s="61"/>
      <c r="F95" s="61"/>
      <c r="G95" s="19"/>
      <c r="H95" s="28"/>
    </row>
    <row r="96" spans="1:8" ht="27">
      <c r="A96" s="28" t="s">
        <v>1937</v>
      </c>
      <c r="B96" s="28"/>
      <c r="C96" s="28"/>
      <c r="D96" s="63" t="s">
        <v>2066</v>
      </c>
      <c r="E96" s="61"/>
      <c r="F96" s="61"/>
      <c r="G96" s="19"/>
      <c r="H96" s="28"/>
    </row>
    <row r="97" spans="1:8" ht="27">
      <c r="A97" s="28" t="s">
        <v>1938</v>
      </c>
      <c r="B97" s="28"/>
      <c r="C97" s="28"/>
      <c r="D97" s="63" t="s">
        <v>2067</v>
      </c>
      <c r="E97" s="61"/>
      <c r="F97" s="61"/>
      <c r="G97" s="19"/>
      <c r="H97" s="28"/>
    </row>
    <row r="98" spans="1:8">
      <c r="A98" s="28" t="s">
        <v>1939</v>
      </c>
      <c r="B98" s="28"/>
      <c r="C98" s="28"/>
      <c r="D98" s="63" t="s">
        <v>2068</v>
      </c>
      <c r="E98" s="61"/>
      <c r="F98" s="61"/>
      <c r="G98" s="19"/>
      <c r="H98" s="28"/>
    </row>
    <row r="99" spans="1:8" ht="27">
      <c r="A99" s="28" t="s">
        <v>1940</v>
      </c>
      <c r="B99" s="28"/>
      <c r="C99" s="28"/>
      <c r="D99" s="67" t="s">
        <v>2069</v>
      </c>
      <c r="E99" s="71">
        <f>1*E94+1*E95+1*E96+1*E97+1*E98</f>
        <v>0</v>
      </c>
      <c r="F99" s="71">
        <f>1*F94+1*F95+1*F96+1*F97+1*F98</f>
        <v>0</v>
      </c>
      <c r="G99" s="19"/>
      <c r="H99" s="28"/>
    </row>
    <row r="100" spans="1:8" ht="27">
      <c r="A100" s="28" t="s">
        <v>1941</v>
      </c>
      <c r="B100" s="28"/>
      <c r="C100" s="28"/>
      <c r="D100" s="38" t="s">
        <v>2070</v>
      </c>
      <c r="E100" s="61"/>
      <c r="F100" s="61"/>
      <c r="G100" s="19"/>
      <c r="H100" s="28"/>
    </row>
    <row r="101" spans="1:8">
      <c r="A101" s="28" t="s">
        <v>1942</v>
      </c>
      <c r="B101" s="28"/>
      <c r="C101" s="28"/>
      <c r="D101" s="38" t="s">
        <v>2022</v>
      </c>
      <c r="E101" s="61"/>
      <c r="F101" s="61"/>
      <c r="G101" s="19"/>
      <c r="H101" s="28"/>
    </row>
    <row r="102" spans="1:8">
      <c r="A102" s="28" t="s">
        <v>1943</v>
      </c>
      <c r="B102" s="28"/>
      <c r="C102" s="28"/>
      <c r="D102" s="38" t="s">
        <v>2071</v>
      </c>
      <c r="E102" s="61"/>
      <c r="F102" s="61"/>
      <c r="G102" s="19"/>
      <c r="H102" s="28"/>
    </row>
    <row r="103" spans="1:8">
      <c r="A103" s="28" t="s">
        <v>1944</v>
      </c>
      <c r="B103" s="28"/>
      <c r="C103" s="28"/>
      <c r="D103" s="38" t="s">
        <v>2072</v>
      </c>
      <c r="E103" s="61"/>
      <c r="F103" s="61"/>
      <c r="G103" s="19"/>
      <c r="H103" s="28"/>
    </row>
    <row r="104" spans="1:8">
      <c r="A104" s="28" t="s">
        <v>1945</v>
      </c>
      <c r="B104" s="28"/>
      <c r="C104" s="28"/>
      <c r="D104" s="38" t="s">
        <v>2073</v>
      </c>
      <c r="E104" s="61"/>
      <c r="F104" s="61"/>
      <c r="G104" s="19"/>
      <c r="H104" s="28"/>
    </row>
    <row r="105" spans="1:8" ht="27">
      <c r="A105" s="28" t="s">
        <v>1946</v>
      </c>
      <c r="B105" s="28"/>
      <c r="C105" s="28"/>
      <c r="D105" s="38" t="s">
        <v>2074</v>
      </c>
      <c r="E105" s="61"/>
      <c r="F105" s="61"/>
      <c r="G105" s="19"/>
      <c r="H105" s="28"/>
    </row>
    <row r="106" spans="1:8">
      <c r="A106" s="28" t="s">
        <v>1947</v>
      </c>
      <c r="B106" s="28"/>
      <c r="C106" s="28"/>
      <c r="D106" s="38" t="s">
        <v>2075</v>
      </c>
      <c r="E106" s="61"/>
      <c r="F106" s="61"/>
      <c r="G106" s="19"/>
      <c r="H106" s="28"/>
    </row>
    <row r="107" spans="1:8">
      <c r="A107" s="28" t="s">
        <v>1948</v>
      </c>
      <c r="B107" s="28"/>
      <c r="C107" s="28"/>
      <c r="D107" s="38" t="s">
        <v>2076</v>
      </c>
      <c r="E107" s="61"/>
      <c r="F107" s="61"/>
      <c r="G107" s="19"/>
      <c r="H107" s="28"/>
    </row>
    <row r="108" spans="1:8">
      <c r="A108" s="28" t="s">
        <v>1949</v>
      </c>
      <c r="B108" s="28"/>
      <c r="C108" s="28"/>
      <c r="D108" s="38" t="s">
        <v>2077</v>
      </c>
      <c r="E108" s="61"/>
      <c r="F108" s="61"/>
      <c r="G108" s="19"/>
      <c r="H108" s="28"/>
    </row>
    <row r="109" spans="1:8">
      <c r="A109" s="28" t="s">
        <v>1950</v>
      </c>
      <c r="B109" s="28"/>
      <c r="C109" s="28"/>
      <c r="D109" s="38" t="s">
        <v>2078</v>
      </c>
      <c r="E109" s="61"/>
      <c r="F109" s="61"/>
      <c r="G109" s="19"/>
      <c r="H109" s="28"/>
    </row>
    <row r="110" spans="1:8" ht="15" thickBot="1">
      <c r="A110" s="28" t="s">
        <v>1951</v>
      </c>
      <c r="B110" s="28"/>
      <c r="C110" s="28"/>
      <c r="D110" s="70" t="s">
        <v>2124</v>
      </c>
      <c r="E110" s="65">
        <f>1*E69+1*E70+1*E71+1*E72+1*E73+1*E74+1*E75+1*E76+1*E77+1*E78+1*E79+1*E83+1*E88+1*E89+1*E90+1*E91+1*E92+1*E99+1*E100+1*E101+1*E102+1*E105+1*E106+1*E107+1*E108+1*E109+1*E104+1*E103</f>
        <v>0</v>
      </c>
      <c r="F110" s="65">
        <f>1*F69+1*F70+1*F71+1*F72+1*F73+1*F74+1*F75+1*F76+1*F77+1*F78+1*F79+1*F83+1*F88+1*F89+1*F90+1*F91+1*F92+1*F99+1*F100+1*F101+1*F102+1*F105+1*F106+1*F107+1*F108+1*F109+1*F104+1*F103</f>
        <v>0</v>
      </c>
      <c r="G110" s="62" t="s">
        <v>865</v>
      </c>
      <c r="H110" s="28"/>
    </row>
    <row r="111" spans="1:8" ht="15" thickTop="1">
      <c r="A111" s="28" t="s">
        <v>1952</v>
      </c>
      <c r="B111" s="28"/>
      <c r="C111" s="28"/>
      <c r="D111" s="57" t="s">
        <v>2079</v>
      </c>
      <c r="E111" s="66"/>
      <c r="F111" s="66"/>
      <c r="G111" s="19"/>
      <c r="H111" s="28"/>
    </row>
    <row r="112" spans="1:8">
      <c r="A112" s="28" t="s">
        <v>1953</v>
      </c>
      <c r="B112" s="28"/>
      <c r="C112" s="28"/>
      <c r="D112" s="59" t="s">
        <v>2080</v>
      </c>
      <c r="E112" s="58"/>
      <c r="F112" s="58"/>
      <c r="G112" s="19"/>
      <c r="H112" s="28"/>
    </row>
    <row r="113" spans="1:8">
      <c r="A113" s="28" t="s">
        <v>1954</v>
      </c>
      <c r="B113" s="28"/>
      <c r="C113" s="28"/>
      <c r="D113" s="63" t="s">
        <v>2081</v>
      </c>
      <c r="E113" s="61"/>
      <c r="F113" s="61"/>
      <c r="G113" s="19"/>
      <c r="H113" s="28"/>
    </row>
    <row r="114" spans="1:8">
      <c r="A114" s="28" t="s">
        <v>1955</v>
      </c>
      <c r="B114" s="28"/>
      <c r="C114" s="28"/>
      <c r="D114" s="63" t="s">
        <v>2082</v>
      </c>
      <c r="E114" s="61"/>
      <c r="F114" s="61"/>
      <c r="G114" s="19"/>
      <c r="H114" s="28"/>
    </row>
    <row r="115" spans="1:8">
      <c r="A115" s="28" t="s">
        <v>1956</v>
      </c>
      <c r="B115" s="28"/>
      <c r="C115" s="28"/>
      <c r="D115" s="67" t="s">
        <v>2083</v>
      </c>
      <c r="E115" s="71">
        <f>1*E113+1*E114</f>
        <v>0</v>
      </c>
      <c r="F115" s="71">
        <f>1*F113+1*F114</f>
        <v>0</v>
      </c>
      <c r="G115" s="19"/>
      <c r="H115" s="28"/>
    </row>
    <row r="116" spans="1:8">
      <c r="A116" s="28" t="s">
        <v>1957</v>
      </c>
      <c r="B116" s="28"/>
      <c r="C116" s="28"/>
      <c r="D116" s="38" t="s">
        <v>2084</v>
      </c>
      <c r="E116" s="61"/>
      <c r="F116" s="61"/>
      <c r="G116" s="19"/>
      <c r="H116" s="28"/>
    </row>
    <row r="117" spans="1:8">
      <c r="A117" s="28" t="s">
        <v>1958</v>
      </c>
      <c r="B117" s="28"/>
      <c r="C117" s="28"/>
      <c r="D117" s="38" t="s">
        <v>2085</v>
      </c>
      <c r="E117" s="61"/>
      <c r="F117" s="61"/>
      <c r="G117" s="19"/>
      <c r="H117" s="28"/>
    </row>
    <row r="118" spans="1:8">
      <c r="A118" s="28" t="s">
        <v>1959</v>
      </c>
      <c r="B118" s="28"/>
      <c r="C118" s="28"/>
      <c r="D118" s="38" t="s">
        <v>2086</v>
      </c>
      <c r="E118" s="61"/>
      <c r="F118" s="61"/>
      <c r="G118" s="19"/>
      <c r="H118" s="28"/>
    </row>
    <row r="119" spans="1:8" ht="27">
      <c r="A119" s="28" t="s">
        <v>1960</v>
      </c>
      <c r="B119" s="28"/>
      <c r="C119" s="28"/>
      <c r="D119" s="59" t="s">
        <v>2087</v>
      </c>
      <c r="E119" s="58"/>
      <c r="F119" s="58"/>
      <c r="G119" s="19"/>
      <c r="H119" s="28"/>
    </row>
    <row r="120" spans="1:8">
      <c r="A120" s="28" t="s">
        <v>1961</v>
      </c>
      <c r="B120" s="28"/>
      <c r="C120" s="28"/>
      <c r="D120" s="63" t="s">
        <v>2088</v>
      </c>
      <c r="E120" s="61"/>
      <c r="F120" s="61"/>
      <c r="G120" s="19"/>
      <c r="H120" s="28"/>
    </row>
    <row r="121" spans="1:8">
      <c r="A121" s="28" t="s">
        <v>1962</v>
      </c>
      <c r="B121" s="28"/>
      <c r="C121" s="28"/>
      <c r="D121" s="63" t="s">
        <v>2089</v>
      </c>
      <c r="E121" s="61"/>
      <c r="F121" s="61"/>
      <c r="G121" s="19"/>
      <c r="H121" s="28"/>
    </row>
    <row r="122" spans="1:8">
      <c r="A122" s="28" t="s">
        <v>1963</v>
      </c>
      <c r="B122" s="28"/>
      <c r="C122" s="28"/>
      <c r="D122" s="63" t="s">
        <v>2090</v>
      </c>
      <c r="E122" s="61"/>
      <c r="F122" s="61"/>
      <c r="G122" s="19"/>
      <c r="H122" s="28"/>
    </row>
    <row r="123" spans="1:8" ht="27">
      <c r="A123" s="28" t="s">
        <v>1964</v>
      </c>
      <c r="B123" s="28"/>
      <c r="C123" s="28"/>
      <c r="D123" s="67" t="s">
        <v>2091</v>
      </c>
      <c r="E123" s="71">
        <f>1*E120+1*E121+1*E122</f>
        <v>0</v>
      </c>
      <c r="F123" s="71">
        <f>1*F120+1*F121+1*F122</f>
        <v>0</v>
      </c>
      <c r="G123" s="19"/>
      <c r="H123" s="28"/>
    </row>
    <row r="124" spans="1:8">
      <c r="A124" s="28" t="s">
        <v>1965</v>
      </c>
      <c r="B124" s="28"/>
      <c r="C124" s="28"/>
      <c r="D124" s="38" t="s">
        <v>2092</v>
      </c>
      <c r="E124" s="61"/>
      <c r="F124" s="61"/>
      <c r="G124" s="19"/>
      <c r="H124" s="28"/>
    </row>
    <row r="125" spans="1:8" ht="27">
      <c r="A125" s="28" t="s">
        <v>1966</v>
      </c>
      <c r="B125" s="28"/>
      <c r="C125" s="28"/>
      <c r="D125" s="38" t="s">
        <v>2093</v>
      </c>
      <c r="E125" s="61"/>
      <c r="F125" s="61"/>
      <c r="G125" s="19"/>
      <c r="H125" s="28"/>
    </row>
    <row r="126" spans="1:8">
      <c r="A126" s="28" t="s">
        <v>1967</v>
      </c>
      <c r="B126" s="28"/>
      <c r="C126" s="28"/>
      <c r="D126" s="38" t="s">
        <v>2094</v>
      </c>
      <c r="E126" s="61"/>
      <c r="F126" s="61"/>
      <c r="G126" s="19"/>
      <c r="H126" s="28"/>
    </row>
    <row r="127" spans="1:8" ht="27">
      <c r="A127" s="28" t="s">
        <v>1968</v>
      </c>
      <c r="B127" s="28"/>
      <c r="C127" s="28"/>
      <c r="D127" s="38" t="s">
        <v>2095</v>
      </c>
      <c r="E127" s="61"/>
      <c r="F127" s="61"/>
      <c r="G127" s="19"/>
      <c r="H127" s="28"/>
    </row>
    <row r="128" spans="1:8">
      <c r="A128" s="28" t="s">
        <v>1969</v>
      </c>
      <c r="B128" s="28"/>
      <c r="C128" s="28"/>
      <c r="D128" s="38" t="s">
        <v>2096</v>
      </c>
      <c r="E128" s="61"/>
      <c r="F128" s="61"/>
      <c r="G128" s="19"/>
      <c r="H128" s="28"/>
    </row>
    <row r="129" spans="1:8">
      <c r="A129" s="28" t="s">
        <v>1970</v>
      </c>
      <c r="B129" s="28"/>
      <c r="C129" s="28"/>
      <c r="D129" s="38" t="s">
        <v>2097</v>
      </c>
      <c r="E129" s="61"/>
      <c r="F129" s="61"/>
      <c r="G129" s="19"/>
      <c r="H129" s="28"/>
    </row>
    <row r="130" spans="1:8">
      <c r="A130" s="28" t="s">
        <v>1971</v>
      </c>
      <c r="B130" s="28"/>
      <c r="C130" s="28"/>
      <c r="D130" s="59" t="s">
        <v>2098</v>
      </c>
      <c r="E130" s="58"/>
      <c r="F130" s="58"/>
      <c r="G130" s="19"/>
      <c r="H130" s="28"/>
    </row>
    <row r="131" spans="1:8">
      <c r="A131" s="28" t="s">
        <v>1972</v>
      </c>
      <c r="B131" s="28"/>
      <c r="C131" s="28"/>
      <c r="D131" s="63" t="s">
        <v>2099</v>
      </c>
      <c r="E131" s="61"/>
      <c r="F131" s="61"/>
      <c r="G131" s="19"/>
      <c r="H131" s="28"/>
    </row>
    <row r="132" spans="1:8">
      <c r="A132" s="28" t="s">
        <v>1973</v>
      </c>
      <c r="B132" s="28"/>
      <c r="C132" s="28"/>
      <c r="D132" s="63" t="s">
        <v>2100</v>
      </c>
      <c r="E132" s="61"/>
      <c r="F132" s="61"/>
      <c r="G132" s="19"/>
      <c r="H132" s="28"/>
    </row>
    <row r="133" spans="1:8">
      <c r="A133" s="28" t="s">
        <v>1974</v>
      </c>
      <c r="B133" s="28"/>
      <c r="C133" s="28"/>
      <c r="D133" s="63" t="s">
        <v>2101</v>
      </c>
      <c r="E133" s="61"/>
      <c r="F133" s="61"/>
      <c r="G133" s="19"/>
      <c r="H133" s="28"/>
    </row>
    <row r="134" spans="1:8">
      <c r="A134" s="28" t="s">
        <v>1975</v>
      </c>
      <c r="B134" s="28"/>
      <c r="C134" s="28"/>
      <c r="D134" s="63" t="s">
        <v>2102</v>
      </c>
      <c r="E134" s="61"/>
      <c r="F134" s="61"/>
      <c r="G134" s="19"/>
      <c r="H134" s="28"/>
    </row>
    <row r="135" spans="1:8">
      <c r="A135" s="28" t="s">
        <v>1976</v>
      </c>
      <c r="B135" s="28"/>
      <c r="C135" s="28"/>
      <c r="D135" s="63" t="s">
        <v>2103</v>
      </c>
      <c r="E135" s="61"/>
      <c r="F135" s="61"/>
      <c r="G135" s="19"/>
      <c r="H135" s="28"/>
    </row>
    <row r="136" spans="1:8">
      <c r="A136" s="28" t="s">
        <v>1977</v>
      </c>
      <c r="B136" s="28"/>
      <c r="C136" s="28"/>
      <c r="D136" s="63" t="s">
        <v>2104</v>
      </c>
      <c r="E136" s="61"/>
      <c r="F136" s="61"/>
      <c r="G136" s="19"/>
      <c r="H136" s="28"/>
    </row>
    <row r="137" spans="1:8">
      <c r="A137" s="28" t="s">
        <v>1978</v>
      </c>
      <c r="B137" s="28"/>
      <c r="C137" s="28"/>
      <c r="D137" s="63" t="s">
        <v>2105</v>
      </c>
      <c r="E137" s="61"/>
      <c r="F137" s="61"/>
      <c r="G137" s="19"/>
      <c r="H137" s="28"/>
    </row>
    <row r="138" spans="1:8">
      <c r="A138" s="28" t="s">
        <v>1979</v>
      </c>
      <c r="B138" s="28"/>
      <c r="C138" s="28"/>
      <c r="D138" s="63" t="s">
        <v>2106</v>
      </c>
      <c r="E138" s="61"/>
      <c r="F138" s="61"/>
      <c r="G138" s="19"/>
      <c r="H138" s="28"/>
    </row>
    <row r="139" spans="1:8">
      <c r="A139" s="28" t="s">
        <v>1980</v>
      </c>
      <c r="B139" s="28"/>
      <c r="C139" s="28"/>
      <c r="D139" s="63" t="s">
        <v>2107</v>
      </c>
      <c r="E139" s="61"/>
      <c r="F139" s="61"/>
      <c r="G139" s="19"/>
      <c r="H139" s="28"/>
    </row>
    <row r="140" spans="1:8">
      <c r="A140" s="28" t="s">
        <v>1981</v>
      </c>
      <c r="B140" s="28"/>
      <c r="C140" s="28"/>
      <c r="D140" s="63" t="s">
        <v>2108</v>
      </c>
      <c r="E140" s="61"/>
      <c r="F140" s="61"/>
      <c r="G140" s="19"/>
      <c r="H140" s="28"/>
    </row>
    <row r="141" spans="1:8" ht="15" thickBot="1">
      <c r="A141" s="28" t="s">
        <v>1982</v>
      </c>
      <c r="B141" s="28"/>
      <c r="C141" s="28"/>
      <c r="D141" s="67" t="s">
        <v>2109</v>
      </c>
      <c r="E141" s="65">
        <f>1*E131+1*E132+1*E133+1*E134+1*E135+1*E136+1*E137+1*E138+1*E139+1*E140</f>
        <v>0</v>
      </c>
      <c r="F141" s="65">
        <f>1*F131+1*F132+1*F133+1*F134+1*F135+1*F136+1*F137+1*F138+1*F139+1*F140</f>
        <v>0</v>
      </c>
      <c r="G141" s="19"/>
      <c r="H141" s="28"/>
    </row>
    <row r="142" spans="1:8" ht="15" thickTop="1">
      <c r="A142" s="28" t="s">
        <v>1983</v>
      </c>
      <c r="B142" s="28"/>
      <c r="C142" s="28"/>
      <c r="D142" s="59" t="s">
        <v>2110</v>
      </c>
      <c r="E142" s="66"/>
      <c r="F142" s="66"/>
      <c r="G142" s="19"/>
      <c r="H142" s="28"/>
    </row>
    <row r="143" spans="1:8">
      <c r="A143" s="28" t="s">
        <v>1984</v>
      </c>
      <c r="B143" s="28"/>
      <c r="C143" s="28"/>
      <c r="D143" s="63" t="s">
        <v>2111</v>
      </c>
      <c r="E143" s="61"/>
      <c r="F143" s="61"/>
      <c r="G143" s="19"/>
      <c r="H143" s="28"/>
    </row>
    <row r="144" spans="1:8">
      <c r="A144" s="28" t="s">
        <v>1985</v>
      </c>
      <c r="B144" s="28"/>
      <c r="C144" s="28"/>
      <c r="D144" s="63" t="s">
        <v>2100</v>
      </c>
      <c r="E144" s="61"/>
      <c r="F144" s="61"/>
      <c r="G144" s="19"/>
      <c r="H144" s="28"/>
    </row>
    <row r="145" spans="1:8">
      <c r="A145" s="28" t="s">
        <v>1986</v>
      </c>
      <c r="B145" s="28"/>
      <c r="C145" s="28"/>
      <c r="D145" s="63" t="s">
        <v>2112</v>
      </c>
      <c r="E145" s="61"/>
      <c r="F145" s="61"/>
      <c r="G145" s="19"/>
      <c r="H145" s="28"/>
    </row>
    <row r="146" spans="1:8">
      <c r="A146" s="28" t="s">
        <v>1987</v>
      </c>
      <c r="B146" s="28"/>
      <c r="C146" s="28"/>
      <c r="D146" s="63" t="s">
        <v>2113</v>
      </c>
      <c r="E146" s="61"/>
      <c r="F146" s="61"/>
      <c r="G146" s="19"/>
      <c r="H146" s="28"/>
    </row>
    <row r="147" spans="1:8">
      <c r="A147" s="28" t="s">
        <v>1988</v>
      </c>
      <c r="B147" s="28"/>
      <c r="C147" s="28"/>
      <c r="D147" s="63" t="s">
        <v>2114</v>
      </c>
      <c r="E147" s="61"/>
      <c r="F147" s="61"/>
      <c r="G147" s="19"/>
      <c r="H147" s="28"/>
    </row>
    <row r="148" spans="1:8">
      <c r="A148" s="28" t="s">
        <v>1989</v>
      </c>
      <c r="B148" s="28"/>
      <c r="C148" s="28"/>
      <c r="D148" s="63" t="s">
        <v>2104</v>
      </c>
      <c r="E148" s="61"/>
      <c r="F148" s="61"/>
      <c r="G148" s="19"/>
      <c r="H148" s="28"/>
    </row>
    <row r="149" spans="1:8">
      <c r="A149" s="28" t="s">
        <v>1990</v>
      </c>
      <c r="B149" s="28"/>
      <c r="C149" s="28"/>
      <c r="D149" s="63" t="s">
        <v>2105</v>
      </c>
      <c r="E149" s="61"/>
      <c r="F149" s="61"/>
      <c r="G149" s="19"/>
      <c r="H149" s="28"/>
    </row>
    <row r="150" spans="1:8">
      <c r="A150" s="28" t="s">
        <v>1991</v>
      </c>
      <c r="B150" s="28"/>
      <c r="C150" s="28"/>
      <c r="D150" s="63" t="s">
        <v>2102</v>
      </c>
      <c r="E150" s="61"/>
      <c r="F150" s="61"/>
      <c r="G150" s="19"/>
      <c r="H150" s="28"/>
    </row>
    <row r="151" spans="1:8">
      <c r="A151" s="28" t="s">
        <v>1992</v>
      </c>
      <c r="B151" s="28"/>
      <c r="C151" s="28"/>
      <c r="D151" s="63" t="s">
        <v>2115</v>
      </c>
      <c r="E151" s="61"/>
      <c r="F151" s="61"/>
      <c r="G151" s="19"/>
      <c r="H151" s="28"/>
    </row>
    <row r="152" spans="1:8">
      <c r="A152" s="28" t="s">
        <v>1993</v>
      </c>
      <c r="B152" s="28"/>
      <c r="C152" s="28"/>
      <c r="D152" s="67" t="s">
        <v>2116</v>
      </c>
      <c r="E152" s="71">
        <f>1*E143+1*E144+1*E145+1*E146+1*E147+1*E148+1*E149+1*E150+1*E151</f>
        <v>0</v>
      </c>
      <c r="F152" s="71">
        <f>1*F143+1*F144+1*F145+1*F146+1*F147+1*F148+1*F149+1*F150+1*F151</f>
        <v>0</v>
      </c>
      <c r="G152" s="19"/>
      <c r="H152" s="28"/>
    </row>
    <row r="153" spans="1:8">
      <c r="A153" s="28" t="s">
        <v>1994</v>
      </c>
      <c r="B153" s="28"/>
      <c r="C153" s="28"/>
      <c r="D153" s="38" t="s">
        <v>2117</v>
      </c>
      <c r="E153" s="61"/>
      <c r="F153" s="61"/>
      <c r="G153" s="19"/>
      <c r="H153" s="28"/>
    </row>
    <row r="154" spans="1:8" ht="15" thickBot="1">
      <c r="A154" s="28" t="s">
        <v>1995</v>
      </c>
      <c r="B154" s="28"/>
      <c r="C154" s="28"/>
      <c r="D154" s="70" t="s">
        <v>2125</v>
      </c>
      <c r="E154" s="65">
        <f>1*E115+1*E116+1*E117+1*E118+1*E123+1*E124+1*E125+1*E126+1*E127+1*E128+1*E129+1*E141+1*E152+1*E153</f>
        <v>0</v>
      </c>
      <c r="F154" s="65">
        <f>1*F115+1*F116+1*F117+1*F118+1*F123+1*F124+1*F125+1*F126+1*F127+1*F128+1*F129+1*F141+1*F152+1*F153</f>
        <v>0</v>
      </c>
      <c r="G154" s="62" t="s">
        <v>865</v>
      </c>
      <c r="H154" s="28"/>
    </row>
    <row r="155" spans="1:8" ht="15" thickTop="1">
      <c r="A155" s="28" t="s">
        <v>1996</v>
      </c>
      <c r="B155" s="28"/>
      <c r="C155" s="28"/>
      <c r="D155" s="57" t="s">
        <v>2118</v>
      </c>
      <c r="E155" s="66"/>
      <c r="F155" s="66"/>
      <c r="G155" s="19"/>
      <c r="H155" s="28"/>
    </row>
    <row r="156" spans="1:8">
      <c r="A156" s="28" t="s">
        <v>1997</v>
      </c>
      <c r="B156" s="28"/>
      <c r="C156" s="28"/>
      <c r="D156" s="38" t="s">
        <v>2119</v>
      </c>
      <c r="E156" s="61"/>
      <c r="F156" s="61"/>
      <c r="G156" s="19"/>
      <c r="H156" s="28"/>
    </row>
    <row r="157" spans="1:8">
      <c r="A157" s="28" t="s">
        <v>1998</v>
      </c>
      <c r="B157" s="28"/>
      <c r="C157" s="28"/>
      <c r="D157" s="38" t="s">
        <v>2120</v>
      </c>
      <c r="E157" s="61"/>
      <c r="F157" s="61"/>
      <c r="G157" s="19"/>
      <c r="H157" s="28"/>
    </row>
    <row r="158" spans="1:8" ht="15" thickBot="1">
      <c r="A158" s="28" t="s">
        <v>1999</v>
      </c>
      <c r="B158" s="28"/>
      <c r="C158" s="28"/>
      <c r="D158" s="70" t="s">
        <v>2126</v>
      </c>
      <c r="E158" s="65">
        <f>1*E156+1*E157</f>
        <v>0</v>
      </c>
      <c r="F158" s="65">
        <f>1*F156+1*F157</f>
        <v>0</v>
      </c>
      <c r="G158" s="62" t="s">
        <v>865</v>
      </c>
      <c r="H158" s="28"/>
    </row>
    <row r="159" spans="1:8" ht="15" hidden="1" thickTop="1">
      <c r="A159" s="28"/>
      <c r="B159" s="28"/>
      <c r="C159" s="28" t="s">
        <v>509</v>
      </c>
      <c r="D159" s="19"/>
      <c r="E159" s="19"/>
      <c r="F159" s="19"/>
      <c r="G159" s="19"/>
      <c r="H159" s="28"/>
    </row>
    <row r="160" spans="1:8" hidden="1">
      <c r="A160" s="28"/>
      <c r="B160" s="28"/>
      <c r="C160" s="28" t="s">
        <v>512</v>
      </c>
      <c r="D160" s="28"/>
      <c r="E160" s="28"/>
      <c r="F160" s="28"/>
      <c r="G160" s="28"/>
      <c r="H160" s="28" t="s">
        <v>513</v>
      </c>
    </row>
    <row r="161" spans="1:8" ht="15" thickTop="1">
      <c r="A161" s="19"/>
      <c r="B161" s="19"/>
      <c r="C161" s="19"/>
      <c r="D161" s="19"/>
      <c r="E161" s="19"/>
      <c r="F161" s="19"/>
      <c r="G161" s="19"/>
      <c r="H161" s="19"/>
    </row>
  </sheetData>
  <sheetProtection algorithmName="SHA-1" hashValue="sEMjbutDA8IlfscAHttYWlC0+PI=" saltValue="oXjXfoCw+mrX4AIYn7CBfw==" spinCount="100000" sheet="1" objects="1" scenarios="1" formatColumns="0" formatRows="0"/>
  <dataValidations count="1">
    <dataValidation type="decimal" allowBlank="1" showInputMessage="1" showErrorMessage="1" error="Please enter a numeric value upto 2 decimal places only" sqref="E156:F157 E153:F153 E143:F151 E131:F140 E124:F129 E120:F122 E116:F118 E113:F114 E100:F109 E94:F98 E89:F92 E85:F87 E81:F82 E69:F79 E62:F66 E56:F59 E52:F54 E48:F49 E38:F45 E28:F35" xr:uid="{30C888ED-42B5-4009-901F-0AF1D68972A6}">
      <formula1>-999999999999999</formula1>
      <formula2>999999999999999</formula2>
    </dataValidation>
  </dataValidations>
  <hyperlinks>
    <hyperlink ref="G60" tooltip="See details" display="See details" xr:uid="{BFB01EBE-54AD-4208-A799-35DEC8A70101}"/>
    <hyperlink ref="G67" tooltip="See details" display="See details" xr:uid="{6148865E-2B21-4429-B39A-C0D94369DDA9}"/>
    <hyperlink ref="G110" tooltip="See details" display="See details" xr:uid="{BEB83C12-4984-450F-9CE6-901FB0F0D03F}"/>
    <hyperlink ref="G154" tooltip="See details" display="See details" xr:uid="{86D9860D-B293-4A9A-9FC1-E87C7A593640}"/>
    <hyperlink ref="G158" tooltip="See details" display="See details" xr:uid="{F92BAF55-964D-48EE-9D73-8E98F7D9E3C5}"/>
  </hyperlinks>
  <pageMargins left="0.7" right="0.7" top="0.75" bottom="0.75" header="0.3" footer="0.3"/>
  <drawing r:id="rId1"/>
  <legacyDrawing r:id="rId2"/>
  <controls>
    <mc:AlternateContent xmlns:mc="http://schemas.openxmlformats.org/markup-compatibility/2006">
      <mc:Choice Requires="x14">
        <control shapeId="18496"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8496" r:id="rId3" name="LegendBtn"/>
      </mc:Fallback>
    </mc:AlternateContent>
    <mc:AlternateContent xmlns:mc="http://schemas.openxmlformats.org/markup-compatibility/2006">
      <mc:Choice Requires="x14">
        <control shapeId="18495"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8495" r:id="rId5" name="HelpBtn"/>
      </mc:Fallback>
    </mc:AlternateContent>
    <mc:AlternateContent xmlns:mc="http://schemas.openxmlformats.org/markup-compatibility/2006">
      <mc:Choice Requires="x14">
        <control shapeId="18494"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8494" r:id="rId7" name="ToolboxBtn"/>
      </mc:Fallback>
    </mc:AlternateContent>
    <mc:AlternateContent xmlns:mc="http://schemas.openxmlformats.org/markup-compatibility/2006">
      <mc:Choice Requires="x14">
        <control shapeId="18493"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8493" r:id="rId9" name="HomeBtn"/>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A4D3-E5D3-457B-A6DA-6298D5DF65C4}">
  <sheetPr codeName="Sheet13"/>
  <dimension ref="A1:DZ70"/>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26" t="s">
        <v>2128</v>
      </c>
      <c r="B1" s="19"/>
      <c r="C1" s="19"/>
      <c r="D1" s="19"/>
      <c r="E1" s="19"/>
      <c r="F1" s="19"/>
      <c r="G1" s="19"/>
      <c r="H1" s="19"/>
    </row>
    <row r="2" spans="1:130" ht="25.15" customHeight="1">
      <c r="A2" s="39"/>
      <c r="B2" s="39"/>
      <c r="C2" s="39"/>
      <c r="D2" s="41" t="s">
        <v>2218</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2129</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ht="27">
      <c r="A10" s="28" t="s">
        <v>2130</v>
      </c>
      <c r="B10" s="28"/>
      <c r="C10" s="28"/>
      <c r="D10" s="31" t="s">
        <v>2131</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2214</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c r="A24" s="28" t="s">
        <v>2132</v>
      </c>
      <c r="B24" s="28"/>
      <c r="C24" s="28"/>
      <c r="D24" s="31" t="s">
        <v>2175</v>
      </c>
      <c r="E24" s="31"/>
      <c r="F24" s="31"/>
      <c r="G24" s="19"/>
      <c r="H24" s="28"/>
    </row>
    <row r="25" spans="1:8" ht="27">
      <c r="A25" s="28" t="s">
        <v>2133</v>
      </c>
      <c r="B25" s="28"/>
      <c r="C25" s="28"/>
      <c r="D25" s="32" t="s">
        <v>2176</v>
      </c>
      <c r="E25" s="31"/>
      <c r="F25" s="31"/>
      <c r="G25" s="19"/>
      <c r="H25" s="28"/>
    </row>
    <row r="26" spans="1:8">
      <c r="A26" s="28" t="s">
        <v>2134</v>
      </c>
      <c r="B26" s="28"/>
      <c r="C26" s="28"/>
      <c r="D26" s="57" t="s">
        <v>2177</v>
      </c>
      <c r="E26" s="58"/>
      <c r="F26" s="58"/>
      <c r="G26" s="19"/>
      <c r="H26" s="28"/>
    </row>
    <row r="27" spans="1:8">
      <c r="A27" s="28" t="s">
        <v>2135</v>
      </c>
      <c r="B27" s="28"/>
      <c r="C27" s="28"/>
      <c r="D27" s="80" t="s">
        <v>2215</v>
      </c>
      <c r="E27" s="71">
        <f>'SOPL-Function'!E46</f>
        <v>0</v>
      </c>
      <c r="F27" s="71">
        <f>'SOPL-Function'!F46</f>
        <v>0</v>
      </c>
      <c r="G27" s="62" t="s">
        <v>865</v>
      </c>
      <c r="H27" s="28"/>
    </row>
    <row r="28" spans="1:8" ht="27">
      <c r="A28" s="28" t="s">
        <v>2136</v>
      </c>
      <c r="B28" s="28"/>
      <c r="C28" s="28"/>
      <c r="D28" s="59" t="s">
        <v>2178</v>
      </c>
      <c r="E28" s="58"/>
      <c r="F28" s="58"/>
      <c r="G28" s="19"/>
      <c r="H28" s="28"/>
    </row>
    <row r="29" spans="1:8" ht="40.5">
      <c r="A29" s="28" t="s">
        <v>2137</v>
      </c>
      <c r="B29" s="28"/>
      <c r="C29" s="28"/>
      <c r="D29" s="72" t="s">
        <v>2179</v>
      </c>
      <c r="E29" s="58"/>
      <c r="F29" s="58"/>
      <c r="G29" s="19"/>
      <c r="H29" s="28"/>
    </row>
    <row r="30" spans="1:8" ht="54">
      <c r="A30" s="28" t="s">
        <v>2138</v>
      </c>
      <c r="B30" s="28"/>
      <c r="C30" s="28"/>
      <c r="D30" s="73" t="s">
        <v>2180</v>
      </c>
      <c r="E30" s="61"/>
      <c r="F30" s="61"/>
      <c r="G30" s="19"/>
      <c r="H30" s="28"/>
    </row>
    <row r="31" spans="1:8" ht="27">
      <c r="A31" s="28" t="s">
        <v>2139</v>
      </c>
      <c r="B31" s="28"/>
      <c r="C31" s="28"/>
      <c r="D31" s="73" t="s">
        <v>2181</v>
      </c>
      <c r="E31" s="61"/>
      <c r="F31" s="61"/>
      <c r="G31" s="19"/>
      <c r="H31" s="28"/>
    </row>
    <row r="32" spans="1:8" ht="40.5">
      <c r="A32" s="28" t="s">
        <v>2140</v>
      </c>
      <c r="B32" s="28"/>
      <c r="C32" s="28"/>
      <c r="D32" s="75" t="s">
        <v>2182</v>
      </c>
      <c r="E32" s="71">
        <f>1*E30+1*E31</f>
        <v>0</v>
      </c>
      <c r="F32" s="71">
        <f>1*F30+1*F31</f>
        <v>0</v>
      </c>
      <c r="G32" s="19"/>
      <c r="H32" s="28"/>
    </row>
    <row r="33" spans="1:8" ht="54">
      <c r="A33" s="28" t="s">
        <v>2141</v>
      </c>
      <c r="B33" s="28"/>
      <c r="C33" s="28"/>
      <c r="D33" s="63" t="s">
        <v>2183</v>
      </c>
      <c r="E33" s="61"/>
      <c r="F33" s="61"/>
      <c r="G33" s="19"/>
      <c r="H33" s="28"/>
    </row>
    <row r="34" spans="1:8" ht="40.5">
      <c r="A34" s="28" t="s">
        <v>2142</v>
      </c>
      <c r="B34" s="28"/>
      <c r="C34" s="28"/>
      <c r="D34" s="67" t="s">
        <v>2184</v>
      </c>
      <c r="E34" s="71">
        <f>1*E32+1*E33</f>
        <v>0</v>
      </c>
      <c r="F34" s="71">
        <f>1*F32+1*F33</f>
        <v>0</v>
      </c>
      <c r="G34" s="19"/>
      <c r="H34" s="28"/>
    </row>
    <row r="35" spans="1:8" ht="40.5">
      <c r="A35" s="28" t="s">
        <v>2143</v>
      </c>
      <c r="B35" s="28"/>
      <c r="C35" s="28"/>
      <c r="D35" s="72" t="s">
        <v>2185</v>
      </c>
      <c r="E35" s="58"/>
      <c r="F35" s="58"/>
      <c r="G35" s="19"/>
      <c r="H35" s="28"/>
    </row>
    <row r="36" spans="1:8" ht="27">
      <c r="A36" s="28" t="s">
        <v>2144</v>
      </c>
      <c r="B36" s="28"/>
      <c r="C36" s="28"/>
      <c r="D36" s="77" t="s">
        <v>2186</v>
      </c>
      <c r="E36" s="58"/>
      <c r="F36" s="58"/>
      <c r="G36" s="19"/>
      <c r="H36" s="28"/>
    </row>
    <row r="37" spans="1:8" ht="40.5">
      <c r="A37" s="28" t="s">
        <v>2145</v>
      </c>
      <c r="B37" s="28"/>
      <c r="C37" s="28"/>
      <c r="D37" s="78" t="s">
        <v>2187</v>
      </c>
      <c r="E37" s="61"/>
      <c r="F37" s="61"/>
      <c r="G37" s="19"/>
      <c r="H37" s="28"/>
    </row>
    <row r="38" spans="1:8" ht="40.5">
      <c r="A38" s="28" t="s">
        <v>2146</v>
      </c>
      <c r="B38" s="28"/>
      <c r="C38" s="28"/>
      <c r="D38" s="78" t="s">
        <v>2188</v>
      </c>
      <c r="E38" s="61"/>
      <c r="F38" s="61"/>
      <c r="G38" s="19"/>
      <c r="H38" s="28"/>
    </row>
    <row r="39" spans="1:8" ht="40.5">
      <c r="A39" s="28" t="s">
        <v>2147</v>
      </c>
      <c r="B39" s="28"/>
      <c r="C39" s="28"/>
      <c r="D39" s="79" t="s">
        <v>2189</v>
      </c>
      <c r="E39" s="71">
        <f>1*E37+-1*E38</f>
        <v>0</v>
      </c>
      <c r="F39" s="71">
        <f>1*F37+-1*F38</f>
        <v>0</v>
      </c>
      <c r="G39" s="19"/>
      <c r="H39" s="28"/>
    </row>
    <row r="40" spans="1:8">
      <c r="A40" s="28" t="s">
        <v>2148</v>
      </c>
      <c r="B40" s="28"/>
      <c r="C40" s="28"/>
      <c r="D40" s="77" t="s">
        <v>2190</v>
      </c>
      <c r="E40" s="58"/>
      <c r="F40" s="58"/>
      <c r="G40" s="19"/>
      <c r="H40" s="28"/>
    </row>
    <row r="41" spans="1:8" ht="27">
      <c r="A41" s="28" t="s">
        <v>2149</v>
      </c>
      <c r="B41" s="28"/>
      <c r="C41" s="28"/>
      <c r="D41" s="78" t="s">
        <v>2191</v>
      </c>
      <c r="E41" s="61"/>
      <c r="F41" s="61"/>
      <c r="G41" s="19"/>
      <c r="H41" s="28"/>
    </row>
    <row r="42" spans="1:8" ht="27">
      <c r="A42" s="28" t="s">
        <v>2150</v>
      </c>
      <c r="B42" s="28"/>
      <c r="C42" s="28"/>
      <c r="D42" s="78" t="s">
        <v>2192</v>
      </c>
      <c r="E42" s="61"/>
      <c r="F42" s="61"/>
      <c r="G42" s="19"/>
      <c r="H42" s="28"/>
    </row>
    <row r="43" spans="1:8" ht="27">
      <c r="A43" s="28" t="s">
        <v>2151</v>
      </c>
      <c r="B43" s="28"/>
      <c r="C43" s="28"/>
      <c r="D43" s="79" t="s">
        <v>2193</v>
      </c>
      <c r="E43" s="71">
        <f>1*E41+-1*E42</f>
        <v>0</v>
      </c>
      <c r="F43" s="71">
        <f>1*F41+-1*F42</f>
        <v>0</v>
      </c>
      <c r="G43" s="19"/>
      <c r="H43" s="28"/>
    </row>
    <row r="44" spans="1:8" ht="27">
      <c r="A44" s="28" t="s">
        <v>2152</v>
      </c>
      <c r="B44" s="28"/>
      <c r="C44" s="28"/>
      <c r="D44" s="77" t="s">
        <v>2194</v>
      </c>
      <c r="E44" s="58"/>
      <c r="F44" s="58"/>
      <c r="G44" s="19"/>
      <c r="H44" s="28"/>
    </row>
    <row r="45" spans="1:8" ht="40.5">
      <c r="A45" s="28" t="s">
        <v>2153</v>
      </c>
      <c r="B45" s="28"/>
      <c r="C45" s="28"/>
      <c r="D45" s="78" t="s">
        <v>2195</v>
      </c>
      <c r="E45" s="61"/>
      <c r="F45" s="61"/>
      <c r="G45" s="19"/>
      <c r="H45" s="28"/>
    </row>
    <row r="46" spans="1:8" ht="40.5">
      <c r="A46" s="28" t="s">
        <v>2154</v>
      </c>
      <c r="B46" s="28"/>
      <c r="C46" s="28"/>
      <c r="D46" s="78" t="s">
        <v>2196</v>
      </c>
      <c r="E46" s="61"/>
      <c r="F46" s="61"/>
      <c r="G46" s="19"/>
      <c r="H46" s="28"/>
    </row>
    <row r="47" spans="1:8" ht="54">
      <c r="A47" s="28" t="s">
        <v>2155</v>
      </c>
      <c r="B47" s="28"/>
      <c r="C47" s="28"/>
      <c r="D47" s="79" t="s">
        <v>2197</v>
      </c>
      <c r="E47" s="71">
        <f>1*E45+-1*E46</f>
        <v>0</v>
      </c>
      <c r="F47" s="71">
        <f>1*F45+-1*F46</f>
        <v>0</v>
      </c>
      <c r="G47" s="19"/>
      <c r="H47" s="28"/>
    </row>
    <row r="48" spans="1:8" ht="40.5">
      <c r="A48" s="28" t="s">
        <v>2156</v>
      </c>
      <c r="B48" s="28"/>
      <c r="C48" s="28"/>
      <c r="D48" s="77" t="s">
        <v>2198</v>
      </c>
      <c r="E48" s="58"/>
      <c r="F48" s="58"/>
      <c r="G48" s="19"/>
      <c r="H48" s="28"/>
    </row>
    <row r="49" spans="1:8" ht="54">
      <c r="A49" s="28" t="s">
        <v>2157</v>
      </c>
      <c r="B49" s="28"/>
      <c r="C49" s="28"/>
      <c r="D49" s="78" t="s">
        <v>2199</v>
      </c>
      <c r="E49" s="61"/>
      <c r="F49" s="61"/>
      <c r="G49" s="19"/>
      <c r="H49" s="28"/>
    </row>
    <row r="50" spans="1:8" ht="54">
      <c r="A50" s="28" t="s">
        <v>2158</v>
      </c>
      <c r="B50" s="28"/>
      <c r="C50" s="28"/>
      <c r="D50" s="78" t="s">
        <v>2200</v>
      </c>
      <c r="E50" s="61"/>
      <c r="F50" s="61"/>
      <c r="G50" s="19"/>
      <c r="H50" s="28"/>
    </row>
    <row r="51" spans="1:8" ht="81">
      <c r="A51" s="28" t="s">
        <v>2159</v>
      </c>
      <c r="B51" s="28"/>
      <c r="C51" s="28"/>
      <c r="D51" s="78" t="s">
        <v>2201</v>
      </c>
      <c r="E51" s="61"/>
      <c r="F51" s="61"/>
      <c r="G51" s="19"/>
      <c r="H51" s="28"/>
    </row>
    <row r="52" spans="1:8" ht="54">
      <c r="A52" s="28" t="s">
        <v>2160</v>
      </c>
      <c r="B52" s="28"/>
      <c r="C52" s="28"/>
      <c r="D52" s="79" t="s">
        <v>2202</v>
      </c>
      <c r="E52" s="71">
        <f>1*E49+-1*E50+-1*E51</f>
        <v>0</v>
      </c>
      <c r="F52" s="71">
        <f>1*F49+-1*F50+-1*F51</f>
        <v>0</v>
      </c>
      <c r="G52" s="19"/>
      <c r="H52" s="28"/>
    </row>
    <row r="53" spans="1:8" ht="54">
      <c r="A53" s="28" t="s">
        <v>2161</v>
      </c>
      <c r="B53" s="28"/>
      <c r="C53" s="28"/>
      <c r="D53" s="63" t="s">
        <v>2203</v>
      </c>
      <c r="E53" s="61"/>
      <c r="F53" s="61"/>
      <c r="G53" s="19"/>
      <c r="H53" s="28"/>
    </row>
    <row r="54" spans="1:8" ht="27">
      <c r="A54" s="28" t="s">
        <v>2162</v>
      </c>
      <c r="B54" s="28"/>
      <c r="C54" s="28"/>
      <c r="D54" s="63" t="s">
        <v>2182</v>
      </c>
      <c r="E54" s="61"/>
      <c r="F54" s="61"/>
      <c r="G54" s="19"/>
      <c r="H54" s="28"/>
    </row>
    <row r="55" spans="1:8" ht="40.5">
      <c r="A55" s="28" t="s">
        <v>2163</v>
      </c>
      <c r="B55" s="28"/>
      <c r="C55" s="28"/>
      <c r="D55" s="67" t="s">
        <v>2204</v>
      </c>
      <c r="E55" s="71">
        <f>1*E39+1*E43+1*E47+1*E52+1*E53+1*E54</f>
        <v>0</v>
      </c>
      <c r="F55" s="71">
        <f>1*F39+1*F43+1*F47+1*F52+1*F53+1*F54</f>
        <v>0</v>
      </c>
      <c r="G55" s="19"/>
      <c r="H55" s="28"/>
    </row>
    <row r="56" spans="1:8" ht="27">
      <c r="A56" s="28" t="s">
        <v>2164</v>
      </c>
      <c r="B56" s="28"/>
      <c r="C56" s="28"/>
      <c r="D56" s="67" t="s">
        <v>2205</v>
      </c>
      <c r="E56" s="71">
        <f>1*E34+1*E55</f>
        <v>0</v>
      </c>
      <c r="F56" s="71">
        <f>1*F34+1*F55</f>
        <v>0</v>
      </c>
      <c r="G56" s="19"/>
      <c r="H56" s="28"/>
    </row>
    <row r="57" spans="1:8" ht="54">
      <c r="A57" s="28" t="s">
        <v>2165</v>
      </c>
      <c r="B57" s="28"/>
      <c r="C57" s="28"/>
      <c r="D57" s="72" t="s">
        <v>2206</v>
      </c>
      <c r="E57" s="58"/>
      <c r="F57" s="58"/>
      <c r="G57" s="19"/>
      <c r="H57" s="28"/>
    </row>
    <row r="58" spans="1:8" ht="40.5">
      <c r="A58" s="28" t="s">
        <v>2166</v>
      </c>
      <c r="B58" s="28"/>
      <c r="C58" s="28"/>
      <c r="D58" s="73" t="s">
        <v>2207</v>
      </c>
      <c r="E58" s="61"/>
      <c r="F58" s="61"/>
      <c r="G58" s="19"/>
      <c r="H58" s="28"/>
    </row>
    <row r="59" spans="1:8" ht="54">
      <c r="A59" s="28" t="s">
        <v>2167</v>
      </c>
      <c r="B59" s="28"/>
      <c r="C59" s="28"/>
      <c r="D59" s="75" t="s">
        <v>2208</v>
      </c>
      <c r="E59" s="71">
        <f>1*E58</f>
        <v>0</v>
      </c>
      <c r="F59" s="71">
        <f>1*F58</f>
        <v>0</v>
      </c>
      <c r="G59" s="19"/>
      <c r="H59" s="28"/>
    </row>
    <row r="60" spans="1:8" ht="40.5">
      <c r="A60" s="28" t="s">
        <v>2168</v>
      </c>
      <c r="B60" s="28"/>
      <c r="C60" s="28"/>
      <c r="D60" s="72" t="s">
        <v>2209</v>
      </c>
      <c r="E60" s="58"/>
      <c r="F60" s="58"/>
      <c r="G60" s="19"/>
      <c r="H60" s="28"/>
    </row>
    <row r="61" spans="1:8" ht="54">
      <c r="A61" s="28" t="s">
        <v>2169</v>
      </c>
      <c r="B61" s="28"/>
      <c r="C61" s="28"/>
      <c r="D61" s="73" t="s">
        <v>2210</v>
      </c>
      <c r="E61" s="61"/>
      <c r="F61" s="61"/>
      <c r="G61" s="19"/>
      <c r="H61" s="28"/>
    </row>
    <row r="62" spans="1:8">
      <c r="A62" s="28" t="s">
        <v>2170</v>
      </c>
      <c r="B62" s="28"/>
      <c r="C62" s="28"/>
      <c r="D62" s="64" t="s">
        <v>2216</v>
      </c>
      <c r="E62" s="71">
        <f>1*E56+-1*E59+-1*E61</f>
        <v>0</v>
      </c>
      <c r="F62" s="71">
        <f>1*F56+-1*F59+-1*F61</f>
        <v>0</v>
      </c>
      <c r="G62" s="19"/>
      <c r="H62" s="28"/>
    </row>
    <row r="63" spans="1:8" ht="15" thickBot="1">
      <c r="A63" s="28" t="s">
        <v>2171</v>
      </c>
      <c r="B63" s="28"/>
      <c r="C63" s="28"/>
      <c r="D63" s="70" t="s">
        <v>2217</v>
      </c>
      <c r="E63" s="65">
        <f>1*E27+1*E62</f>
        <v>0</v>
      </c>
      <c r="F63" s="65">
        <f>1*F27+1*F62</f>
        <v>0</v>
      </c>
      <c r="G63" s="19"/>
      <c r="H63" s="28"/>
    </row>
    <row r="64" spans="1:8" ht="15" thickTop="1">
      <c r="A64" s="28" t="s">
        <v>2172</v>
      </c>
      <c r="B64" s="28"/>
      <c r="C64" s="28"/>
      <c r="D64" s="59" t="s">
        <v>2211</v>
      </c>
      <c r="E64" s="66"/>
      <c r="F64" s="66"/>
      <c r="G64" s="19"/>
      <c r="H64" s="28"/>
    </row>
    <row r="65" spans="1:8" ht="27">
      <c r="A65" s="28" t="s">
        <v>2173</v>
      </c>
      <c r="B65" s="28"/>
      <c r="C65" s="28"/>
      <c r="D65" s="63" t="s">
        <v>2212</v>
      </c>
      <c r="E65" s="61"/>
      <c r="F65" s="61"/>
      <c r="G65" s="19"/>
      <c r="H65" s="28"/>
    </row>
    <row r="66" spans="1:8" ht="27">
      <c r="A66" s="28" t="s">
        <v>2174</v>
      </c>
      <c r="B66" s="28"/>
      <c r="C66" s="28"/>
      <c r="D66" s="63" t="s">
        <v>2213</v>
      </c>
      <c r="E66" s="61"/>
      <c r="F66" s="61"/>
      <c r="G66" s="19"/>
      <c r="H66" s="28"/>
    </row>
    <row r="67" spans="1:8" ht="15" thickBot="1">
      <c r="A67" s="28" t="s">
        <v>2171</v>
      </c>
      <c r="B67" s="28"/>
      <c r="C67" s="28"/>
      <c r="D67" s="64" t="s">
        <v>2217</v>
      </c>
      <c r="E67" s="65">
        <f>1*E65+1*E66</f>
        <v>0</v>
      </c>
      <c r="F67" s="65">
        <f>1*F65+1*F66</f>
        <v>0</v>
      </c>
      <c r="G67" s="19"/>
      <c r="H67" s="28"/>
    </row>
    <row r="68" spans="1:8" ht="15" hidden="1" thickTop="1">
      <c r="A68" s="28"/>
      <c r="B68" s="28"/>
      <c r="C68" s="28" t="s">
        <v>509</v>
      </c>
      <c r="D68" s="19"/>
      <c r="E68" s="19"/>
      <c r="F68" s="19"/>
      <c r="G68" s="19"/>
      <c r="H68" s="28"/>
    </row>
    <row r="69" spans="1:8" hidden="1">
      <c r="A69" s="28"/>
      <c r="B69" s="28"/>
      <c r="C69" s="28" t="s">
        <v>512</v>
      </c>
      <c r="D69" s="28"/>
      <c r="E69" s="28"/>
      <c r="F69" s="28"/>
      <c r="G69" s="28"/>
      <c r="H69" s="28" t="s">
        <v>513</v>
      </c>
    </row>
    <row r="70" spans="1:8" ht="15" thickTop="1">
      <c r="A70" s="19"/>
      <c r="B70" s="19"/>
      <c r="C70" s="19"/>
      <c r="D70" s="19"/>
      <c r="E70" s="19"/>
      <c r="F70" s="19"/>
      <c r="G70" s="19"/>
      <c r="H70" s="19"/>
    </row>
  </sheetData>
  <sheetProtection algorithmName="SHA-1" hashValue="R/36qzq4OaJJeAWsPF1Shx2AtWI=" saltValue="V/l+jLU49Q3o41wC7Mp+vQ==" spinCount="100000" sheet="1" objects="1" scenarios="1" formatColumns="0" formatRows="0"/>
  <dataValidations count="1">
    <dataValidation type="decimal" allowBlank="1" showInputMessage="1" showErrorMessage="1" error="Please enter a numeric value upto 2 decimal places only" sqref="E30:F31 E65:F66 E61:F61 E58:F58 E53:F54 E49:F51 E45:F46 E41:F42 E37:F38 E33:F33" xr:uid="{0AF17A93-88F6-4617-A62D-F5F5C6C0275E}">
      <formula1>-999999999999999</formula1>
      <formula2>999999999999999</formula2>
    </dataValidation>
  </dataValidations>
  <hyperlinks>
    <hyperlink ref="G27" tooltip="See details" display="See details" xr:uid="{D23705E2-2ED4-4436-AA6A-A1006CD83207}"/>
  </hyperlinks>
  <pageMargins left="0.7" right="0.7" top="0.75" bottom="0.75" header="0.3" footer="0.3"/>
  <drawing r:id="rId1"/>
  <legacyDrawing r:id="rId2"/>
  <controls>
    <mc:AlternateContent xmlns:mc="http://schemas.openxmlformats.org/markup-compatibility/2006">
      <mc:Choice Requires="x14">
        <control shapeId="19527"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19527" r:id="rId3" name="LegendBtn"/>
      </mc:Fallback>
    </mc:AlternateContent>
    <mc:AlternateContent xmlns:mc="http://schemas.openxmlformats.org/markup-compatibility/2006">
      <mc:Choice Requires="x14">
        <control shapeId="19526"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19526" r:id="rId5" name="HelpBtn"/>
      </mc:Fallback>
    </mc:AlternateContent>
    <mc:AlternateContent xmlns:mc="http://schemas.openxmlformats.org/markup-compatibility/2006">
      <mc:Choice Requires="x14">
        <control shapeId="19525"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19525" r:id="rId7" name="ToolboxBtn"/>
      </mc:Fallback>
    </mc:AlternateContent>
    <mc:AlternateContent xmlns:mc="http://schemas.openxmlformats.org/markup-compatibility/2006">
      <mc:Choice Requires="x14">
        <control shapeId="19524"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19524" r:id="rId9" name="HomeBtn"/>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2CE5B-3796-4903-9EA0-F43FF7EC749C}">
  <sheetPr codeName="Sheet14"/>
  <dimension ref="A1:DZ160"/>
  <sheetViews>
    <sheetView showGridLines="0" workbookViewId="0">
      <pane ySplit="2" topLeftCell="A146"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6" width="22.7265625" customWidth="1"/>
  </cols>
  <sheetData>
    <row r="1" spans="1:130" ht="60" customHeight="1">
      <c r="A1" s="83" t="s">
        <v>2219</v>
      </c>
      <c r="B1" s="19"/>
      <c r="C1" s="19"/>
      <c r="D1" s="19"/>
      <c r="E1" s="19"/>
      <c r="F1" s="19"/>
      <c r="G1" s="19"/>
      <c r="H1" s="19"/>
    </row>
    <row r="2" spans="1:130" ht="25.15" customHeight="1">
      <c r="A2" s="39"/>
      <c r="B2" s="39"/>
      <c r="C2" s="39"/>
      <c r="D2" s="41" t="s">
        <v>2486</v>
      </c>
      <c r="E2" s="39"/>
      <c r="F2" s="39"/>
      <c r="G2" s="39"/>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row>
    <row r="4" spans="1:130" hidden="1">
      <c r="A4" s="19"/>
      <c r="B4" s="19"/>
      <c r="C4" s="19"/>
      <c r="D4" s="19"/>
      <c r="E4" s="19"/>
      <c r="F4" s="19"/>
      <c r="G4" s="19"/>
      <c r="H4" s="19"/>
    </row>
    <row r="5" spans="1:130" ht="15" hidden="1" customHeight="1">
      <c r="A5" s="28"/>
      <c r="B5" s="28"/>
      <c r="C5" s="29" t="s">
        <v>2220</v>
      </c>
      <c r="D5" s="28"/>
      <c r="E5" s="28"/>
      <c r="F5" s="28"/>
      <c r="G5" s="28"/>
      <c r="H5" s="19"/>
    </row>
    <row r="6" spans="1:130" hidden="1">
      <c r="A6" s="28"/>
      <c r="B6" s="28"/>
      <c r="C6" s="28"/>
      <c r="D6" s="28"/>
      <c r="E6" s="28"/>
      <c r="F6" s="28"/>
      <c r="G6" s="28"/>
      <c r="H6" s="19"/>
    </row>
    <row r="7" spans="1:130" hidden="1">
      <c r="A7" s="28"/>
      <c r="B7" s="28"/>
      <c r="C7" s="28"/>
      <c r="D7" s="28"/>
      <c r="E7" s="28"/>
      <c r="F7" s="28"/>
      <c r="G7" s="28"/>
      <c r="H7" s="19"/>
    </row>
    <row r="8" spans="1:130" hidden="1">
      <c r="A8" s="28"/>
      <c r="B8" s="28"/>
      <c r="C8" s="28" t="s">
        <v>510</v>
      </c>
      <c r="D8" s="28" t="s">
        <v>508</v>
      </c>
      <c r="E8" s="28"/>
      <c r="F8" s="28" t="s">
        <v>509</v>
      </c>
      <c r="G8" s="28" t="s">
        <v>511</v>
      </c>
      <c r="H8" s="19"/>
    </row>
    <row r="9" spans="1:130">
      <c r="A9" s="28"/>
      <c r="B9" s="28"/>
      <c r="C9" s="28" t="s">
        <v>509</v>
      </c>
      <c r="D9" s="30"/>
      <c r="E9" s="19"/>
      <c r="F9" s="19"/>
      <c r="G9" s="28"/>
      <c r="H9" s="19"/>
    </row>
    <row r="10" spans="1:130">
      <c r="A10" s="28" t="s">
        <v>2221</v>
      </c>
      <c r="B10" s="28"/>
      <c r="C10" s="28"/>
      <c r="D10" s="31" t="s">
        <v>2222</v>
      </c>
      <c r="E10" s="31"/>
      <c r="F10" s="19"/>
      <c r="G10" s="28"/>
      <c r="H10" s="19"/>
    </row>
    <row r="11" spans="1:130" hidden="1">
      <c r="A11" s="28"/>
      <c r="B11" s="28"/>
      <c r="C11" s="28" t="s">
        <v>509</v>
      </c>
      <c r="D11" s="19"/>
      <c r="E11" s="19"/>
      <c r="F11" s="19"/>
      <c r="G11" s="28"/>
      <c r="H11" s="19"/>
    </row>
    <row r="12" spans="1:130" hidden="1">
      <c r="A12" s="28"/>
      <c r="B12" s="28"/>
      <c r="C12" s="28" t="s">
        <v>512</v>
      </c>
      <c r="D12" s="28"/>
      <c r="E12" s="28"/>
      <c r="F12" s="28"/>
      <c r="G12" s="28" t="s">
        <v>513</v>
      </c>
      <c r="H12" s="19"/>
    </row>
    <row r="13" spans="1:130">
      <c r="A13" s="19"/>
      <c r="B13" s="19"/>
      <c r="C13" s="19"/>
      <c r="D13" s="19"/>
      <c r="E13" s="19"/>
      <c r="F13" s="19"/>
      <c r="G13" s="19"/>
      <c r="H13" s="19"/>
    </row>
    <row r="14" spans="1:130">
      <c r="A14" s="19"/>
      <c r="B14" s="19"/>
      <c r="C14" s="19"/>
      <c r="D14" s="19"/>
      <c r="E14" s="19"/>
      <c r="F14" s="19"/>
      <c r="G14" s="19"/>
      <c r="H14" s="19"/>
    </row>
    <row r="15" spans="1:130" ht="15" hidden="1" customHeight="1">
      <c r="A15" s="28"/>
      <c r="B15" s="28"/>
      <c r="C15" s="26" t="s">
        <v>2470</v>
      </c>
      <c r="D15" s="28"/>
      <c r="E15" s="28"/>
      <c r="F15" s="28"/>
      <c r="G15" s="28"/>
      <c r="H15" s="28"/>
    </row>
    <row r="16" spans="1:130" hidden="1">
      <c r="A16" s="28"/>
      <c r="B16" s="28"/>
      <c r="C16" s="28"/>
      <c r="D16" s="28"/>
      <c r="E16" s="28"/>
      <c r="F16" s="28"/>
      <c r="G16" s="28"/>
      <c r="H16" s="28"/>
    </row>
    <row r="17" spans="1:8" hidden="1">
      <c r="A17" s="28"/>
      <c r="B17" s="28"/>
      <c r="C17" s="28"/>
      <c r="D17" s="28"/>
      <c r="E17" s="28"/>
      <c r="F17" s="28"/>
      <c r="G17" s="28"/>
      <c r="H17" s="28"/>
    </row>
    <row r="18" spans="1:8" hidden="1">
      <c r="A18" s="28"/>
      <c r="B18" s="28"/>
      <c r="C18" s="28" t="s">
        <v>510</v>
      </c>
      <c r="D18" s="28" t="s">
        <v>508</v>
      </c>
      <c r="E18" s="28"/>
      <c r="F18" s="28"/>
      <c r="G18" s="28" t="s">
        <v>509</v>
      </c>
      <c r="H18" s="28" t="s">
        <v>511</v>
      </c>
    </row>
    <row r="19" spans="1:8" ht="27">
      <c r="A19" s="28"/>
      <c r="B19" s="28"/>
      <c r="C19" s="28" t="s">
        <v>577</v>
      </c>
      <c r="D19" s="43"/>
      <c r="E19" s="20" t="str">
        <f>TEXT(DATE(MID(E21,7,4),MID(E21,4,2),MID(E21,1,2)),"dd/MM/yyyy")&amp;" - "&amp;TEXT(DATE(MID(E22,7,4),MID(E22,4,2),MID(E22,1,2)),"dd/MM/yyyy")</f>
        <v>01/01/2024 - 31/12/2024</v>
      </c>
      <c r="F19" s="20" t="str">
        <f>TEXT(DATE(MID(F21,7,4),MID(F21,4,2),MID(F21,1,2)),"dd/MM/yyyy")&amp;" - "&amp;TEXT(DATE(MID(F22,7,4),MID(F22,4,2),MID(F22,1,2)),"dd/MM/yyyy")</f>
        <v>01/01/2023 - 31/12/2023</v>
      </c>
      <c r="G19" s="19"/>
      <c r="H19" s="28"/>
    </row>
    <row r="20" spans="1:8" ht="20" customHeight="1">
      <c r="A20" s="28"/>
      <c r="B20" s="28"/>
      <c r="C20" s="28" t="s">
        <v>578</v>
      </c>
      <c r="D20" s="43"/>
      <c r="E20" s="20" t="str">
        <f>StartUp!$E$8</f>
        <v>MYR'000</v>
      </c>
      <c r="F20" s="20" t="str">
        <f>StartUp!$E$8</f>
        <v>MYR'000</v>
      </c>
      <c r="G20" s="19"/>
      <c r="H20" s="28"/>
    </row>
    <row r="21" spans="1:8" ht="20" hidden="1" customHeight="1">
      <c r="A21" s="28"/>
      <c r="B21" s="28"/>
      <c r="C21" s="28" t="s">
        <v>579</v>
      </c>
      <c r="D21" s="43"/>
      <c r="E21" s="44" t="str">
        <f>StartUp!$D$8</f>
        <v>01/01/2024</v>
      </c>
      <c r="F21" s="44" t="str">
        <f>StartUp!$D$10</f>
        <v>01/01/2023</v>
      </c>
      <c r="G21" s="19"/>
      <c r="H21" s="28"/>
    </row>
    <row r="22" spans="1:8" ht="20" hidden="1" customHeight="1">
      <c r="A22" s="28"/>
      <c r="B22" s="28"/>
      <c r="C22" s="28" t="s">
        <v>580</v>
      </c>
      <c r="D22" s="43"/>
      <c r="E22" s="44" t="str">
        <f>StartUp!$D$9</f>
        <v>31/12/2024</v>
      </c>
      <c r="F22" s="44" t="str">
        <f>StartUp!$D$11</f>
        <v>31/12/2023</v>
      </c>
      <c r="G22" s="19"/>
      <c r="H22" s="28"/>
    </row>
    <row r="23" spans="1:8">
      <c r="A23" s="28"/>
      <c r="B23" s="28"/>
      <c r="C23" s="28" t="s">
        <v>509</v>
      </c>
      <c r="D23" s="30"/>
      <c r="E23" s="19"/>
      <c r="F23" s="19"/>
      <c r="G23" s="19"/>
      <c r="H23" s="28"/>
    </row>
    <row r="24" spans="1:8">
      <c r="A24" s="28" t="s">
        <v>2223</v>
      </c>
      <c r="B24" s="28"/>
      <c r="C24" s="28"/>
      <c r="D24" s="31" t="s">
        <v>2357</v>
      </c>
      <c r="E24" s="31"/>
      <c r="F24" s="31"/>
      <c r="G24" s="19"/>
      <c r="H24" s="28"/>
    </row>
    <row r="25" spans="1:8">
      <c r="A25" s="28" t="s">
        <v>2224</v>
      </c>
      <c r="B25" s="28"/>
      <c r="C25" s="28"/>
      <c r="D25" s="32" t="s">
        <v>2357</v>
      </c>
      <c r="E25" s="31"/>
      <c r="F25" s="31"/>
      <c r="G25" s="19"/>
      <c r="H25" s="28"/>
    </row>
    <row r="26" spans="1:8">
      <c r="A26" s="28" t="s">
        <v>2225</v>
      </c>
      <c r="B26" s="28"/>
      <c r="C26" s="28"/>
      <c r="D26" s="57" t="s">
        <v>2357</v>
      </c>
      <c r="E26" s="58"/>
      <c r="F26" s="58"/>
      <c r="G26" s="19"/>
      <c r="H26" s="28"/>
    </row>
    <row r="27" spans="1:8" ht="27">
      <c r="A27" s="28" t="s">
        <v>2226</v>
      </c>
      <c r="B27" s="28"/>
      <c r="C27" s="28"/>
      <c r="D27" s="59" t="s">
        <v>2358</v>
      </c>
      <c r="E27" s="58"/>
      <c r="F27" s="58"/>
      <c r="G27" s="19"/>
      <c r="H27" s="28"/>
    </row>
    <row r="28" spans="1:8">
      <c r="A28" s="28" t="s">
        <v>2227</v>
      </c>
      <c r="B28" s="28"/>
      <c r="C28" s="28"/>
      <c r="D28" s="60" t="s">
        <v>2471</v>
      </c>
      <c r="E28" s="61"/>
      <c r="F28" s="61"/>
      <c r="G28" s="19"/>
      <c r="H28" s="28"/>
    </row>
    <row r="29" spans="1:8">
      <c r="A29" s="28" t="s">
        <v>2228</v>
      </c>
      <c r="B29" s="28"/>
      <c r="C29" s="28"/>
      <c r="D29" s="64" t="s">
        <v>2472</v>
      </c>
      <c r="E29" s="71">
        <f>1*E28</f>
        <v>0</v>
      </c>
      <c r="F29" s="71">
        <f>1*F28</f>
        <v>0</v>
      </c>
      <c r="G29" s="19"/>
      <c r="H29" s="28"/>
    </row>
    <row r="30" spans="1:8" ht="27">
      <c r="A30" s="28" t="s">
        <v>2229</v>
      </c>
      <c r="B30" s="28"/>
      <c r="C30" s="28"/>
      <c r="D30" s="72" t="s">
        <v>2359</v>
      </c>
      <c r="E30" s="58"/>
      <c r="F30" s="58"/>
      <c r="G30" s="19"/>
      <c r="H30" s="28"/>
    </row>
    <row r="31" spans="1:8">
      <c r="A31" s="28" t="s">
        <v>2230</v>
      </c>
      <c r="B31" s="28"/>
      <c r="C31" s="28"/>
      <c r="D31" s="73" t="s">
        <v>2360</v>
      </c>
      <c r="E31" s="61"/>
      <c r="F31" s="61"/>
      <c r="G31" s="19"/>
      <c r="H31" s="28"/>
    </row>
    <row r="32" spans="1:8">
      <c r="A32" s="28" t="s">
        <v>2231</v>
      </c>
      <c r="B32" s="28"/>
      <c r="C32" s="28"/>
      <c r="D32" s="73" t="s">
        <v>2361</v>
      </c>
      <c r="E32" s="61"/>
      <c r="F32" s="61"/>
      <c r="G32" s="19"/>
      <c r="H32" s="28"/>
    </row>
    <row r="33" spans="1:8">
      <c r="A33" s="28" t="s">
        <v>2232</v>
      </c>
      <c r="B33" s="28"/>
      <c r="C33" s="28"/>
      <c r="D33" s="73" t="s">
        <v>2362</v>
      </c>
      <c r="E33" s="61"/>
      <c r="F33" s="61"/>
      <c r="G33" s="19"/>
      <c r="H33" s="28"/>
    </row>
    <row r="34" spans="1:8" ht="27">
      <c r="A34" s="28" t="s">
        <v>2233</v>
      </c>
      <c r="B34" s="28"/>
      <c r="C34" s="28"/>
      <c r="D34" s="73" t="s">
        <v>2363</v>
      </c>
      <c r="E34" s="61"/>
      <c r="F34" s="61"/>
      <c r="G34" s="19"/>
      <c r="H34" s="28"/>
    </row>
    <row r="35" spans="1:8" ht="27">
      <c r="A35" s="28" t="s">
        <v>2234</v>
      </c>
      <c r="B35" s="28"/>
      <c r="C35" s="28"/>
      <c r="D35" s="73" t="s">
        <v>2364</v>
      </c>
      <c r="E35" s="61"/>
      <c r="F35" s="61"/>
      <c r="G35" s="19"/>
      <c r="H35" s="28"/>
    </row>
    <row r="36" spans="1:8" ht="27">
      <c r="A36" s="28" t="s">
        <v>2235</v>
      </c>
      <c r="B36" s="28"/>
      <c r="C36" s="28"/>
      <c r="D36" s="73" t="s">
        <v>2365</v>
      </c>
      <c r="E36" s="61"/>
      <c r="F36" s="61"/>
      <c r="G36" s="19"/>
      <c r="H36" s="28"/>
    </row>
    <row r="37" spans="1:8">
      <c r="A37" s="28" t="s">
        <v>2236</v>
      </c>
      <c r="B37" s="28"/>
      <c r="C37" s="28"/>
      <c r="D37" s="73" t="s">
        <v>2366</v>
      </c>
      <c r="E37" s="61"/>
      <c r="F37" s="61"/>
      <c r="G37" s="19"/>
      <c r="H37" s="28"/>
    </row>
    <row r="38" spans="1:8" ht="40.5">
      <c r="A38" s="28" t="s">
        <v>2237</v>
      </c>
      <c r="B38" s="28"/>
      <c r="C38" s="28"/>
      <c r="D38" s="73" t="s">
        <v>2367</v>
      </c>
      <c r="E38" s="61"/>
      <c r="F38" s="61"/>
      <c r="G38" s="19"/>
      <c r="H38" s="28"/>
    </row>
    <row r="39" spans="1:8" ht="27">
      <c r="A39" s="28" t="s">
        <v>2238</v>
      </c>
      <c r="B39" s="28"/>
      <c r="C39" s="28"/>
      <c r="D39" s="73" t="s">
        <v>2368</v>
      </c>
      <c r="E39" s="61"/>
      <c r="F39" s="61"/>
      <c r="G39" s="19"/>
      <c r="H39" s="28"/>
    </row>
    <row r="40" spans="1:8" ht="27">
      <c r="A40" s="28" t="s">
        <v>2239</v>
      </c>
      <c r="B40" s="28"/>
      <c r="C40" s="28"/>
      <c r="D40" s="73" t="s">
        <v>2369</v>
      </c>
      <c r="E40" s="61"/>
      <c r="F40" s="61"/>
      <c r="G40" s="19"/>
      <c r="H40" s="28"/>
    </row>
    <row r="41" spans="1:8" ht="27">
      <c r="A41" s="28" t="s">
        <v>2240</v>
      </c>
      <c r="B41" s="28"/>
      <c r="C41" s="28"/>
      <c r="D41" s="73" t="s">
        <v>2370</v>
      </c>
      <c r="E41" s="61"/>
      <c r="F41" s="61"/>
      <c r="G41" s="19"/>
      <c r="H41" s="28"/>
    </row>
    <row r="42" spans="1:8">
      <c r="A42" s="28" t="s">
        <v>2241</v>
      </c>
      <c r="B42" s="28"/>
      <c r="C42" s="28"/>
      <c r="D42" s="73" t="s">
        <v>2371</v>
      </c>
      <c r="E42" s="61"/>
      <c r="F42" s="61"/>
      <c r="G42" s="19"/>
      <c r="H42" s="28"/>
    </row>
    <row r="43" spans="1:8">
      <c r="A43" s="28" t="s">
        <v>2242</v>
      </c>
      <c r="B43" s="28"/>
      <c r="C43" s="28"/>
      <c r="D43" s="73" t="s">
        <v>2372</v>
      </c>
      <c r="E43" s="61"/>
      <c r="F43" s="61"/>
      <c r="G43" s="19"/>
      <c r="H43" s="28"/>
    </row>
    <row r="44" spans="1:8" ht="67.5">
      <c r="A44" s="28" t="s">
        <v>2243</v>
      </c>
      <c r="B44" s="28"/>
      <c r="C44" s="28"/>
      <c r="D44" s="73" t="s">
        <v>2373</v>
      </c>
      <c r="E44" s="61"/>
      <c r="F44" s="61"/>
      <c r="G44" s="19"/>
      <c r="H44" s="28"/>
    </row>
    <row r="45" spans="1:8" ht="27">
      <c r="A45" s="28" t="s">
        <v>2244</v>
      </c>
      <c r="B45" s="28"/>
      <c r="C45" s="28"/>
      <c r="D45" s="73" t="s">
        <v>2374</v>
      </c>
      <c r="E45" s="61"/>
      <c r="F45" s="61"/>
      <c r="G45" s="19"/>
      <c r="H45" s="28"/>
    </row>
    <row r="46" spans="1:8" ht="40.5">
      <c r="A46" s="28" t="s">
        <v>2245</v>
      </c>
      <c r="B46" s="28"/>
      <c r="C46" s="28"/>
      <c r="D46" s="77" t="s">
        <v>2375</v>
      </c>
      <c r="E46" s="58"/>
      <c r="F46" s="58"/>
      <c r="G46" s="19"/>
      <c r="H46" s="28"/>
    </row>
    <row r="47" spans="1:8" ht="40.5">
      <c r="A47" s="28" t="s">
        <v>2246</v>
      </c>
      <c r="B47" s="28"/>
      <c r="C47" s="28"/>
      <c r="D47" s="78" t="s">
        <v>2376</v>
      </c>
      <c r="E47" s="61"/>
      <c r="F47" s="61"/>
      <c r="G47" s="19"/>
      <c r="H47" s="28"/>
    </row>
    <row r="48" spans="1:8" ht="40.5">
      <c r="A48" s="28" t="s">
        <v>2247</v>
      </c>
      <c r="B48" s="28"/>
      <c r="C48" s="28"/>
      <c r="D48" s="78" t="s">
        <v>2377</v>
      </c>
      <c r="E48" s="61"/>
      <c r="F48" s="61"/>
      <c r="G48" s="19"/>
      <c r="H48" s="28"/>
    </row>
    <row r="49" spans="1:8" ht="40.5">
      <c r="A49" s="28" t="s">
        <v>2248</v>
      </c>
      <c r="B49" s="28"/>
      <c r="C49" s="28"/>
      <c r="D49" s="78" t="s">
        <v>2378</v>
      </c>
      <c r="E49" s="61"/>
      <c r="F49" s="61"/>
      <c r="G49" s="19"/>
      <c r="H49" s="28"/>
    </row>
    <row r="50" spans="1:8" ht="27">
      <c r="A50" s="28" t="s">
        <v>2249</v>
      </c>
      <c r="B50" s="28"/>
      <c r="C50" s="28"/>
      <c r="D50" s="78" t="s">
        <v>2379</v>
      </c>
      <c r="E50" s="61"/>
      <c r="F50" s="61"/>
      <c r="G50" s="19"/>
      <c r="H50" s="28"/>
    </row>
    <row r="51" spans="1:8" ht="40.5">
      <c r="A51" s="28" t="s">
        <v>2250</v>
      </c>
      <c r="B51" s="28"/>
      <c r="C51" s="28"/>
      <c r="D51" s="78" t="s">
        <v>2380</v>
      </c>
      <c r="E51" s="61"/>
      <c r="F51" s="61"/>
      <c r="G51" s="19"/>
      <c r="H51" s="28"/>
    </row>
    <row r="52" spans="1:8" ht="40.5">
      <c r="A52" s="28" t="s">
        <v>2251</v>
      </c>
      <c r="B52" s="28"/>
      <c r="C52" s="28"/>
      <c r="D52" s="78" t="s">
        <v>2381</v>
      </c>
      <c r="E52" s="61"/>
      <c r="F52" s="61"/>
      <c r="G52" s="19"/>
      <c r="H52" s="28"/>
    </row>
    <row r="53" spans="1:8" ht="40.5">
      <c r="A53" s="28" t="s">
        <v>2252</v>
      </c>
      <c r="B53" s="28"/>
      <c r="C53" s="28"/>
      <c r="D53" s="78" t="s">
        <v>2382</v>
      </c>
      <c r="E53" s="61"/>
      <c r="F53" s="61"/>
      <c r="G53" s="19"/>
      <c r="H53" s="28"/>
    </row>
    <row r="54" spans="1:8" ht="27">
      <c r="A54" s="28" t="s">
        <v>2253</v>
      </c>
      <c r="B54" s="28"/>
      <c r="C54" s="28"/>
      <c r="D54" s="78" t="s">
        <v>2383</v>
      </c>
      <c r="E54" s="61"/>
      <c r="F54" s="61"/>
      <c r="G54" s="19"/>
      <c r="H54" s="28"/>
    </row>
    <row r="55" spans="1:8" ht="40.5">
      <c r="A55" s="28" t="s">
        <v>2254</v>
      </c>
      <c r="B55" s="28"/>
      <c r="C55" s="28"/>
      <c r="D55" s="78" t="s">
        <v>2384</v>
      </c>
      <c r="E55" s="61"/>
      <c r="F55" s="61"/>
      <c r="G55" s="19"/>
      <c r="H55" s="28"/>
    </row>
    <row r="56" spans="1:8" ht="40.5">
      <c r="A56" s="28" t="s">
        <v>2255</v>
      </c>
      <c r="B56" s="28"/>
      <c r="C56" s="28"/>
      <c r="D56" s="79" t="s">
        <v>2385</v>
      </c>
      <c r="E56" s="71">
        <f>1*E47+1*E48+1*E49+1*E50+1*E51+1*E52+1*E53+1*E54+1*E55</f>
        <v>0</v>
      </c>
      <c r="F56" s="71">
        <f>1*F47+1*F48+1*F49+1*F50+1*F51+1*F52+1*F53+1*F54+1*F55</f>
        <v>0</v>
      </c>
      <c r="G56" s="19"/>
      <c r="H56" s="28"/>
    </row>
    <row r="57" spans="1:8" ht="27">
      <c r="A57" s="28" t="s">
        <v>2256</v>
      </c>
      <c r="B57" s="28"/>
      <c r="C57" s="28"/>
      <c r="D57" s="77" t="s">
        <v>2386</v>
      </c>
      <c r="E57" s="58"/>
      <c r="F57" s="58"/>
      <c r="G57" s="19"/>
      <c r="H57" s="28"/>
    </row>
    <row r="58" spans="1:8" ht="27">
      <c r="A58" s="28" t="s">
        <v>2257</v>
      </c>
      <c r="B58" s="28"/>
      <c r="C58" s="28"/>
      <c r="D58" s="78" t="s">
        <v>2387</v>
      </c>
      <c r="E58" s="61"/>
      <c r="F58" s="61"/>
      <c r="G58" s="19"/>
      <c r="H58" s="28"/>
    </row>
    <row r="59" spans="1:8" ht="27">
      <c r="A59" s="28" t="s">
        <v>2258</v>
      </c>
      <c r="B59" s="28"/>
      <c r="C59" s="28"/>
      <c r="D59" s="78" t="s">
        <v>2388</v>
      </c>
      <c r="E59" s="61"/>
      <c r="F59" s="61"/>
      <c r="G59" s="19"/>
      <c r="H59" s="28"/>
    </row>
    <row r="60" spans="1:8" ht="27">
      <c r="A60" s="28" t="s">
        <v>2259</v>
      </c>
      <c r="B60" s="28"/>
      <c r="C60" s="28"/>
      <c r="D60" s="79" t="s">
        <v>2389</v>
      </c>
      <c r="E60" s="71">
        <f>1*E58+1*E59</f>
        <v>0</v>
      </c>
      <c r="F60" s="71">
        <f>1*F58+1*F59</f>
        <v>0</v>
      </c>
      <c r="G60" s="19"/>
      <c r="H60" s="28"/>
    </row>
    <row r="61" spans="1:8">
      <c r="A61" s="28" t="s">
        <v>2260</v>
      </c>
      <c r="B61" s="28"/>
      <c r="C61" s="28"/>
      <c r="D61" s="73" t="s">
        <v>2390</v>
      </c>
      <c r="E61" s="61"/>
      <c r="F61" s="61"/>
      <c r="G61" s="19"/>
      <c r="H61" s="28"/>
    </row>
    <row r="62" spans="1:8">
      <c r="A62" s="28" t="s">
        <v>2261</v>
      </c>
      <c r="B62" s="28"/>
      <c r="C62" s="28"/>
      <c r="D62" s="73" t="s">
        <v>2391</v>
      </c>
      <c r="E62" s="61"/>
      <c r="F62" s="61"/>
      <c r="G62" s="19"/>
      <c r="H62" s="28"/>
    </row>
    <row r="63" spans="1:8" ht="27">
      <c r="A63" s="28" t="s">
        <v>2262</v>
      </c>
      <c r="B63" s="28"/>
      <c r="C63" s="28"/>
      <c r="D63" s="73" t="s">
        <v>2392</v>
      </c>
      <c r="E63" s="61"/>
      <c r="F63" s="61"/>
      <c r="G63" s="19"/>
      <c r="H63" s="28"/>
    </row>
    <row r="64" spans="1:8">
      <c r="A64" s="28" t="s">
        <v>2263</v>
      </c>
      <c r="B64" s="28"/>
      <c r="C64" s="28"/>
      <c r="D64" s="73" t="s">
        <v>2393</v>
      </c>
      <c r="E64" s="61"/>
      <c r="F64" s="61"/>
      <c r="G64" s="19"/>
      <c r="H64" s="28"/>
    </row>
    <row r="65" spans="1:8" ht="27">
      <c r="A65" s="28" t="s">
        <v>2264</v>
      </c>
      <c r="B65" s="28"/>
      <c r="C65" s="28"/>
      <c r="D65" s="73" t="s">
        <v>2394</v>
      </c>
      <c r="E65" s="61"/>
      <c r="F65" s="61"/>
      <c r="G65" s="19"/>
      <c r="H65" s="28"/>
    </row>
    <row r="66" spans="1:8">
      <c r="A66" s="28" t="s">
        <v>2265</v>
      </c>
      <c r="B66" s="28"/>
      <c r="C66" s="28"/>
      <c r="D66" s="73" t="s">
        <v>2395</v>
      </c>
      <c r="E66" s="61"/>
      <c r="F66" s="61"/>
      <c r="G66" s="19"/>
      <c r="H66" s="28"/>
    </row>
    <row r="67" spans="1:8">
      <c r="A67" s="28" t="s">
        <v>2266</v>
      </c>
      <c r="B67" s="28"/>
      <c r="C67" s="28"/>
      <c r="D67" s="77" t="s">
        <v>2396</v>
      </c>
      <c r="E67" s="58"/>
      <c r="F67" s="58"/>
      <c r="G67" s="19"/>
      <c r="H67" s="28"/>
    </row>
    <row r="68" spans="1:8" ht="27">
      <c r="A68" s="28" t="s">
        <v>2267</v>
      </c>
      <c r="B68" s="28"/>
      <c r="C68" s="28"/>
      <c r="D68" s="78" t="s">
        <v>2397</v>
      </c>
      <c r="E68" s="61"/>
      <c r="F68" s="61"/>
      <c r="G68" s="19"/>
      <c r="H68" s="28"/>
    </row>
    <row r="69" spans="1:8">
      <c r="A69" s="28" t="s">
        <v>2268</v>
      </c>
      <c r="B69" s="28"/>
      <c r="C69" s="28"/>
      <c r="D69" s="78" t="s">
        <v>2398</v>
      </c>
      <c r="E69" s="61"/>
      <c r="F69" s="61"/>
      <c r="G69" s="19"/>
      <c r="H69" s="28"/>
    </row>
    <row r="70" spans="1:8">
      <c r="A70" s="28" t="s">
        <v>2269</v>
      </c>
      <c r="B70" s="28"/>
      <c r="C70" s="28"/>
      <c r="D70" s="78" t="s">
        <v>2399</v>
      </c>
      <c r="E70" s="61"/>
      <c r="F70" s="61"/>
      <c r="G70" s="19"/>
      <c r="H70" s="28"/>
    </row>
    <row r="71" spans="1:8">
      <c r="A71" s="28" t="s">
        <v>2270</v>
      </c>
      <c r="B71" s="28"/>
      <c r="C71" s="28"/>
      <c r="D71" s="78" t="s">
        <v>2400</v>
      </c>
      <c r="E71" s="61"/>
      <c r="F71" s="61"/>
      <c r="G71" s="19"/>
      <c r="H71" s="28"/>
    </row>
    <row r="72" spans="1:8" ht="27">
      <c r="A72" s="28" t="s">
        <v>2271</v>
      </c>
      <c r="B72" s="28"/>
      <c r="C72" s="28"/>
      <c r="D72" s="78" t="s">
        <v>2401</v>
      </c>
      <c r="E72" s="61"/>
      <c r="F72" s="61"/>
      <c r="G72" s="19"/>
      <c r="H72" s="28"/>
    </row>
    <row r="73" spans="1:8">
      <c r="A73" s="28" t="s">
        <v>2272</v>
      </c>
      <c r="B73" s="28"/>
      <c r="C73" s="28"/>
      <c r="D73" s="78" t="s">
        <v>2402</v>
      </c>
      <c r="E73" s="61"/>
      <c r="F73" s="61"/>
      <c r="G73" s="19"/>
      <c r="H73" s="28"/>
    </row>
    <row r="74" spans="1:8">
      <c r="A74" s="28" t="s">
        <v>2273</v>
      </c>
      <c r="B74" s="28"/>
      <c r="C74" s="28"/>
      <c r="D74" s="79" t="s">
        <v>2403</v>
      </c>
      <c r="E74" s="71">
        <f>1*E68+1*E69+1*E70+1*E71+1*E72+1*E73</f>
        <v>0</v>
      </c>
      <c r="F74" s="71">
        <f>1*F68+1*F69+1*F70+1*F71+1*F72+1*F73</f>
        <v>0</v>
      </c>
      <c r="G74" s="19"/>
      <c r="H74" s="28"/>
    </row>
    <row r="75" spans="1:8">
      <c r="A75" s="28" t="s">
        <v>2274</v>
      </c>
      <c r="B75" s="28"/>
      <c r="C75" s="28"/>
      <c r="D75" s="73" t="s">
        <v>2404</v>
      </c>
      <c r="E75" s="61"/>
      <c r="F75" s="61"/>
      <c r="G75" s="19"/>
      <c r="H75" s="28"/>
    </row>
    <row r="76" spans="1:8" ht="27">
      <c r="A76" s="28" t="s">
        <v>2275</v>
      </c>
      <c r="B76" s="28"/>
      <c r="C76" s="28"/>
      <c r="D76" s="73" t="s">
        <v>2405</v>
      </c>
      <c r="E76" s="61"/>
      <c r="F76" s="61"/>
      <c r="G76" s="19"/>
      <c r="H76" s="28"/>
    </row>
    <row r="77" spans="1:8" ht="27">
      <c r="A77" s="28" t="s">
        <v>2276</v>
      </c>
      <c r="B77" s="28"/>
      <c r="C77" s="28"/>
      <c r="D77" s="76" t="s">
        <v>2473</v>
      </c>
      <c r="E77" s="71">
        <f>1*E31+1*E32+-1*E33+1*E34+-1*E35+1*E36+-1*E37+1*E38+1*E39+1*E40+-1*E41+1*E42+-1*E43+-1*E44+1*E45+1*E56+-1*E60+-1*E61+-1*E62+-1*E63+-1*E64+-1*E65+1*E66+1*E74+1*E75+1*E76</f>
        <v>0</v>
      </c>
      <c r="F77" s="71">
        <f>1*F31+1*F32+-1*F33+1*F34+-1*F35+1*F36+-1*F37+1*F38+1*F39+1*F40+-1*F41+1*F42+-1*F43+-1*F44+1*F45+1*F56+-1*F60+-1*F61+-1*F62+-1*F63+-1*F64+-1*F65+1*F66+1*F74+1*F75+1*F76</f>
        <v>0</v>
      </c>
      <c r="G77" s="19"/>
      <c r="H77" s="28"/>
    </row>
    <row r="78" spans="1:8" ht="27">
      <c r="A78" s="28" t="s">
        <v>2277</v>
      </c>
      <c r="B78" s="28"/>
      <c r="C78" s="28"/>
      <c r="D78" s="64" t="s">
        <v>2474</v>
      </c>
      <c r="E78" s="71">
        <f>1*E29+1*E77</f>
        <v>0</v>
      </c>
      <c r="F78" s="71">
        <f>1*F29+1*F77</f>
        <v>0</v>
      </c>
      <c r="G78" s="19"/>
      <c r="H78" s="28"/>
    </row>
    <row r="79" spans="1:8">
      <c r="A79" s="28" t="s">
        <v>2278</v>
      </c>
      <c r="B79" s="28"/>
      <c r="C79" s="28"/>
      <c r="D79" s="72" t="s">
        <v>2406</v>
      </c>
      <c r="E79" s="58"/>
      <c r="F79" s="58"/>
      <c r="G79" s="19"/>
      <c r="H79" s="28"/>
    </row>
    <row r="80" spans="1:8" ht="27">
      <c r="A80" s="28" t="s">
        <v>2279</v>
      </c>
      <c r="B80" s="28"/>
      <c r="C80" s="28"/>
      <c r="D80" s="73" t="s">
        <v>2407</v>
      </c>
      <c r="E80" s="61"/>
      <c r="F80" s="61"/>
      <c r="G80" s="19"/>
      <c r="H80" s="28"/>
    </row>
    <row r="81" spans="1:8" ht="27">
      <c r="A81" s="28" t="s">
        <v>2280</v>
      </c>
      <c r="B81" s="28"/>
      <c r="C81" s="28"/>
      <c r="D81" s="73" t="s">
        <v>2408</v>
      </c>
      <c r="E81" s="61"/>
      <c r="F81" s="61"/>
      <c r="G81" s="19"/>
      <c r="H81" s="28"/>
    </row>
    <row r="82" spans="1:8" ht="27">
      <c r="A82" s="28" t="s">
        <v>2281</v>
      </c>
      <c r="B82" s="28"/>
      <c r="C82" s="28"/>
      <c r="D82" s="73" t="s">
        <v>2409</v>
      </c>
      <c r="E82" s="61"/>
      <c r="F82" s="61"/>
      <c r="G82" s="19"/>
      <c r="H82" s="28"/>
    </row>
    <row r="83" spans="1:8" ht="27">
      <c r="A83" s="28" t="s">
        <v>2282</v>
      </c>
      <c r="B83" s="28"/>
      <c r="C83" s="28"/>
      <c r="D83" s="73" t="s">
        <v>2410</v>
      </c>
      <c r="E83" s="61"/>
      <c r="F83" s="61"/>
      <c r="G83" s="19"/>
      <c r="H83" s="28"/>
    </row>
    <row r="84" spans="1:8" ht="27">
      <c r="A84" s="28" t="s">
        <v>2283</v>
      </c>
      <c r="B84" s="28"/>
      <c r="C84" s="28"/>
      <c r="D84" s="73" t="s">
        <v>2411</v>
      </c>
      <c r="E84" s="61"/>
      <c r="F84" s="61"/>
      <c r="G84" s="19"/>
      <c r="H84" s="28"/>
    </row>
    <row r="85" spans="1:8" ht="27">
      <c r="A85" s="28" t="s">
        <v>2284</v>
      </c>
      <c r="B85" s="28"/>
      <c r="C85" s="28"/>
      <c r="D85" s="73" t="s">
        <v>2412</v>
      </c>
      <c r="E85" s="61"/>
      <c r="F85" s="61"/>
      <c r="G85" s="19"/>
      <c r="H85" s="28"/>
    </row>
    <row r="86" spans="1:8">
      <c r="A86" s="28" t="s">
        <v>2285</v>
      </c>
      <c r="B86" s="28"/>
      <c r="C86" s="28"/>
      <c r="D86" s="76" t="s">
        <v>2475</v>
      </c>
      <c r="E86" s="71">
        <f>-1*E80+-1*E81+-1*E82+-1*E83+-1*E84+-1*E85</f>
        <v>0</v>
      </c>
      <c r="F86" s="71">
        <f>-1*F80+-1*F81+-1*F82+-1*F83+-1*F84+-1*F85</f>
        <v>0</v>
      </c>
      <c r="G86" s="19"/>
      <c r="H86" s="28"/>
    </row>
    <row r="87" spans="1:8" ht="27">
      <c r="A87" s="28" t="s">
        <v>2286</v>
      </c>
      <c r="B87" s="28"/>
      <c r="C87" s="28"/>
      <c r="D87" s="64" t="s">
        <v>2476</v>
      </c>
      <c r="E87" s="71">
        <f>1*E78+1*E86</f>
        <v>0</v>
      </c>
      <c r="F87" s="71">
        <f>1*F78+1*F86</f>
        <v>0</v>
      </c>
      <c r="G87" s="19"/>
      <c r="H87" s="28"/>
    </row>
    <row r="88" spans="1:8">
      <c r="A88" s="28" t="s">
        <v>2287</v>
      </c>
      <c r="B88" s="28"/>
      <c r="C88" s="28"/>
      <c r="D88" s="63" t="s">
        <v>2413</v>
      </c>
      <c r="E88" s="61"/>
      <c r="F88" s="61"/>
      <c r="G88" s="19"/>
      <c r="H88" s="28"/>
    </row>
    <row r="89" spans="1:8">
      <c r="A89" s="28" t="s">
        <v>2288</v>
      </c>
      <c r="B89" s="28"/>
      <c r="C89" s="28"/>
      <c r="D89" s="63" t="s">
        <v>2414</v>
      </c>
      <c r="E89" s="61"/>
      <c r="F89" s="61"/>
      <c r="G89" s="19"/>
      <c r="H89" s="28"/>
    </row>
    <row r="90" spans="1:8">
      <c r="A90" s="28" t="s">
        <v>2289</v>
      </c>
      <c r="B90" s="28"/>
      <c r="C90" s="28"/>
      <c r="D90" s="63" t="s">
        <v>2415</v>
      </c>
      <c r="E90" s="61"/>
      <c r="F90" s="61"/>
      <c r="G90" s="19"/>
      <c r="H90" s="28"/>
    </row>
    <row r="91" spans="1:8">
      <c r="A91" s="28" t="s">
        <v>2290</v>
      </c>
      <c r="B91" s="28"/>
      <c r="C91" s="28"/>
      <c r="D91" s="63" t="s">
        <v>2416</v>
      </c>
      <c r="E91" s="61"/>
      <c r="F91" s="61"/>
      <c r="G91" s="19"/>
      <c r="H91" s="28"/>
    </row>
    <row r="92" spans="1:8">
      <c r="A92" s="28" t="s">
        <v>2291</v>
      </c>
      <c r="B92" s="28"/>
      <c r="C92" s="28"/>
      <c r="D92" s="63" t="s">
        <v>2417</v>
      </c>
      <c r="E92" s="61"/>
      <c r="F92" s="61"/>
      <c r="G92" s="19"/>
      <c r="H92" s="28"/>
    </row>
    <row r="93" spans="1:8">
      <c r="A93" s="28" t="s">
        <v>2292</v>
      </c>
      <c r="B93" s="28"/>
      <c r="C93" s="28"/>
      <c r="D93" s="63" t="s">
        <v>2418</v>
      </c>
      <c r="E93" s="61"/>
      <c r="F93" s="61"/>
      <c r="G93" s="19"/>
      <c r="H93" s="28"/>
    </row>
    <row r="94" spans="1:8" ht="27">
      <c r="A94" s="28" t="s">
        <v>2293</v>
      </c>
      <c r="B94" s="28"/>
      <c r="C94" s="28"/>
      <c r="D94" s="63" t="s">
        <v>2419</v>
      </c>
      <c r="E94" s="61"/>
      <c r="F94" s="61"/>
      <c r="G94" s="19"/>
      <c r="H94" s="28"/>
    </row>
    <row r="95" spans="1:8" ht="27">
      <c r="A95" s="28" t="s">
        <v>2294</v>
      </c>
      <c r="B95" s="28"/>
      <c r="C95" s="28"/>
      <c r="D95" s="64" t="s">
        <v>2477</v>
      </c>
      <c r="E95" s="71">
        <f>1*E44+1*E88+1*E89+1*E90+1*E91+1*E92+1*E93+1*E94+1*E87</f>
        <v>0</v>
      </c>
      <c r="F95" s="71">
        <f>1*F44+1*F88+1*F89+1*F90+1*F91+1*F92+1*F93+1*F94+1*F87</f>
        <v>0</v>
      </c>
      <c r="G95" s="19"/>
      <c r="H95" s="28"/>
    </row>
    <row r="96" spans="1:8" ht="27">
      <c r="A96" s="28" t="s">
        <v>2295</v>
      </c>
      <c r="B96" s="28"/>
      <c r="C96" s="28"/>
      <c r="D96" s="59" t="s">
        <v>2420</v>
      </c>
      <c r="E96" s="58"/>
      <c r="F96" s="58"/>
      <c r="G96" s="19"/>
      <c r="H96" s="28"/>
    </row>
    <row r="97" spans="1:8">
      <c r="A97" s="28" t="s">
        <v>2296</v>
      </c>
      <c r="B97" s="28"/>
      <c r="C97" s="28"/>
      <c r="D97" s="63" t="s">
        <v>2421</v>
      </c>
      <c r="E97" s="61"/>
      <c r="F97" s="61"/>
      <c r="G97" s="19"/>
      <c r="H97" s="28"/>
    </row>
    <row r="98" spans="1:8" ht="27">
      <c r="A98" s="28" t="s">
        <v>2297</v>
      </c>
      <c r="B98" s="28"/>
      <c r="C98" s="28"/>
      <c r="D98" s="63" t="s">
        <v>2422</v>
      </c>
      <c r="E98" s="61"/>
      <c r="F98" s="61"/>
      <c r="G98" s="19"/>
      <c r="H98" s="28"/>
    </row>
    <row r="99" spans="1:8">
      <c r="A99" s="28" t="s">
        <v>2298</v>
      </c>
      <c r="B99" s="28"/>
      <c r="C99" s="28"/>
      <c r="D99" s="63" t="s">
        <v>2423</v>
      </c>
      <c r="E99" s="61"/>
      <c r="F99" s="61"/>
      <c r="G99" s="19"/>
      <c r="H99" s="28"/>
    </row>
    <row r="100" spans="1:8" ht="27">
      <c r="A100" s="28" t="s">
        <v>2299</v>
      </c>
      <c r="B100" s="28"/>
      <c r="C100" s="28"/>
      <c r="D100" s="63" t="s">
        <v>2424</v>
      </c>
      <c r="E100" s="61"/>
      <c r="F100" s="61"/>
      <c r="G100" s="19"/>
      <c r="H100" s="28"/>
    </row>
    <row r="101" spans="1:8">
      <c r="A101" s="28" t="s">
        <v>2300</v>
      </c>
      <c r="B101" s="28"/>
      <c r="C101" s="28"/>
      <c r="D101" s="63" t="s">
        <v>2425</v>
      </c>
      <c r="E101" s="61"/>
      <c r="F101" s="61"/>
      <c r="G101" s="19"/>
      <c r="H101" s="28"/>
    </row>
    <row r="102" spans="1:8" ht="27">
      <c r="A102" s="28" t="s">
        <v>2301</v>
      </c>
      <c r="B102" s="28"/>
      <c r="C102" s="28"/>
      <c r="D102" s="63" t="s">
        <v>2426</v>
      </c>
      <c r="E102" s="61"/>
      <c r="F102" s="61"/>
      <c r="G102" s="19"/>
      <c r="H102" s="28"/>
    </row>
    <row r="103" spans="1:8" ht="40.5">
      <c r="A103" s="28" t="s">
        <v>2302</v>
      </c>
      <c r="B103" s="28"/>
      <c r="C103" s="28"/>
      <c r="D103" s="63" t="s">
        <v>2427</v>
      </c>
      <c r="E103" s="61"/>
      <c r="F103" s="61"/>
      <c r="G103" s="19"/>
      <c r="H103" s="28"/>
    </row>
    <row r="104" spans="1:8" ht="27">
      <c r="A104" s="28" t="s">
        <v>2303</v>
      </c>
      <c r="B104" s="28"/>
      <c r="C104" s="28"/>
      <c r="D104" s="63" t="s">
        <v>2428</v>
      </c>
      <c r="E104" s="61"/>
      <c r="F104" s="61"/>
      <c r="G104" s="19"/>
      <c r="H104" s="28"/>
    </row>
    <row r="105" spans="1:8">
      <c r="A105" s="28" t="s">
        <v>2304</v>
      </c>
      <c r="B105" s="28"/>
      <c r="C105" s="28"/>
      <c r="D105" s="63" t="s">
        <v>2429</v>
      </c>
      <c r="E105" s="61"/>
      <c r="F105" s="61"/>
      <c r="G105" s="19"/>
      <c r="H105" s="28"/>
    </row>
    <row r="106" spans="1:8" ht="27">
      <c r="A106" s="28" t="s">
        <v>2305</v>
      </c>
      <c r="B106" s="28"/>
      <c r="C106" s="28"/>
      <c r="D106" s="63" t="s">
        <v>2430</v>
      </c>
      <c r="E106" s="61"/>
      <c r="F106" s="61"/>
      <c r="G106" s="19"/>
      <c r="H106" s="28"/>
    </row>
    <row r="107" spans="1:8" ht="27">
      <c r="A107" s="28" t="s">
        <v>2306</v>
      </c>
      <c r="B107" s="28"/>
      <c r="C107" s="28"/>
      <c r="D107" s="63" t="s">
        <v>2431</v>
      </c>
      <c r="E107" s="61"/>
      <c r="F107" s="61"/>
      <c r="G107" s="19"/>
      <c r="H107" s="28"/>
    </row>
    <row r="108" spans="1:8" ht="40.5">
      <c r="A108" s="28" t="s">
        <v>2307</v>
      </c>
      <c r="B108" s="28"/>
      <c r="C108" s="28"/>
      <c r="D108" s="63" t="s">
        <v>2432</v>
      </c>
      <c r="E108" s="61"/>
      <c r="F108" s="61"/>
      <c r="G108" s="19"/>
      <c r="H108" s="28"/>
    </row>
    <row r="109" spans="1:8" ht="27">
      <c r="A109" s="28" t="s">
        <v>2308</v>
      </c>
      <c r="B109" s="28"/>
      <c r="C109" s="28"/>
      <c r="D109" s="63" t="s">
        <v>2433</v>
      </c>
      <c r="E109" s="61"/>
      <c r="F109" s="61"/>
      <c r="G109" s="19"/>
      <c r="H109" s="28"/>
    </row>
    <row r="110" spans="1:8">
      <c r="A110" s="28" t="s">
        <v>2309</v>
      </c>
      <c r="B110" s="28"/>
      <c r="C110" s="28"/>
      <c r="D110" s="63" t="s">
        <v>2434</v>
      </c>
      <c r="E110" s="61"/>
      <c r="F110" s="61"/>
      <c r="G110" s="19"/>
      <c r="H110" s="28"/>
    </row>
    <row r="111" spans="1:8">
      <c r="A111" s="28" t="s">
        <v>2310</v>
      </c>
      <c r="B111" s="28"/>
      <c r="C111" s="28"/>
      <c r="D111" s="63" t="s">
        <v>2435</v>
      </c>
      <c r="E111" s="61"/>
      <c r="F111" s="61"/>
      <c r="G111" s="19"/>
      <c r="H111" s="28"/>
    </row>
    <row r="112" spans="1:8" ht="27">
      <c r="A112" s="28" t="s">
        <v>2311</v>
      </c>
      <c r="B112" s="28"/>
      <c r="C112" s="28"/>
      <c r="D112" s="63" t="s">
        <v>2436</v>
      </c>
      <c r="E112" s="61"/>
      <c r="F112" s="61"/>
      <c r="G112" s="19"/>
      <c r="H112" s="28"/>
    </row>
    <row r="113" spans="1:8" ht="27">
      <c r="A113" s="28" t="s">
        <v>2312</v>
      </c>
      <c r="B113" s="28"/>
      <c r="C113" s="28"/>
      <c r="D113" s="63" t="s">
        <v>2437</v>
      </c>
      <c r="E113" s="61"/>
      <c r="F113" s="61"/>
      <c r="G113" s="19"/>
      <c r="H113" s="28"/>
    </row>
    <row r="114" spans="1:8" ht="27">
      <c r="A114" s="28" t="s">
        <v>2313</v>
      </c>
      <c r="B114" s="28"/>
      <c r="C114" s="28"/>
      <c r="D114" s="63" t="s">
        <v>2438</v>
      </c>
      <c r="E114" s="61"/>
      <c r="F114" s="61"/>
      <c r="G114" s="19"/>
      <c r="H114" s="28"/>
    </row>
    <row r="115" spans="1:8">
      <c r="A115" s="28" t="s">
        <v>2314</v>
      </c>
      <c r="B115" s="28"/>
      <c r="C115" s="28"/>
      <c r="D115" s="63" t="s">
        <v>2439</v>
      </c>
      <c r="E115" s="61"/>
      <c r="F115" s="61"/>
      <c r="G115" s="19"/>
      <c r="H115" s="28"/>
    </row>
    <row r="116" spans="1:8">
      <c r="A116" s="28" t="s">
        <v>2315</v>
      </c>
      <c r="B116" s="28"/>
      <c r="C116" s="28"/>
      <c r="D116" s="63" t="s">
        <v>2440</v>
      </c>
      <c r="E116" s="61"/>
      <c r="F116" s="61"/>
      <c r="G116" s="19"/>
      <c r="H116" s="28"/>
    </row>
    <row r="117" spans="1:8" ht="27">
      <c r="A117" s="28" t="s">
        <v>2316</v>
      </c>
      <c r="B117" s="28"/>
      <c r="C117" s="28"/>
      <c r="D117" s="63" t="s">
        <v>2441</v>
      </c>
      <c r="E117" s="61"/>
      <c r="F117" s="61"/>
      <c r="G117" s="19"/>
      <c r="H117" s="28"/>
    </row>
    <row r="118" spans="1:8">
      <c r="A118" s="28" t="s">
        <v>2317</v>
      </c>
      <c r="B118" s="28"/>
      <c r="C118" s="28"/>
      <c r="D118" s="63" t="s">
        <v>2413</v>
      </c>
      <c r="E118" s="61"/>
      <c r="F118" s="61"/>
      <c r="G118" s="19"/>
      <c r="H118" s="28"/>
    </row>
    <row r="119" spans="1:8">
      <c r="A119" s="28" t="s">
        <v>2318</v>
      </c>
      <c r="B119" s="28"/>
      <c r="C119" s="28"/>
      <c r="D119" s="63" t="s">
        <v>2415</v>
      </c>
      <c r="E119" s="61"/>
      <c r="F119" s="61"/>
      <c r="G119" s="19"/>
      <c r="H119" s="28"/>
    </row>
    <row r="120" spans="1:8">
      <c r="A120" s="28" t="s">
        <v>2319</v>
      </c>
      <c r="B120" s="28"/>
      <c r="C120" s="28"/>
      <c r="D120" s="63" t="s">
        <v>2442</v>
      </c>
      <c r="E120" s="61"/>
      <c r="F120" s="61"/>
      <c r="G120" s="19"/>
      <c r="H120" s="28"/>
    </row>
    <row r="121" spans="1:8">
      <c r="A121" s="28" t="s">
        <v>2320</v>
      </c>
      <c r="B121" s="28"/>
      <c r="C121" s="28"/>
      <c r="D121" s="63" t="s">
        <v>2443</v>
      </c>
      <c r="E121" s="61"/>
      <c r="F121" s="61"/>
      <c r="G121" s="19"/>
      <c r="H121" s="28"/>
    </row>
    <row r="122" spans="1:8">
      <c r="A122" s="28" t="s">
        <v>2321</v>
      </c>
      <c r="B122" s="28"/>
      <c r="C122" s="28"/>
      <c r="D122" s="63" t="s">
        <v>2444</v>
      </c>
      <c r="E122" s="61"/>
      <c r="F122" s="61"/>
      <c r="G122" s="19"/>
      <c r="H122" s="28"/>
    </row>
    <row r="123" spans="1:8">
      <c r="A123" s="28" t="s">
        <v>2322</v>
      </c>
      <c r="B123" s="28"/>
      <c r="C123" s="28"/>
      <c r="D123" s="63" t="s">
        <v>2445</v>
      </c>
      <c r="E123" s="61"/>
      <c r="F123" s="61"/>
      <c r="G123" s="19"/>
      <c r="H123" s="28"/>
    </row>
    <row r="124" spans="1:8">
      <c r="A124" s="28" t="s">
        <v>2323</v>
      </c>
      <c r="B124" s="28"/>
      <c r="C124" s="28"/>
      <c r="D124" s="63" t="s">
        <v>2446</v>
      </c>
      <c r="E124" s="61"/>
      <c r="F124" s="61"/>
      <c r="G124" s="19"/>
      <c r="H124" s="28"/>
    </row>
    <row r="125" spans="1:8">
      <c r="A125" s="28" t="s">
        <v>2324</v>
      </c>
      <c r="B125" s="28"/>
      <c r="C125" s="28"/>
      <c r="D125" s="63" t="s">
        <v>2447</v>
      </c>
      <c r="E125" s="61"/>
      <c r="F125" s="61"/>
      <c r="G125" s="19"/>
      <c r="H125" s="28"/>
    </row>
    <row r="126" spans="1:8" ht="27">
      <c r="A126" s="28" t="s">
        <v>2325</v>
      </c>
      <c r="B126" s="28"/>
      <c r="C126" s="28"/>
      <c r="D126" s="63" t="s">
        <v>2448</v>
      </c>
      <c r="E126" s="61"/>
      <c r="F126" s="61"/>
      <c r="G126" s="19"/>
      <c r="H126" s="28"/>
    </row>
    <row r="127" spans="1:8" ht="27">
      <c r="A127" s="28" t="s">
        <v>2326</v>
      </c>
      <c r="B127" s="28"/>
      <c r="C127" s="28"/>
      <c r="D127" s="64" t="s">
        <v>2478</v>
      </c>
      <c r="E127" s="71">
        <f>1*E97+-1*E98+1*E99+1*E101+-1*E102+1*E103+-1*E104+1*E105+-1*E106+1*E107+-1*E108+1*E109+1*E110+1*E111+1*E112+1*E113+-1*E115+-1*E116+-1*E117+1*E118+1*E119+1*E120+-1*E121+1*E126+1*E100+-1*E122+1*E114+-1*E123+-1*E124+1*E125</f>
        <v>0</v>
      </c>
      <c r="F127" s="71">
        <f>1*F97+-1*F98+1*F99+1*F101+-1*F102+1*F103+-1*F104+1*F105+-1*F106+1*F107+-1*F108+1*F109+1*F110+1*F111+1*F112+1*F113+-1*F115+-1*F116+-1*F117+1*F118+1*F119+1*F120+-1*F121+1*F126+1*F100+-1*F122+1*F114+-1*F123+-1*F124+1*F125</f>
        <v>0</v>
      </c>
      <c r="G127" s="19"/>
      <c r="H127" s="28"/>
    </row>
    <row r="128" spans="1:8" ht="27">
      <c r="A128" s="28" t="s">
        <v>2327</v>
      </c>
      <c r="B128" s="28"/>
      <c r="C128" s="28"/>
      <c r="D128" s="59" t="s">
        <v>2449</v>
      </c>
      <c r="E128" s="58"/>
      <c r="F128" s="58"/>
      <c r="G128" s="19"/>
      <c r="H128" s="28"/>
    </row>
    <row r="129" spans="1:8" ht="27">
      <c r="A129" s="28" t="s">
        <v>2328</v>
      </c>
      <c r="B129" s="28"/>
      <c r="C129" s="28"/>
      <c r="D129" s="63" t="s">
        <v>2450</v>
      </c>
      <c r="E129" s="61"/>
      <c r="F129" s="61"/>
      <c r="G129" s="19"/>
      <c r="H129" s="28"/>
    </row>
    <row r="130" spans="1:8" ht="27">
      <c r="A130" s="28" t="s">
        <v>2329</v>
      </c>
      <c r="B130" s="28"/>
      <c r="C130" s="28"/>
      <c r="D130" s="63" t="s">
        <v>2451</v>
      </c>
      <c r="E130" s="61"/>
      <c r="F130" s="61"/>
      <c r="G130" s="19"/>
      <c r="H130" s="28"/>
    </row>
    <row r="131" spans="1:8">
      <c r="A131" s="28" t="s">
        <v>2330</v>
      </c>
      <c r="B131" s="28"/>
      <c r="C131" s="28"/>
      <c r="D131" s="63" t="s">
        <v>2452</v>
      </c>
      <c r="E131" s="61"/>
      <c r="F131" s="61"/>
      <c r="G131" s="19"/>
      <c r="H131" s="28"/>
    </row>
    <row r="132" spans="1:8" ht="27">
      <c r="A132" s="28" t="s">
        <v>2331</v>
      </c>
      <c r="B132" s="28"/>
      <c r="C132" s="28"/>
      <c r="D132" s="63" t="s">
        <v>2453</v>
      </c>
      <c r="E132" s="61"/>
      <c r="F132" s="61"/>
      <c r="G132" s="19"/>
      <c r="H132" s="28"/>
    </row>
    <row r="133" spans="1:8" ht="27">
      <c r="A133" s="28" t="s">
        <v>2332</v>
      </c>
      <c r="B133" s="28"/>
      <c r="C133" s="28"/>
      <c r="D133" s="63" t="s">
        <v>2454</v>
      </c>
      <c r="E133" s="61"/>
      <c r="F133" s="61"/>
      <c r="G133" s="19"/>
      <c r="H133" s="28"/>
    </row>
    <row r="134" spans="1:8" ht="27">
      <c r="A134" s="28" t="s">
        <v>2333</v>
      </c>
      <c r="B134" s="28"/>
      <c r="C134" s="28"/>
      <c r="D134" s="63" t="s">
        <v>2455</v>
      </c>
      <c r="E134" s="61"/>
      <c r="F134" s="61"/>
      <c r="G134" s="19"/>
      <c r="H134" s="28"/>
    </row>
    <row r="135" spans="1:8" ht="27">
      <c r="A135" s="28" t="s">
        <v>2334</v>
      </c>
      <c r="B135" s="28"/>
      <c r="C135" s="28"/>
      <c r="D135" s="63" t="s">
        <v>2456</v>
      </c>
      <c r="E135" s="61"/>
      <c r="F135" s="61"/>
      <c r="G135" s="19"/>
      <c r="H135" s="28"/>
    </row>
    <row r="136" spans="1:8">
      <c r="A136" s="28" t="s">
        <v>2335</v>
      </c>
      <c r="B136" s="28"/>
      <c r="C136" s="28"/>
      <c r="D136" s="63" t="s">
        <v>2457</v>
      </c>
      <c r="E136" s="61"/>
      <c r="F136" s="61"/>
      <c r="G136" s="19"/>
      <c r="H136" s="28"/>
    </row>
    <row r="137" spans="1:8">
      <c r="A137" s="28" t="s">
        <v>2336</v>
      </c>
      <c r="B137" s="28"/>
      <c r="C137" s="28"/>
      <c r="D137" s="63" t="s">
        <v>2458</v>
      </c>
      <c r="E137" s="61"/>
      <c r="F137" s="61"/>
      <c r="G137" s="19"/>
      <c r="H137" s="28"/>
    </row>
    <row r="138" spans="1:8">
      <c r="A138" s="28" t="s">
        <v>2337</v>
      </c>
      <c r="B138" s="28"/>
      <c r="C138" s="28"/>
      <c r="D138" s="63" t="s">
        <v>2459</v>
      </c>
      <c r="E138" s="61"/>
      <c r="F138" s="61"/>
      <c r="G138" s="19"/>
      <c r="H138" s="28"/>
    </row>
    <row r="139" spans="1:8" ht="40.5">
      <c r="A139" s="28" t="s">
        <v>2338</v>
      </c>
      <c r="B139" s="28"/>
      <c r="C139" s="28"/>
      <c r="D139" s="63" t="s">
        <v>2460</v>
      </c>
      <c r="E139" s="61"/>
      <c r="F139" s="61"/>
      <c r="G139" s="19"/>
      <c r="H139" s="28"/>
    </row>
    <row r="140" spans="1:8">
      <c r="A140" s="28" t="s">
        <v>2339</v>
      </c>
      <c r="B140" s="28"/>
      <c r="C140" s="28"/>
      <c r="D140" s="63" t="s">
        <v>2461</v>
      </c>
      <c r="E140" s="61"/>
      <c r="F140" s="61"/>
      <c r="G140" s="19"/>
      <c r="H140" s="28"/>
    </row>
    <row r="141" spans="1:8">
      <c r="A141" s="28" t="s">
        <v>2340</v>
      </c>
      <c r="B141" s="28"/>
      <c r="C141" s="28"/>
      <c r="D141" s="63" t="s">
        <v>2462</v>
      </c>
      <c r="E141" s="61"/>
      <c r="F141" s="61"/>
      <c r="G141" s="19"/>
      <c r="H141" s="28"/>
    </row>
    <row r="142" spans="1:8">
      <c r="A142" s="28" t="s">
        <v>2341</v>
      </c>
      <c r="B142" s="28"/>
      <c r="C142" s="28"/>
      <c r="D142" s="63" t="s">
        <v>2463</v>
      </c>
      <c r="E142" s="61"/>
      <c r="F142" s="61"/>
      <c r="G142" s="19"/>
      <c r="H142" s="28"/>
    </row>
    <row r="143" spans="1:8" ht="27">
      <c r="A143" s="28" t="s">
        <v>2342</v>
      </c>
      <c r="B143" s="28"/>
      <c r="C143" s="28"/>
      <c r="D143" s="63" t="s">
        <v>2464</v>
      </c>
      <c r="E143" s="61"/>
      <c r="F143" s="61"/>
      <c r="G143" s="19"/>
      <c r="H143" s="28"/>
    </row>
    <row r="144" spans="1:8">
      <c r="A144" s="28" t="s">
        <v>2343</v>
      </c>
      <c r="B144" s="28"/>
      <c r="C144" s="28"/>
      <c r="D144" s="63" t="s">
        <v>2414</v>
      </c>
      <c r="E144" s="61"/>
      <c r="F144" s="61"/>
      <c r="G144" s="19"/>
      <c r="H144" s="28"/>
    </row>
    <row r="145" spans="1:8">
      <c r="A145" s="28" t="s">
        <v>2344</v>
      </c>
      <c r="B145" s="28"/>
      <c r="C145" s="28"/>
      <c r="D145" s="63" t="s">
        <v>2416</v>
      </c>
      <c r="E145" s="61"/>
      <c r="F145" s="61"/>
      <c r="G145" s="19"/>
      <c r="H145" s="28"/>
    </row>
    <row r="146" spans="1:8" ht="27">
      <c r="A146" s="28" t="s">
        <v>2345</v>
      </c>
      <c r="B146" s="28"/>
      <c r="C146" s="28"/>
      <c r="D146" s="63" t="s">
        <v>2465</v>
      </c>
      <c r="E146" s="61"/>
      <c r="F146" s="61"/>
      <c r="G146" s="19"/>
      <c r="H146" s="28"/>
    </row>
    <row r="147" spans="1:8" ht="27">
      <c r="A147" s="28" t="s">
        <v>2346</v>
      </c>
      <c r="B147" s="28"/>
      <c r="C147" s="28"/>
      <c r="D147" s="64" t="s">
        <v>2479</v>
      </c>
      <c r="E147" s="71">
        <f>1*E129+1*E130+1*E131+1*E132+1*E133+-1*E135+-1*E136+-1*E137+1*E139+-1*E140+1*E141+1*E142+1*E143+-1*E144+-1*E145+1*E146+1*E134+1*E138</f>
        <v>0</v>
      </c>
      <c r="F147" s="71">
        <f>1*F129+1*F130+1*F131+1*F132+1*F133+-1*F135+-1*F136+-1*F137+1*F139+-1*F140+1*F141+1*F142+1*F143+-1*F144+-1*F145+1*F146+1*F134+1*F138</f>
        <v>0</v>
      </c>
      <c r="G147" s="19"/>
      <c r="H147" s="28"/>
    </row>
    <row r="148" spans="1:8" ht="40.5">
      <c r="A148" s="28" t="s">
        <v>2347</v>
      </c>
      <c r="B148" s="28"/>
      <c r="C148" s="28"/>
      <c r="D148" s="70" t="s">
        <v>2480</v>
      </c>
      <c r="E148" s="71">
        <f>1*E95+1*E127+1*E147</f>
        <v>0</v>
      </c>
      <c r="F148" s="71">
        <f>1*F95+1*F127+1*F147</f>
        <v>0</v>
      </c>
      <c r="G148" s="19"/>
      <c r="H148" s="28"/>
    </row>
    <row r="149" spans="1:8" ht="27">
      <c r="A149" s="28" t="s">
        <v>2348</v>
      </c>
      <c r="B149" s="28"/>
      <c r="C149" s="28"/>
      <c r="D149" s="38" t="s">
        <v>2466</v>
      </c>
      <c r="E149" s="61"/>
      <c r="F149" s="61"/>
      <c r="G149" s="19"/>
      <c r="H149" s="28"/>
    </row>
    <row r="150" spans="1:8" ht="41" thickBot="1">
      <c r="A150" s="28" t="s">
        <v>2349</v>
      </c>
      <c r="B150" s="28"/>
      <c r="C150" s="28"/>
      <c r="D150" s="70" t="s">
        <v>2481</v>
      </c>
      <c r="E150" s="65">
        <f>1*E148+1*E149</f>
        <v>0</v>
      </c>
      <c r="F150" s="65">
        <f>1*F148+1*F149</f>
        <v>0</v>
      </c>
      <c r="G150" s="19"/>
      <c r="H150" s="28"/>
    </row>
    <row r="151" spans="1:8" ht="27.5" thickTop="1">
      <c r="A151" s="28" t="s">
        <v>2350</v>
      </c>
      <c r="B151" s="28"/>
      <c r="C151" s="28"/>
      <c r="D151" s="80" t="s">
        <v>2482</v>
      </c>
      <c r="E151" s="68"/>
      <c r="F151" s="68"/>
      <c r="G151" s="19"/>
      <c r="H151" s="28"/>
    </row>
    <row r="152" spans="1:8">
      <c r="A152" s="28" t="s">
        <v>2351</v>
      </c>
      <c r="B152" s="28"/>
      <c r="C152" s="28"/>
      <c r="D152" s="80" t="s">
        <v>2483</v>
      </c>
      <c r="E152" s="61"/>
      <c r="F152" s="61"/>
      <c r="G152" s="19"/>
      <c r="H152" s="28"/>
    </row>
    <row r="153" spans="1:8">
      <c r="A153" s="28" t="s">
        <v>2352</v>
      </c>
      <c r="B153" s="28"/>
      <c r="C153" s="28"/>
      <c r="D153" s="57" t="s">
        <v>2467</v>
      </c>
      <c r="E153" s="58"/>
      <c r="F153" s="58"/>
      <c r="G153" s="19"/>
      <c r="H153" s="28"/>
    </row>
    <row r="154" spans="1:8">
      <c r="A154" s="28" t="s">
        <v>2353</v>
      </c>
      <c r="B154" s="28"/>
      <c r="C154" s="28"/>
      <c r="D154" s="80" t="s">
        <v>2484</v>
      </c>
      <c r="E154" s="61"/>
      <c r="F154" s="61"/>
      <c r="G154" s="19"/>
      <c r="H154" s="28"/>
    </row>
    <row r="155" spans="1:8">
      <c r="A155" s="28" t="s">
        <v>2354</v>
      </c>
      <c r="B155" s="28"/>
      <c r="C155" s="28"/>
      <c r="D155" s="38" t="s">
        <v>2468</v>
      </c>
      <c r="E155" s="61"/>
      <c r="F155" s="61"/>
      <c r="G155" s="19"/>
      <c r="H155" s="28"/>
    </row>
    <row r="156" spans="1:8" ht="27">
      <c r="A156" s="28" t="s">
        <v>2355</v>
      </c>
      <c r="B156" s="28"/>
      <c r="C156" s="28"/>
      <c r="D156" s="38" t="s">
        <v>2469</v>
      </c>
      <c r="E156" s="61"/>
      <c r="F156" s="61"/>
      <c r="G156" s="19"/>
      <c r="H156" s="28"/>
    </row>
    <row r="157" spans="1:8" ht="27.5" thickBot="1">
      <c r="A157" s="28" t="s">
        <v>2356</v>
      </c>
      <c r="B157" s="28"/>
      <c r="C157" s="28"/>
      <c r="D157" s="70" t="s">
        <v>2485</v>
      </c>
      <c r="E157" s="65">
        <f>1*E154+-1*E155+1*E156</f>
        <v>0</v>
      </c>
      <c r="F157" s="65">
        <f>1*F154+-1*F155+1*F156</f>
        <v>0</v>
      </c>
      <c r="G157" s="19"/>
      <c r="H157" s="28"/>
    </row>
    <row r="158" spans="1:8" ht="15" hidden="1" thickTop="1">
      <c r="A158" s="28"/>
      <c r="B158" s="28"/>
      <c r="C158" s="28" t="s">
        <v>509</v>
      </c>
      <c r="D158" s="19"/>
      <c r="E158" s="19"/>
      <c r="F158" s="19"/>
      <c r="G158" s="19"/>
      <c r="H158" s="28"/>
    </row>
    <row r="159" spans="1:8" hidden="1">
      <c r="A159" s="28"/>
      <c r="B159" s="28"/>
      <c r="C159" s="28" t="s">
        <v>512</v>
      </c>
      <c r="D159" s="28"/>
      <c r="E159" s="28"/>
      <c r="F159" s="28"/>
      <c r="G159" s="28"/>
      <c r="H159" s="28" t="s">
        <v>513</v>
      </c>
    </row>
    <row r="160" spans="1:8" ht="15" thickTop="1">
      <c r="A160" s="19"/>
      <c r="B160" s="19"/>
      <c r="C160" s="19"/>
      <c r="D160" s="19"/>
      <c r="E160" s="19"/>
      <c r="F160" s="19"/>
      <c r="G160" s="19"/>
      <c r="H160" s="19"/>
    </row>
  </sheetData>
  <sheetProtection algorithmName="SHA-1" hashValue="Y0ItbqFyiiojnyx96E9iA65WEuY=" saltValue="uDLceAd3DiNJ78WQnR+QcA==" spinCount="100000" sheet="1" objects="1" scenarios="1" formatColumns="0" formatRows="0"/>
  <dataValidations count="1">
    <dataValidation type="decimal" allowBlank="1" showInputMessage="1" showErrorMessage="1" error="Please enter a numeric value upto 2 decimal places only" sqref="E28:F28 E154:F156 E151:F152 E149:F149 E129:F146 E97:F126 E88:F94 E80:F85 E75:F76 E68:F73 E61:F66 E58:F59 E47:F55 E31:F45" xr:uid="{BC048AF9-72E1-4C39-A5BA-D8EF39470C59}">
      <formula1>-999999999999999</formula1>
      <formula2>999999999999999</formula2>
    </dataValidation>
  </dataValidations>
  <pageMargins left="0.7" right="0.7" top="0.75" bottom="0.75" header="0.3" footer="0.3"/>
  <drawing r:id="rId1"/>
  <legacyDrawing r:id="rId2"/>
  <controls>
    <mc:AlternateContent xmlns:mc="http://schemas.openxmlformats.org/markup-compatibility/2006">
      <mc:Choice Requires="x14">
        <control shapeId="20581"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0581" r:id="rId3" name="LegendBtn"/>
      </mc:Fallback>
    </mc:AlternateContent>
    <mc:AlternateContent xmlns:mc="http://schemas.openxmlformats.org/markup-compatibility/2006">
      <mc:Choice Requires="x14">
        <control shapeId="20580"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0580" r:id="rId5" name="HelpBtn"/>
      </mc:Fallback>
    </mc:AlternateContent>
    <mc:AlternateContent xmlns:mc="http://schemas.openxmlformats.org/markup-compatibility/2006">
      <mc:Choice Requires="x14">
        <control shapeId="20579"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0579" r:id="rId7" name="ToolboxBtn"/>
      </mc:Fallback>
    </mc:AlternateContent>
    <mc:AlternateContent xmlns:mc="http://schemas.openxmlformats.org/markup-compatibility/2006">
      <mc:Choice Requires="x14">
        <control shapeId="20578"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0578" r:id="rId9" name="HomeBtn"/>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4752-90D0-4FCA-B8C6-A7FF17FBF114}">
  <sheetPr codeName="Sheet15"/>
  <dimension ref="A1:DZ84"/>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27" width="22.7265625" customWidth="1"/>
  </cols>
  <sheetData>
    <row r="1" spans="1:130" ht="60" customHeight="1">
      <c r="A1" s="26" t="s">
        <v>2487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130" ht="25.15" customHeight="1">
      <c r="A2" s="39"/>
      <c r="B2" s="39"/>
      <c r="C2" s="39"/>
      <c r="D2" s="41" t="s">
        <v>2562</v>
      </c>
      <c r="E2" s="39"/>
      <c r="F2" s="39"/>
      <c r="G2" s="39"/>
      <c r="H2" s="39"/>
      <c r="I2" s="39"/>
      <c r="J2" s="39"/>
      <c r="K2" s="39"/>
      <c r="L2" s="39"/>
      <c r="M2" s="39"/>
      <c r="N2" s="39"/>
      <c r="O2" s="39"/>
      <c r="P2" s="39"/>
      <c r="Q2" s="39"/>
      <c r="R2" s="39"/>
      <c r="S2" s="39"/>
      <c r="T2" s="39"/>
      <c r="U2" s="39"/>
      <c r="V2" s="39"/>
      <c r="W2" s="39"/>
      <c r="X2" s="39"/>
      <c r="Y2" s="39"/>
      <c r="Z2" s="39"/>
      <c r="AA2" s="39"/>
      <c r="AB2" s="39"/>
      <c r="AC2" s="39"/>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c r="I3" s="19"/>
      <c r="J3" s="19"/>
      <c r="K3" s="19"/>
      <c r="L3" s="19"/>
      <c r="M3" s="19"/>
      <c r="N3" s="19"/>
      <c r="O3" s="19"/>
      <c r="P3" s="19"/>
      <c r="Q3" s="19"/>
      <c r="R3" s="19"/>
      <c r="S3" s="19"/>
      <c r="T3" s="19"/>
      <c r="U3" s="19"/>
      <c r="V3" s="19"/>
      <c r="W3" s="19"/>
      <c r="X3" s="19"/>
      <c r="Y3" s="19"/>
      <c r="Z3" s="19"/>
      <c r="AA3" s="19"/>
      <c r="AB3" s="19"/>
      <c r="AC3" s="19"/>
    </row>
    <row r="4" spans="1:130" hidden="1">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row>
    <row r="5" spans="1:130" ht="15" hidden="1" customHeight="1">
      <c r="A5" s="28"/>
      <c r="B5" s="28"/>
      <c r="C5" s="29" t="s">
        <v>2488</v>
      </c>
      <c r="D5" s="28"/>
      <c r="E5" s="28"/>
      <c r="F5" s="28"/>
      <c r="G5" s="28"/>
      <c r="H5" s="19"/>
      <c r="I5" s="19"/>
      <c r="J5" s="19"/>
      <c r="K5" s="19"/>
      <c r="L5" s="19"/>
      <c r="M5" s="19"/>
      <c r="N5" s="19"/>
      <c r="O5" s="19"/>
      <c r="P5" s="19"/>
      <c r="Q5" s="19"/>
      <c r="R5" s="19"/>
      <c r="S5" s="19"/>
      <c r="T5" s="19"/>
      <c r="U5" s="19"/>
      <c r="V5" s="19"/>
      <c r="W5" s="19"/>
      <c r="X5" s="19"/>
      <c r="Y5" s="19"/>
      <c r="Z5" s="19"/>
      <c r="AA5" s="19"/>
      <c r="AB5" s="19"/>
      <c r="AC5" s="19"/>
    </row>
    <row r="6" spans="1:130" hidden="1">
      <c r="A6" s="28"/>
      <c r="B6" s="28"/>
      <c r="C6" s="28"/>
      <c r="D6" s="28"/>
      <c r="E6" s="28"/>
      <c r="F6" s="28"/>
      <c r="G6" s="28"/>
      <c r="H6" s="19"/>
      <c r="I6" s="19"/>
      <c r="J6" s="19"/>
      <c r="K6" s="19"/>
      <c r="L6" s="19"/>
      <c r="M6" s="19"/>
      <c r="N6" s="19"/>
      <c r="O6" s="19"/>
      <c r="P6" s="19"/>
      <c r="Q6" s="19"/>
      <c r="R6" s="19"/>
      <c r="S6" s="19"/>
      <c r="T6" s="19"/>
      <c r="U6" s="19"/>
      <c r="V6" s="19"/>
      <c r="W6" s="19"/>
      <c r="X6" s="19"/>
      <c r="Y6" s="19"/>
      <c r="Z6" s="19"/>
      <c r="AA6" s="19"/>
      <c r="AB6" s="19"/>
      <c r="AC6" s="19"/>
    </row>
    <row r="7" spans="1:130" hidden="1">
      <c r="A7" s="28"/>
      <c r="B7" s="28"/>
      <c r="C7" s="28"/>
      <c r="D7" s="28"/>
      <c r="E7" s="28"/>
      <c r="F7" s="28"/>
      <c r="G7" s="28"/>
      <c r="H7" s="19"/>
      <c r="I7" s="19"/>
      <c r="J7" s="19"/>
      <c r="K7" s="19"/>
      <c r="L7" s="19"/>
      <c r="M7" s="19"/>
      <c r="N7" s="19"/>
      <c r="O7" s="19"/>
      <c r="P7" s="19"/>
      <c r="Q7" s="19"/>
      <c r="R7" s="19"/>
      <c r="S7" s="19"/>
      <c r="T7" s="19"/>
      <c r="U7" s="19"/>
      <c r="V7" s="19"/>
      <c r="W7" s="19"/>
      <c r="X7" s="19"/>
      <c r="Y7" s="19"/>
      <c r="Z7" s="19"/>
      <c r="AA7" s="19"/>
      <c r="AB7" s="19"/>
      <c r="AC7" s="19"/>
    </row>
    <row r="8" spans="1:130" hidden="1">
      <c r="A8" s="28"/>
      <c r="B8" s="28"/>
      <c r="C8" s="28" t="s">
        <v>510</v>
      </c>
      <c r="D8" s="28" t="s">
        <v>508</v>
      </c>
      <c r="E8" s="28"/>
      <c r="F8" s="28" t="s">
        <v>509</v>
      </c>
      <c r="G8" s="28" t="s">
        <v>511</v>
      </c>
      <c r="H8" s="19"/>
      <c r="I8" s="19"/>
      <c r="J8" s="19"/>
      <c r="K8" s="19"/>
      <c r="L8" s="19"/>
      <c r="M8" s="19"/>
      <c r="N8" s="19"/>
      <c r="O8" s="19"/>
      <c r="P8" s="19"/>
      <c r="Q8" s="19"/>
      <c r="R8" s="19"/>
      <c r="S8" s="19"/>
      <c r="T8" s="19"/>
      <c r="U8" s="19"/>
      <c r="V8" s="19"/>
      <c r="W8" s="19"/>
      <c r="X8" s="19"/>
      <c r="Y8" s="19"/>
      <c r="Z8" s="19"/>
      <c r="AA8" s="19"/>
      <c r="AB8" s="19"/>
      <c r="AC8" s="19"/>
    </row>
    <row r="9" spans="1:130">
      <c r="A9" s="28"/>
      <c r="B9" s="28"/>
      <c r="C9" s="28" t="s">
        <v>509</v>
      </c>
      <c r="D9" s="30"/>
      <c r="E9" s="19"/>
      <c r="F9" s="19"/>
      <c r="G9" s="28"/>
      <c r="H9" s="19"/>
      <c r="I9" s="19"/>
      <c r="J9" s="19"/>
      <c r="K9" s="19"/>
      <c r="L9" s="19"/>
      <c r="M9" s="19"/>
      <c r="N9" s="19"/>
      <c r="O9" s="19"/>
      <c r="P9" s="19"/>
      <c r="Q9" s="19"/>
      <c r="R9" s="19"/>
      <c r="S9" s="19"/>
      <c r="T9" s="19"/>
      <c r="U9" s="19"/>
      <c r="V9" s="19"/>
      <c r="W9" s="19"/>
      <c r="X9" s="19"/>
      <c r="Y9" s="19"/>
      <c r="Z9" s="19"/>
      <c r="AA9" s="19"/>
      <c r="AB9" s="19"/>
      <c r="AC9" s="19"/>
    </row>
    <row r="10" spans="1:130">
      <c r="A10" s="28" t="s">
        <v>2489</v>
      </c>
      <c r="B10" s="28"/>
      <c r="C10" s="28"/>
      <c r="D10" s="31" t="s">
        <v>2490</v>
      </c>
      <c r="E10" s="31"/>
      <c r="F10" s="19"/>
      <c r="G10" s="28"/>
      <c r="H10" s="19"/>
      <c r="I10" s="19"/>
      <c r="J10" s="19"/>
      <c r="K10" s="19"/>
      <c r="L10" s="19"/>
      <c r="M10" s="19"/>
      <c r="N10" s="19"/>
      <c r="O10" s="19"/>
      <c r="P10" s="19"/>
      <c r="Q10" s="19"/>
      <c r="R10" s="19"/>
      <c r="S10" s="19"/>
      <c r="T10" s="19"/>
      <c r="U10" s="19"/>
      <c r="V10" s="19"/>
      <c r="W10" s="19"/>
      <c r="X10" s="19"/>
      <c r="Y10" s="19"/>
      <c r="Z10" s="19"/>
      <c r="AA10" s="19"/>
      <c r="AB10" s="19"/>
      <c r="AC10" s="19"/>
    </row>
    <row r="11" spans="1:130" hidden="1">
      <c r="A11" s="28"/>
      <c r="B11" s="28"/>
      <c r="C11" s="28" t="s">
        <v>509</v>
      </c>
      <c r="D11" s="19"/>
      <c r="E11" s="19"/>
      <c r="F11" s="19"/>
      <c r="G11" s="28"/>
      <c r="H11" s="19"/>
      <c r="I11" s="19"/>
      <c r="J11" s="19"/>
      <c r="K11" s="19"/>
      <c r="L11" s="19"/>
      <c r="M11" s="19"/>
      <c r="N11" s="19"/>
      <c r="O11" s="19"/>
      <c r="P11" s="19"/>
      <c r="Q11" s="19"/>
      <c r="R11" s="19"/>
      <c r="S11" s="19"/>
      <c r="T11" s="19"/>
      <c r="U11" s="19"/>
      <c r="V11" s="19"/>
      <c r="W11" s="19"/>
      <c r="X11" s="19"/>
      <c r="Y11" s="19"/>
      <c r="Z11" s="19"/>
      <c r="AA11" s="19"/>
      <c r="AB11" s="19"/>
      <c r="AC11" s="19"/>
    </row>
    <row r="12" spans="1:130" hidden="1">
      <c r="A12" s="28"/>
      <c r="B12" s="28"/>
      <c r="C12" s="28" t="s">
        <v>512</v>
      </c>
      <c r="D12" s="28"/>
      <c r="E12" s="28"/>
      <c r="F12" s="28"/>
      <c r="G12" s="28" t="s">
        <v>513</v>
      </c>
      <c r="H12" s="19"/>
      <c r="I12" s="19"/>
      <c r="J12" s="19"/>
      <c r="K12" s="19"/>
      <c r="L12" s="19"/>
      <c r="M12" s="19"/>
      <c r="N12" s="19"/>
      <c r="O12" s="19"/>
      <c r="P12" s="19"/>
      <c r="Q12" s="19"/>
      <c r="R12" s="19"/>
      <c r="S12" s="19"/>
      <c r="T12" s="19"/>
      <c r="U12" s="19"/>
      <c r="V12" s="19"/>
      <c r="W12" s="19"/>
      <c r="X12" s="19"/>
      <c r="Y12" s="19"/>
      <c r="Z12" s="19"/>
      <c r="AA12" s="19"/>
      <c r="AB12" s="19"/>
      <c r="AC12" s="19"/>
    </row>
    <row r="13" spans="1:130">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row>
    <row r="14" spans="1:130">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spans="1:130" ht="15" hidden="1" customHeight="1">
      <c r="A15" s="28"/>
      <c r="B15" s="28"/>
      <c r="C15" s="29" t="s">
        <v>2491</v>
      </c>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spans="1:130" hidden="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spans="1:29" hidden="1">
      <c r="A17" s="28"/>
      <c r="B17" s="28"/>
      <c r="C17" s="28"/>
      <c r="D17" s="28"/>
      <c r="E17" s="28" t="s">
        <v>2511</v>
      </c>
      <c r="F17" s="28" t="s">
        <v>2512</v>
      </c>
      <c r="G17" s="28" t="s">
        <v>2513</v>
      </c>
      <c r="H17" s="28" t="s">
        <v>2514</v>
      </c>
      <c r="I17" s="28" t="s">
        <v>2515</v>
      </c>
      <c r="J17" s="28" t="s">
        <v>2516</v>
      </c>
      <c r="K17" s="28" t="s">
        <v>2517</v>
      </c>
      <c r="L17" s="28" t="s">
        <v>2518</v>
      </c>
      <c r="M17" s="28" t="s">
        <v>2519</v>
      </c>
      <c r="N17" s="28" t="s">
        <v>2520</v>
      </c>
      <c r="O17" s="28" t="s">
        <v>2521</v>
      </c>
      <c r="P17" s="28" t="s">
        <v>2522</v>
      </c>
      <c r="Q17" s="28" t="s">
        <v>2523</v>
      </c>
      <c r="R17" s="28" t="s">
        <v>2524</v>
      </c>
      <c r="S17" s="28" t="s">
        <v>2525</v>
      </c>
      <c r="T17" s="28" t="s">
        <v>2526</v>
      </c>
      <c r="U17" s="28" t="s">
        <v>2527</v>
      </c>
      <c r="V17" s="28" t="s">
        <v>2528</v>
      </c>
      <c r="W17" s="28" t="s">
        <v>2529</v>
      </c>
      <c r="X17" s="28" t="s">
        <v>2530</v>
      </c>
      <c r="Y17" s="28" t="s">
        <v>2531</v>
      </c>
      <c r="Z17" s="28" t="s">
        <v>2532</v>
      </c>
      <c r="AA17" s="28">
        <v>0</v>
      </c>
      <c r="AB17" s="28"/>
      <c r="AC17" s="28"/>
    </row>
    <row r="18" spans="1:29" hidden="1">
      <c r="A18" s="28"/>
      <c r="B18" s="28"/>
      <c r="C18" s="28" t="s">
        <v>510</v>
      </c>
      <c r="D18" s="28" t="s">
        <v>508</v>
      </c>
      <c r="E18" s="28"/>
      <c r="F18" s="28"/>
      <c r="G18" s="28"/>
      <c r="H18" s="28"/>
      <c r="I18" s="28"/>
      <c r="J18" s="28"/>
      <c r="K18" s="28"/>
      <c r="L18" s="28"/>
      <c r="M18" s="28"/>
      <c r="N18" s="28"/>
      <c r="O18" s="28"/>
      <c r="P18" s="28"/>
      <c r="Q18" s="28"/>
      <c r="R18" s="28"/>
      <c r="S18" s="28"/>
      <c r="T18" s="28"/>
      <c r="U18" s="28"/>
      <c r="V18" s="28"/>
      <c r="W18" s="28"/>
      <c r="X18" s="28"/>
      <c r="Y18" s="28"/>
      <c r="Z18" s="28"/>
      <c r="AA18" s="28"/>
      <c r="AB18" s="28" t="s">
        <v>509</v>
      </c>
      <c r="AC18" s="28" t="s">
        <v>511</v>
      </c>
    </row>
    <row r="19" spans="1:29" ht="50" customHeight="1">
      <c r="A19" s="28"/>
      <c r="B19" s="28" t="s">
        <v>2554</v>
      </c>
      <c r="C19" s="28" t="s">
        <v>599</v>
      </c>
      <c r="D19" s="84" t="s">
        <v>2553</v>
      </c>
      <c r="E19" s="20" t="s">
        <v>1605</v>
      </c>
      <c r="F19" s="20" t="s">
        <v>2545</v>
      </c>
      <c r="G19" s="20" t="s">
        <v>948</v>
      </c>
      <c r="H19" s="20" t="s">
        <v>1611</v>
      </c>
      <c r="I19" s="20" t="s">
        <v>1612</v>
      </c>
      <c r="J19" s="20" t="s">
        <v>1613</v>
      </c>
      <c r="K19" s="20" t="s">
        <v>1614</v>
      </c>
      <c r="L19" s="20" t="s">
        <v>1615</v>
      </c>
      <c r="M19" s="20" t="s">
        <v>1616</v>
      </c>
      <c r="N19" s="20" t="s">
        <v>1617</v>
      </c>
      <c r="O19" s="20" t="s">
        <v>1618</v>
      </c>
      <c r="P19" s="20" t="s">
        <v>2546</v>
      </c>
      <c r="Q19" s="20" t="s">
        <v>2547</v>
      </c>
      <c r="R19" s="20" t="s">
        <v>1622</v>
      </c>
      <c r="S19" s="20" t="s">
        <v>1623</v>
      </c>
      <c r="T19" s="20" t="s">
        <v>1624</v>
      </c>
      <c r="U19" s="20" t="s">
        <v>1625</v>
      </c>
      <c r="V19" s="20" t="s">
        <v>2548</v>
      </c>
      <c r="W19" s="20" t="s">
        <v>1609</v>
      </c>
      <c r="X19" s="20" t="s">
        <v>2549</v>
      </c>
      <c r="Y19" s="20" t="s">
        <v>2550</v>
      </c>
      <c r="Z19" s="20" t="s">
        <v>2551</v>
      </c>
      <c r="AA19" s="20" t="s">
        <v>2552</v>
      </c>
      <c r="AB19" s="19"/>
      <c r="AC19" s="28"/>
    </row>
    <row r="20" spans="1:29" ht="27">
      <c r="A20" s="28"/>
      <c r="B20" s="28"/>
      <c r="C20" s="28" t="s">
        <v>577</v>
      </c>
      <c r="D20" s="43"/>
      <c r="E20" s="20" t="str">
        <f t="shared" ref="E20:AA20" si="0">TEXT(DATE(MID(E22,7,4),MID(E22,4,2),MID(E22,1,2)),"dd/MM/yyyy")&amp;" - "&amp;TEXT(DATE(MID(E23,7,4),MID(E23,4,2),MID(E23,1,2)),"dd/MM/yyyy")</f>
        <v>01/01/2024 - 31/12/2024</v>
      </c>
      <c r="F20" s="20" t="str">
        <f t="shared" si="0"/>
        <v>01/01/2024 - 31/12/2024</v>
      </c>
      <c r="G20" s="20" t="str">
        <f t="shared" si="0"/>
        <v>01/01/2024 - 31/12/2024</v>
      </c>
      <c r="H20" s="20" t="str">
        <f t="shared" si="0"/>
        <v>01/01/2024 - 31/12/2024</v>
      </c>
      <c r="I20" s="20" t="str">
        <f t="shared" si="0"/>
        <v>01/01/2024 - 31/12/2024</v>
      </c>
      <c r="J20" s="20" t="str">
        <f t="shared" si="0"/>
        <v>01/01/2024 - 31/12/2024</v>
      </c>
      <c r="K20" s="20" t="str">
        <f t="shared" si="0"/>
        <v>01/01/2024 - 31/12/2024</v>
      </c>
      <c r="L20" s="20" t="str">
        <f t="shared" si="0"/>
        <v>01/01/2024 - 31/12/2024</v>
      </c>
      <c r="M20" s="20" t="str">
        <f t="shared" si="0"/>
        <v>01/01/2024 - 31/12/2024</v>
      </c>
      <c r="N20" s="20" t="str">
        <f t="shared" si="0"/>
        <v>01/01/2024 - 31/12/2024</v>
      </c>
      <c r="O20" s="20" t="str">
        <f t="shared" si="0"/>
        <v>01/01/2024 - 31/12/2024</v>
      </c>
      <c r="P20" s="20" t="str">
        <f t="shared" si="0"/>
        <v>01/01/2024 - 31/12/2024</v>
      </c>
      <c r="Q20" s="20" t="str">
        <f t="shared" si="0"/>
        <v>01/01/2024 - 31/12/2024</v>
      </c>
      <c r="R20" s="20" t="str">
        <f t="shared" si="0"/>
        <v>01/01/2024 - 31/12/2024</v>
      </c>
      <c r="S20" s="20" t="str">
        <f t="shared" si="0"/>
        <v>01/01/2024 - 31/12/2024</v>
      </c>
      <c r="T20" s="20" t="str">
        <f t="shared" si="0"/>
        <v>01/01/2024 - 31/12/2024</v>
      </c>
      <c r="U20" s="20" t="str">
        <f t="shared" si="0"/>
        <v>01/01/2024 - 31/12/2024</v>
      </c>
      <c r="V20" s="20" t="str">
        <f t="shared" si="0"/>
        <v>01/01/2024 - 31/12/2024</v>
      </c>
      <c r="W20" s="20" t="str">
        <f t="shared" si="0"/>
        <v>01/01/2024 - 31/12/2024</v>
      </c>
      <c r="X20" s="20" t="str">
        <f t="shared" si="0"/>
        <v>01/01/2024 - 31/12/2024</v>
      </c>
      <c r="Y20" s="20" t="str">
        <f t="shared" si="0"/>
        <v>01/01/2024 - 31/12/2024</v>
      </c>
      <c r="Z20" s="20" t="str">
        <f t="shared" si="0"/>
        <v>01/01/2024 - 31/12/2024</v>
      </c>
      <c r="AA20" s="20" t="str">
        <f t="shared" si="0"/>
        <v>01/01/2024 - 31/12/2024</v>
      </c>
      <c r="AB20" s="19"/>
      <c r="AC20" s="28"/>
    </row>
    <row r="21" spans="1:29" ht="20" customHeight="1">
      <c r="A21" s="28"/>
      <c r="B21" s="28"/>
      <c r="C21" s="28" t="s">
        <v>578</v>
      </c>
      <c r="D21" s="43"/>
      <c r="E21" s="20" t="str">
        <f>StartUp!$E$8</f>
        <v>MYR'000</v>
      </c>
      <c r="F21" s="20" t="str">
        <f>StartUp!$E$8</f>
        <v>MYR'000</v>
      </c>
      <c r="G21" s="20" t="str">
        <f>StartUp!$E$8</f>
        <v>MYR'000</v>
      </c>
      <c r="H21" s="20" t="str">
        <f>StartUp!$E$8</f>
        <v>MYR'000</v>
      </c>
      <c r="I21" s="20" t="str">
        <f>StartUp!$E$8</f>
        <v>MYR'000</v>
      </c>
      <c r="J21" s="20" t="str">
        <f>StartUp!$E$8</f>
        <v>MYR'000</v>
      </c>
      <c r="K21" s="20" t="str">
        <f>StartUp!$E$8</f>
        <v>MYR'000</v>
      </c>
      <c r="L21" s="20" t="str">
        <f>StartUp!$E$8</f>
        <v>MYR'000</v>
      </c>
      <c r="M21" s="20" t="str">
        <f>StartUp!$E$8</f>
        <v>MYR'000</v>
      </c>
      <c r="N21" s="20" t="str">
        <f>StartUp!$E$8</f>
        <v>MYR'000</v>
      </c>
      <c r="O21" s="20" t="str">
        <f>StartUp!$E$8</f>
        <v>MYR'000</v>
      </c>
      <c r="P21" s="20" t="str">
        <f>StartUp!$E$8</f>
        <v>MYR'000</v>
      </c>
      <c r="Q21" s="20" t="str">
        <f>StartUp!$E$8</f>
        <v>MYR'000</v>
      </c>
      <c r="R21" s="20" t="str">
        <f>StartUp!$E$8</f>
        <v>MYR'000</v>
      </c>
      <c r="S21" s="20" t="str">
        <f>StartUp!$E$8</f>
        <v>MYR'000</v>
      </c>
      <c r="T21" s="20" t="str">
        <f>StartUp!$E$8</f>
        <v>MYR'000</v>
      </c>
      <c r="U21" s="20" t="str">
        <f>StartUp!$E$8</f>
        <v>MYR'000</v>
      </c>
      <c r="V21" s="20" t="str">
        <f>StartUp!$E$8</f>
        <v>MYR'000</v>
      </c>
      <c r="W21" s="20" t="str">
        <f>StartUp!$E$8</f>
        <v>MYR'000</v>
      </c>
      <c r="X21" s="20" t="str">
        <f>StartUp!$E$8</f>
        <v>MYR'000</v>
      </c>
      <c r="Y21" s="20" t="str">
        <f>StartUp!$E$8</f>
        <v>MYR'000</v>
      </c>
      <c r="Z21" s="20" t="str">
        <f>StartUp!$E$8</f>
        <v>MYR'000</v>
      </c>
      <c r="AA21" s="20" t="str">
        <f>StartUp!$E$8</f>
        <v>MYR'000</v>
      </c>
      <c r="AB21" s="19"/>
      <c r="AC21" s="28"/>
    </row>
    <row r="22" spans="1:29" ht="20" hidden="1" customHeight="1">
      <c r="A22" s="28"/>
      <c r="B22" s="28"/>
      <c r="C22" s="28" t="s">
        <v>579</v>
      </c>
      <c r="D22" s="43"/>
      <c r="E22" s="44" t="str">
        <f>StartUp!$D$8</f>
        <v>01/01/2024</v>
      </c>
      <c r="F22" s="44" t="str">
        <f>StartUp!$D$8</f>
        <v>01/01/2024</v>
      </c>
      <c r="G22" s="44" t="str">
        <f>StartUp!$D$8</f>
        <v>01/01/2024</v>
      </c>
      <c r="H22" s="44" t="str">
        <f>StartUp!$D$8</f>
        <v>01/01/2024</v>
      </c>
      <c r="I22" s="44" t="str">
        <f>StartUp!$D$8</f>
        <v>01/01/2024</v>
      </c>
      <c r="J22" s="44" t="str">
        <f>StartUp!$D$8</f>
        <v>01/01/2024</v>
      </c>
      <c r="K22" s="44" t="str">
        <f>StartUp!$D$8</f>
        <v>01/01/2024</v>
      </c>
      <c r="L22" s="44" t="str">
        <f>StartUp!$D$8</f>
        <v>01/01/2024</v>
      </c>
      <c r="M22" s="44" t="str">
        <f>StartUp!$D$8</f>
        <v>01/01/2024</v>
      </c>
      <c r="N22" s="44" t="str">
        <f>StartUp!$D$8</f>
        <v>01/01/2024</v>
      </c>
      <c r="O22" s="44" t="str">
        <f>StartUp!$D$8</f>
        <v>01/01/2024</v>
      </c>
      <c r="P22" s="44" t="str">
        <f>StartUp!$D$8</f>
        <v>01/01/2024</v>
      </c>
      <c r="Q22" s="44" t="str">
        <f>StartUp!$D$8</f>
        <v>01/01/2024</v>
      </c>
      <c r="R22" s="44" t="str">
        <f>StartUp!$D$8</f>
        <v>01/01/2024</v>
      </c>
      <c r="S22" s="44" t="str">
        <f>StartUp!$D$8</f>
        <v>01/01/2024</v>
      </c>
      <c r="T22" s="44" t="str">
        <f>StartUp!$D$8</f>
        <v>01/01/2024</v>
      </c>
      <c r="U22" s="44" t="str">
        <f>StartUp!$D$8</f>
        <v>01/01/2024</v>
      </c>
      <c r="V22" s="44" t="str">
        <f>StartUp!$D$8</f>
        <v>01/01/2024</v>
      </c>
      <c r="W22" s="44" t="str">
        <f>StartUp!$D$8</f>
        <v>01/01/2024</v>
      </c>
      <c r="X22" s="44" t="str">
        <f>StartUp!$D$8</f>
        <v>01/01/2024</v>
      </c>
      <c r="Y22" s="44" t="str">
        <f>StartUp!$D$8</f>
        <v>01/01/2024</v>
      </c>
      <c r="Z22" s="44" t="str">
        <f>StartUp!$D$8</f>
        <v>01/01/2024</v>
      </c>
      <c r="AA22" s="44" t="str">
        <f>StartUp!$D$8</f>
        <v>01/01/2024</v>
      </c>
      <c r="AB22" s="19"/>
      <c r="AC22" s="28"/>
    </row>
    <row r="23" spans="1:29" ht="20" hidden="1" customHeight="1">
      <c r="A23" s="28"/>
      <c r="B23" s="28"/>
      <c r="C23" s="28" t="s">
        <v>580</v>
      </c>
      <c r="D23" s="43"/>
      <c r="E23" s="44" t="str">
        <f>StartUp!$D$9</f>
        <v>31/12/2024</v>
      </c>
      <c r="F23" s="44" t="str">
        <f>StartUp!$D$9</f>
        <v>31/12/2024</v>
      </c>
      <c r="G23" s="44" t="str">
        <f>StartUp!$D$9</f>
        <v>31/12/2024</v>
      </c>
      <c r="H23" s="44" t="str">
        <f>StartUp!$D$9</f>
        <v>31/12/2024</v>
      </c>
      <c r="I23" s="44" t="str">
        <f>StartUp!$D$9</f>
        <v>31/12/2024</v>
      </c>
      <c r="J23" s="44" t="str">
        <f>StartUp!$D$9</f>
        <v>31/12/2024</v>
      </c>
      <c r="K23" s="44" t="str">
        <f>StartUp!$D$9</f>
        <v>31/12/2024</v>
      </c>
      <c r="L23" s="44" t="str">
        <f>StartUp!$D$9</f>
        <v>31/12/2024</v>
      </c>
      <c r="M23" s="44" t="str">
        <f>StartUp!$D$9</f>
        <v>31/12/2024</v>
      </c>
      <c r="N23" s="44" t="str">
        <f>StartUp!$D$9</f>
        <v>31/12/2024</v>
      </c>
      <c r="O23" s="44" t="str">
        <f>StartUp!$D$9</f>
        <v>31/12/2024</v>
      </c>
      <c r="P23" s="44" t="str">
        <f>StartUp!$D$9</f>
        <v>31/12/2024</v>
      </c>
      <c r="Q23" s="44" t="str">
        <f>StartUp!$D$9</f>
        <v>31/12/2024</v>
      </c>
      <c r="R23" s="44" t="str">
        <f>StartUp!$D$9</f>
        <v>31/12/2024</v>
      </c>
      <c r="S23" s="44" t="str">
        <f>StartUp!$D$9</f>
        <v>31/12/2024</v>
      </c>
      <c r="T23" s="44" t="str">
        <f>StartUp!$D$9</f>
        <v>31/12/2024</v>
      </c>
      <c r="U23" s="44" t="str">
        <f>StartUp!$D$9</f>
        <v>31/12/2024</v>
      </c>
      <c r="V23" s="44" t="str">
        <f>StartUp!$D$9</f>
        <v>31/12/2024</v>
      </c>
      <c r="W23" s="44" t="str">
        <f>StartUp!$D$9</f>
        <v>31/12/2024</v>
      </c>
      <c r="X23" s="44" t="str">
        <f>StartUp!$D$9</f>
        <v>31/12/2024</v>
      </c>
      <c r="Y23" s="44" t="str">
        <f>StartUp!$D$9</f>
        <v>31/12/2024</v>
      </c>
      <c r="Z23" s="44" t="str">
        <f>StartUp!$D$9</f>
        <v>31/12/2024</v>
      </c>
      <c r="AA23" s="44" t="str">
        <f>StartUp!$D$9</f>
        <v>31/12/2024</v>
      </c>
      <c r="AB23" s="19"/>
      <c r="AC23" s="28"/>
    </row>
    <row r="24" spans="1:29">
      <c r="A24" s="28"/>
      <c r="B24" s="28"/>
      <c r="C24" s="28" t="s">
        <v>509</v>
      </c>
      <c r="D24" s="30"/>
      <c r="E24" s="19"/>
      <c r="F24" s="19"/>
      <c r="G24" s="19"/>
      <c r="H24" s="19"/>
      <c r="I24" s="19"/>
      <c r="J24" s="19"/>
      <c r="K24" s="19"/>
      <c r="L24" s="19"/>
      <c r="M24" s="19"/>
      <c r="N24" s="19"/>
      <c r="O24" s="19"/>
      <c r="P24" s="19"/>
      <c r="Q24" s="19"/>
      <c r="R24" s="19"/>
      <c r="S24" s="19"/>
      <c r="T24" s="19"/>
      <c r="U24" s="19"/>
      <c r="V24" s="19"/>
      <c r="W24" s="19"/>
      <c r="X24" s="19"/>
      <c r="Y24" s="19"/>
      <c r="Z24" s="19"/>
      <c r="AA24" s="19"/>
      <c r="AB24" s="19"/>
      <c r="AC24" s="28"/>
    </row>
    <row r="25" spans="1:29">
      <c r="A25" s="28" t="s">
        <v>2492</v>
      </c>
      <c r="B25" s="28"/>
      <c r="C25" s="28"/>
      <c r="D25" s="31" t="s">
        <v>2533</v>
      </c>
      <c r="E25" s="31"/>
      <c r="F25" s="31"/>
      <c r="G25" s="31"/>
      <c r="H25" s="31"/>
      <c r="I25" s="31"/>
      <c r="J25" s="31"/>
      <c r="K25" s="31"/>
      <c r="L25" s="31"/>
      <c r="M25" s="31"/>
      <c r="N25" s="31"/>
      <c r="O25" s="31"/>
      <c r="P25" s="31"/>
      <c r="Q25" s="31"/>
      <c r="R25" s="31"/>
      <c r="S25" s="31"/>
      <c r="T25" s="31"/>
      <c r="U25" s="31"/>
      <c r="V25" s="31"/>
      <c r="W25" s="31"/>
      <c r="X25" s="31"/>
      <c r="Y25" s="31"/>
      <c r="Z25" s="31"/>
      <c r="AA25" s="31"/>
      <c r="AB25" s="19"/>
      <c r="AC25" s="28"/>
    </row>
    <row r="26" spans="1:29">
      <c r="A26" s="28" t="s">
        <v>2493</v>
      </c>
      <c r="B26" s="28"/>
      <c r="C26" s="28"/>
      <c r="D26" s="32" t="s">
        <v>2533</v>
      </c>
      <c r="E26" s="31"/>
      <c r="F26" s="31"/>
      <c r="G26" s="31"/>
      <c r="H26" s="31"/>
      <c r="I26" s="31"/>
      <c r="J26" s="31"/>
      <c r="K26" s="31"/>
      <c r="L26" s="31"/>
      <c r="M26" s="31"/>
      <c r="N26" s="31"/>
      <c r="O26" s="31"/>
      <c r="P26" s="31"/>
      <c r="Q26" s="31"/>
      <c r="R26" s="31"/>
      <c r="S26" s="31"/>
      <c r="T26" s="31"/>
      <c r="U26" s="31"/>
      <c r="V26" s="31"/>
      <c r="W26" s="31"/>
      <c r="X26" s="31"/>
      <c r="Y26" s="31"/>
      <c r="Z26" s="31"/>
      <c r="AA26" s="31"/>
      <c r="AB26" s="19"/>
      <c r="AC26" s="28"/>
    </row>
    <row r="27" spans="1:29">
      <c r="A27" s="28" t="s">
        <v>2494</v>
      </c>
      <c r="B27" s="28"/>
      <c r="C27" s="28"/>
      <c r="D27" s="33" t="s">
        <v>2556</v>
      </c>
      <c r="E27" s="61"/>
      <c r="F27" s="61"/>
      <c r="G27" s="61"/>
      <c r="H27" s="61"/>
      <c r="I27" s="61"/>
      <c r="J27" s="61"/>
      <c r="K27" s="61"/>
      <c r="L27" s="61"/>
      <c r="M27" s="61"/>
      <c r="N27" s="61"/>
      <c r="O27" s="61"/>
      <c r="P27" s="61"/>
      <c r="Q27" s="61"/>
      <c r="R27" s="61"/>
      <c r="S27" s="61"/>
      <c r="T27" s="61"/>
      <c r="U27" s="61"/>
      <c r="V27" s="61"/>
      <c r="W27" s="61"/>
      <c r="X27" s="61"/>
      <c r="Y27" s="61"/>
      <c r="Z27" s="61"/>
      <c r="AA27" s="61"/>
      <c r="AB27" s="19"/>
      <c r="AC27" s="28"/>
    </row>
    <row r="28" spans="1:29">
      <c r="A28" s="28" t="s">
        <v>2495</v>
      </c>
      <c r="B28" s="28"/>
      <c r="C28" s="28"/>
      <c r="D28" s="33" t="s">
        <v>2557</v>
      </c>
      <c r="E28" s="61"/>
      <c r="F28" s="61"/>
      <c r="G28" s="61"/>
      <c r="H28" s="61"/>
      <c r="I28" s="61"/>
      <c r="J28" s="61"/>
      <c r="K28" s="61"/>
      <c r="L28" s="61"/>
      <c r="M28" s="61"/>
      <c r="N28" s="61"/>
      <c r="O28" s="61"/>
      <c r="P28" s="61"/>
      <c r="Q28" s="61"/>
      <c r="R28" s="61"/>
      <c r="S28" s="61"/>
      <c r="T28" s="61"/>
      <c r="U28" s="61"/>
      <c r="V28" s="61"/>
      <c r="W28" s="61"/>
      <c r="X28" s="61"/>
      <c r="Y28" s="61"/>
      <c r="Z28" s="61"/>
      <c r="AA28" s="61"/>
      <c r="AB28" s="19"/>
      <c r="AC28" s="28"/>
    </row>
    <row r="29" spans="1:29">
      <c r="A29" s="28" t="s">
        <v>2496</v>
      </c>
      <c r="B29" s="28"/>
      <c r="C29" s="28"/>
      <c r="D29" s="97" t="s">
        <v>2558</v>
      </c>
      <c r="E29" s="71">
        <f>SOCIE!E27+SOCIE!E28</f>
        <v>0</v>
      </c>
      <c r="F29" s="71">
        <f>SOCIE!F27+SOCIE!F28</f>
        <v>0</v>
      </c>
      <c r="G29" s="71">
        <f>SOCIE!G27+SOCIE!G28</f>
        <v>0</v>
      </c>
      <c r="H29" s="71">
        <f>SOCIE!H27+SOCIE!H28</f>
        <v>0</v>
      </c>
      <c r="I29" s="71">
        <f>SOCIE!I27+SOCIE!I28</f>
        <v>0</v>
      </c>
      <c r="J29" s="71">
        <f>SOCIE!J27+SOCIE!J28</f>
        <v>0</v>
      </c>
      <c r="K29" s="71">
        <f>SOCIE!K27+SOCIE!K28</f>
        <v>0</v>
      </c>
      <c r="L29" s="71">
        <f>SOCIE!L27+SOCIE!L28</f>
        <v>0</v>
      </c>
      <c r="M29" s="71">
        <f>SOCIE!M27+SOCIE!M28</f>
        <v>0</v>
      </c>
      <c r="N29" s="71">
        <f>SOCIE!N27+SOCIE!N28</f>
        <v>0</v>
      </c>
      <c r="O29" s="71">
        <f>SOCIE!O27+SOCIE!O28</f>
        <v>0</v>
      </c>
      <c r="P29" s="71">
        <f>SOCIE!P27+SOCIE!P28</f>
        <v>0</v>
      </c>
      <c r="Q29" s="71">
        <f>SOCIE!Q27+SOCIE!Q28</f>
        <v>0</v>
      </c>
      <c r="R29" s="71">
        <f>SOCIE!R27+SOCIE!R28</f>
        <v>0</v>
      </c>
      <c r="S29" s="71">
        <f>SOCIE!S27+SOCIE!S28</f>
        <v>0</v>
      </c>
      <c r="T29" s="71">
        <f>SOCIE!T27+SOCIE!T28</f>
        <v>0</v>
      </c>
      <c r="U29" s="71">
        <f>SOCIE!U27+SOCIE!U28</f>
        <v>0</v>
      </c>
      <c r="V29" s="71">
        <f>SOCIE!V27+SOCIE!V28</f>
        <v>0</v>
      </c>
      <c r="W29" s="71">
        <f>SOCIE!W27+SOCIE!W28</f>
        <v>0</v>
      </c>
      <c r="X29" s="71">
        <f>SOCIE!X27+SOCIE!X28</f>
        <v>0</v>
      </c>
      <c r="Y29" s="71">
        <f>SOCIE!Y27+SOCIE!Y28</f>
        <v>0</v>
      </c>
      <c r="Z29" s="71">
        <f>SOCIE!Z27+SOCIE!Z28</f>
        <v>0</v>
      </c>
      <c r="AA29" s="71">
        <f>SOCIE!AA27+SOCIE!AA28</f>
        <v>0</v>
      </c>
      <c r="AB29" s="19"/>
      <c r="AC29" s="28"/>
    </row>
    <row r="30" spans="1:29">
      <c r="A30" s="28" t="s">
        <v>2497</v>
      </c>
      <c r="B30" s="28"/>
      <c r="C30" s="28"/>
      <c r="D30" s="57" t="s">
        <v>2534</v>
      </c>
      <c r="E30" s="58"/>
      <c r="F30" s="58"/>
      <c r="G30" s="58"/>
      <c r="H30" s="58"/>
      <c r="I30" s="58"/>
      <c r="J30" s="58"/>
      <c r="K30" s="58"/>
      <c r="L30" s="58"/>
      <c r="M30" s="58"/>
      <c r="N30" s="58"/>
      <c r="O30" s="58"/>
      <c r="P30" s="58"/>
      <c r="Q30" s="58"/>
      <c r="R30" s="58"/>
      <c r="S30" s="58"/>
      <c r="T30" s="58"/>
      <c r="U30" s="58"/>
      <c r="V30" s="58"/>
      <c r="W30" s="58"/>
      <c r="X30" s="58"/>
      <c r="Y30" s="58"/>
      <c r="Z30" s="58"/>
      <c r="AA30" s="58"/>
      <c r="AB30" s="19"/>
      <c r="AC30" s="28"/>
    </row>
    <row r="31" spans="1:29">
      <c r="A31" s="28" t="s">
        <v>2498</v>
      </c>
      <c r="B31" s="28"/>
      <c r="C31" s="28"/>
      <c r="D31" s="59" t="s">
        <v>2535</v>
      </c>
      <c r="E31" s="58"/>
      <c r="F31" s="58"/>
      <c r="G31" s="58"/>
      <c r="H31" s="58"/>
      <c r="I31" s="58"/>
      <c r="J31" s="58"/>
      <c r="K31" s="58"/>
      <c r="L31" s="58"/>
      <c r="M31" s="58"/>
      <c r="N31" s="58"/>
      <c r="O31" s="58"/>
      <c r="P31" s="58"/>
      <c r="Q31" s="58"/>
      <c r="R31" s="58"/>
      <c r="S31" s="58"/>
      <c r="T31" s="58"/>
      <c r="U31" s="58"/>
      <c r="V31" s="58"/>
      <c r="W31" s="58"/>
      <c r="X31" s="58"/>
      <c r="Y31" s="58"/>
      <c r="Z31" s="58"/>
      <c r="AA31" s="58"/>
      <c r="AB31" s="19"/>
      <c r="AC31" s="28"/>
    </row>
    <row r="32" spans="1:29">
      <c r="A32" s="28" t="s">
        <v>2135</v>
      </c>
      <c r="B32" s="28"/>
      <c r="C32" s="28"/>
      <c r="D32" s="60" t="s">
        <v>2215</v>
      </c>
      <c r="E32" s="61"/>
      <c r="F32" s="61"/>
      <c r="G32" s="61"/>
      <c r="H32" s="61"/>
      <c r="I32" s="61"/>
      <c r="J32" s="61"/>
      <c r="K32" s="61"/>
      <c r="L32" s="61"/>
      <c r="M32" s="61"/>
      <c r="N32" s="61"/>
      <c r="O32" s="61"/>
      <c r="P32" s="61"/>
      <c r="Q32" s="61"/>
      <c r="R32" s="61"/>
      <c r="S32" s="61"/>
      <c r="T32" s="61"/>
      <c r="U32" s="61"/>
      <c r="V32" s="61"/>
      <c r="W32" s="61"/>
      <c r="X32" s="61"/>
      <c r="Y32" s="61"/>
      <c r="Z32" s="61"/>
      <c r="AA32" s="61"/>
      <c r="AB32" s="19"/>
      <c r="AC32" s="28"/>
    </row>
    <row r="33" spans="1:29">
      <c r="A33" s="28" t="s">
        <v>2170</v>
      </c>
      <c r="B33" s="28"/>
      <c r="C33" s="28"/>
      <c r="D33" s="60" t="s">
        <v>2559</v>
      </c>
      <c r="E33" s="61"/>
      <c r="F33" s="61"/>
      <c r="G33" s="61"/>
      <c r="H33" s="61"/>
      <c r="I33" s="61"/>
      <c r="J33" s="61"/>
      <c r="K33" s="61"/>
      <c r="L33" s="61"/>
      <c r="M33" s="61"/>
      <c r="N33" s="61"/>
      <c r="O33" s="61"/>
      <c r="P33" s="61"/>
      <c r="Q33" s="61"/>
      <c r="R33" s="61"/>
      <c r="S33" s="61"/>
      <c r="T33" s="61"/>
      <c r="U33" s="61"/>
      <c r="V33" s="61"/>
      <c r="W33" s="61"/>
      <c r="X33" s="61"/>
      <c r="Y33" s="61"/>
      <c r="Z33" s="61"/>
      <c r="AA33" s="61"/>
      <c r="AB33" s="19"/>
      <c r="AC33" s="28"/>
    </row>
    <row r="34" spans="1:29">
      <c r="A34" s="28" t="s">
        <v>2171</v>
      </c>
      <c r="B34" s="28"/>
      <c r="C34" s="28"/>
      <c r="D34" s="64" t="s">
        <v>2217</v>
      </c>
      <c r="E34" s="71">
        <f t="shared" ref="E34:AA34" si="1">1*E32+1*E33</f>
        <v>0</v>
      </c>
      <c r="F34" s="71">
        <f t="shared" si="1"/>
        <v>0</v>
      </c>
      <c r="G34" s="71">
        <f t="shared" si="1"/>
        <v>0</v>
      </c>
      <c r="H34" s="71">
        <f t="shared" si="1"/>
        <v>0</v>
      </c>
      <c r="I34" s="71">
        <f t="shared" si="1"/>
        <v>0</v>
      </c>
      <c r="J34" s="71">
        <f t="shared" si="1"/>
        <v>0</v>
      </c>
      <c r="K34" s="71">
        <f t="shared" si="1"/>
        <v>0</v>
      </c>
      <c r="L34" s="71">
        <f t="shared" si="1"/>
        <v>0</v>
      </c>
      <c r="M34" s="71">
        <f t="shared" si="1"/>
        <v>0</v>
      </c>
      <c r="N34" s="71">
        <f t="shared" si="1"/>
        <v>0</v>
      </c>
      <c r="O34" s="71">
        <f t="shared" si="1"/>
        <v>0</v>
      </c>
      <c r="P34" s="71">
        <f t="shared" si="1"/>
        <v>0</v>
      </c>
      <c r="Q34" s="71">
        <f t="shared" si="1"/>
        <v>0</v>
      </c>
      <c r="R34" s="71">
        <f t="shared" si="1"/>
        <v>0</v>
      </c>
      <c r="S34" s="71">
        <f t="shared" si="1"/>
        <v>0</v>
      </c>
      <c r="T34" s="71">
        <f t="shared" si="1"/>
        <v>0</v>
      </c>
      <c r="U34" s="71">
        <f t="shared" si="1"/>
        <v>0</v>
      </c>
      <c r="V34" s="71">
        <f t="shared" si="1"/>
        <v>0</v>
      </c>
      <c r="W34" s="71">
        <f t="shared" si="1"/>
        <v>0</v>
      </c>
      <c r="X34" s="71">
        <f t="shared" si="1"/>
        <v>0</v>
      </c>
      <c r="Y34" s="71">
        <f t="shared" si="1"/>
        <v>0</v>
      </c>
      <c r="Z34" s="71">
        <f t="shared" si="1"/>
        <v>0</v>
      </c>
      <c r="AA34" s="71">
        <f t="shared" si="1"/>
        <v>0</v>
      </c>
      <c r="AB34" s="19"/>
      <c r="AC34" s="28"/>
    </row>
    <row r="35" spans="1:29" ht="27">
      <c r="A35" s="28" t="s">
        <v>2499</v>
      </c>
      <c r="B35" s="28"/>
      <c r="C35" s="28"/>
      <c r="D35" s="59" t="s">
        <v>2536</v>
      </c>
      <c r="E35" s="58"/>
      <c r="F35" s="58"/>
      <c r="G35" s="58"/>
      <c r="H35" s="58"/>
      <c r="I35" s="58"/>
      <c r="J35" s="58"/>
      <c r="K35" s="58"/>
      <c r="L35" s="58"/>
      <c r="M35" s="58"/>
      <c r="N35" s="58"/>
      <c r="O35" s="58"/>
      <c r="P35" s="58"/>
      <c r="Q35" s="58"/>
      <c r="R35" s="58"/>
      <c r="S35" s="58"/>
      <c r="T35" s="58"/>
      <c r="U35" s="58"/>
      <c r="V35" s="58"/>
      <c r="W35" s="58"/>
      <c r="X35" s="58"/>
      <c r="Y35" s="58"/>
      <c r="Z35" s="58"/>
      <c r="AA35" s="58"/>
      <c r="AB35" s="19"/>
      <c r="AC35" s="28"/>
    </row>
    <row r="36" spans="1:29" ht="27">
      <c r="A36" s="28" t="s">
        <v>2500</v>
      </c>
      <c r="B36" s="28"/>
      <c r="C36" s="28"/>
      <c r="D36" s="63" t="s">
        <v>2537</v>
      </c>
      <c r="E36" s="61"/>
      <c r="F36" s="61"/>
      <c r="G36" s="61"/>
      <c r="H36" s="61"/>
      <c r="I36" s="61"/>
      <c r="J36" s="61"/>
      <c r="K36" s="61"/>
      <c r="L36" s="61"/>
      <c r="M36" s="61"/>
      <c r="N36" s="61"/>
      <c r="O36" s="61"/>
      <c r="P36" s="61"/>
      <c r="Q36" s="61"/>
      <c r="R36" s="61"/>
      <c r="S36" s="61"/>
      <c r="T36" s="61"/>
      <c r="U36" s="61"/>
      <c r="V36" s="61"/>
      <c r="W36" s="61"/>
      <c r="X36" s="61"/>
      <c r="Y36" s="61"/>
      <c r="Z36" s="61"/>
      <c r="AA36" s="61"/>
      <c r="AB36" s="19"/>
      <c r="AC36" s="28"/>
    </row>
    <row r="37" spans="1:29" ht="40.5">
      <c r="A37" s="28" t="s">
        <v>2501</v>
      </c>
      <c r="B37" s="28"/>
      <c r="C37" s="28"/>
      <c r="D37" s="63" t="s">
        <v>2538</v>
      </c>
      <c r="E37" s="61"/>
      <c r="F37" s="61"/>
      <c r="G37" s="61"/>
      <c r="H37" s="61"/>
      <c r="I37" s="61"/>
      <c r="J37" s="61"/>
      <c r="K37" s="61"/>
      <c r="L37" s="61"/>
      <c r="M37" s="61"/>
      <c r="N37" s="61"/>
      <c r="O37" s="61"/>
      <c r="P37" s="61"/>
      <c r="Q37" s="61"/>
      <c r="R37" s="61"/>
      <c r="S37" s="61"/>
      <c r="T37" s="61"/>
      <c r="U37" s="61"/>
      <c r="V37" s="61"/>
      <c r="W37" s="61"/>
      <c r="X37" s="61"/>
      <c r="Y37" s="61"/>
      <c r="Z37" s="61"/>
      <c r="AA37" s="61"/>
      <c r="AB37" s="19"/>
      <c r="AC37" s="28"/>
    </row>
    <row r="38" spans="1:29">
      <c r="A38" s="28" t="s">
        <v>2502</v>
      </c>
      <c r="B38" s="28"/>
      <c r="C38" s="28"/>
      <c r="D38" s="63" t="s">
        <v>2414</v>
      </c>
      <c r="E38" s="61"/>
      <c r="F38" s="61"/>
      <c r="G38" s="61"/>
      <c r="H38" s="61"/>
      <c r="I38" s="61"/>
      <c r="J38" s="61"/>
      <c r="K38" s="61"/>
      <c r="L38" s="61"/>
      <c r="M38" s="61"/>
      <c r="N38" s="61"/>
      <c r="O38" s="61"/>
      <c r="P38" s="61"/>
      <c r="Q38" s="61"/>
      <c r="R38" s="61"/>
      <c r="S38" s="61"/>
      <c r="T38" s="61"/>
      <c r="U38" s="61"/>
      <c r="V38" s="61"/>
      <c r="W38" s="61"/>
      <c r="X38" s="61"/>
      <c r="Y38" s="61"/>
      <c r="Z38" s="61"/>
      <c r="AA38" s="61"/>
      <c r="AB38" s="19"/>
      <c r="AC38" s="28"/>
    </row>
    <row r="39" spans="1:29">
      <c r="A39" s="28" t="s">
        <v>2503</v>
      </c>
      <c r="B39" s="28"/>
      <c r="C39" s="28"/>
      <c r="D39" s="63" t="s">
        <v>2539</v>
      </c>
      <c r="E39" s="61"/>
      <c r="F39" s="61"/>
      <c r="G39" s="61"/>
      <c r="H39" s="61"/>
      <c r="I39" s="61"/>
      <c r="J39" s="61"/>
      <c r="K39" s="61"/>
      <c r="L39" s="61"/>
      <c r="M39" s="61"/>
      <c r="N39" s="61"/>
      <c r="O39" s="61"/>
      <c r="P39" s="61"/>
      <c r="Q39" s="61"/>
      <c r="R39" s="61"/>
      <c r="S39" s="61"/>
      <c r="T39" s="61"/>
      <c r="U39" s="61"/>
      <c r="V39" s="61"/>
      <c r="W39" s="61"/>
      <c r="X39" s="61"/>
      <c r="Y39" s="61"/>
      <c r="Z39" s="61"/>
      <c r="AA39" s="61"/>
      <c r="AB39" s="19"/>
      <c r="AC39" s="28"/>
    </row>
    <row r="40" spans="1:29">
      <c r="A40" s="28" t="s">
        <v>2504</v>
      </c>
      <c r="B40" s="28"/>
      <c r="C40" s="28"/>
      <c r="D40" s="63" t="s">
        <v>2540</v>
      </c>
      <c r="E40" s="61"/>
      <c r="F40" s="61"/>
      <c r="G40" s="61"/>
      <c r="H40" s="61"/>
      <c r="I40" s="61"/>
      <c r="J40" s="61"/>
      <c r="K40" s="61"/>
      <c r="L40" s="61"/>
      <c r="M40" s="61"/>
      <c r="N40" s="61"/>
      <c r="O40" s="61"/>
      <c r="P40" s="61"/>
      <c r="Q40" s="61"/>
      <c r="R40" s="61"/>
      <c r="S40" s="61"/>
      <c r="T40" s="61"/>
      <c r="U40" s="61"/>
      <c r="V40" s="61"/>
      <c r="W40" s="61"/>
      <c r="X40" s="61"/>
      <c r="Y40" s="61"/>
      <c r="Z40" s="61"/>
      <c r="AA40" s="61"/>
      <c r="AB40" s="19"/>
      <c r="AC40" s="28"/>
    </row>
    <row r="41" spans="1:29" ht="27">
      <c r="A41" s="28" t="s">
        <v>2505</v>
      </c>
      <c r="B41" s="28"/>
      <c r="C41" s="28"/>
      <c r="D41" s="63" t="s">
        <v>2541</v>
      </c>
      <c r="E41" s="61"/>
      <c r="F41" s="61"/>
      <c r="G41" s="61"/>
      <c r="H41" s="61"/>
      <c r="I41" s="61"/>
      <c r="J41" s="61"/>
      <c r="K41" s="61"/>
      <c r="L41" s="61"/>
      <c r="M41" s="61"/>
      <c r="N41" s="61"/>
      <c r="O41" s="61"/>
      <c r="P41" s="61"/>
      <c r="Q41" s="61"/>
      <c r="R41" s="61"/>
      <c r="S41" s="61"/>
      <c r="T41" s="61"/>
      <c r="U41" s="61"/>
      <c r="V41" s="61"/>
      <c r="W41" s="61"/>
      <c r="X41" s="61"/>
      <c r="Y41" s="61"/>
      <c r="Z41" s="61"/>
      <c r="AA41" s="61"/>
      <c r="AB41" s="19"/>
      <c r="AC41" s="28"/>
    </row>
    <row r="42" spans="1:29">
      <c r="A42" s="28" t="s">
        <v>2506</v>
      </c>
      <c r="B42" s="28"/>
      <c r="C42" s="28"/>
      <c r="D42" s="63" t="s">
        <v>2542</v>
      </c>
      <c r="E42" s="61"/>
      <c r="F42" s="61"/>
      <c r="G42" s="61"/>
      <c r="H42" s="61"/>
      <c r="I42" s="61"/>
      <c r="J42" s="61"/>
      <c r="K42" s="61"/>
      <c r="L42" s="61"/>
      <c r="M42" s="61"/>
      <c r="N42" s="61"/>
      <c r="O42" s="61"/>
      <c r="P42" s="61"/>
      <c r="Q42" s="61"/>
      <c r="R42" s="61"/>
      <c r="S42" s="61"/>
      <c r="T42" s="61"/>
      <c r="U42" s="61"/>
      <c r="V42" s="61"/>
      <c r="W42" s="61"/>
      <c r="X42" s="61"/>
      <c r="Y42" s="61"/>
      <c r="Z42" s="61"/>
      <c r="AA42" s="61"/>
      <c r="AB42" s="19"/>
      <c r="AC42" s="28"/>
    </row>
    <row r="43" spans="1:29">
      <c r="A43" s="28" t="s">
        <v>2507</v>
      </c>
      <c r="B43" s="28"/>
      <c r="C43" s="28"/>
      <c r="D43" s="63" t="s">
        <v>2543</v>
      </c>
      <c r="E43" s="61"/>
      <c r="F43" s="61"/>
      <c r="G43" s="61"/>
      <c r="H43" s="61"/>
      <c r="I43" s="61"/>
      <c r="J43" s="61"/>
      <c r="K43" s="61"/>
      <c r="L43" s="61"/>
      <c r="M43" s="61"/>
      <c r="N43" s="61"/>
      <c r="O43" s="61"/>
      <c r="P43" s="61"/>
      <c r="Q43" s="61"/>
      <c r="R43" s="61"/>
      <c r="S43" s="61"/>
      <c r="T43" s="61"/>
      <c r="U43" s="61"/>
      <c r="V43" s="61"/>
      <c r="W43" s="61"/>
      <c r="X43" s="61"/>
      <c r="Y43" s="61"/>
      <c r="Z43" s="61"/>
      <c r="AA43" s="61"/>
      <c r="AB43" s="19"/>
      <c r="AC43" s="28"/>
    </row>
    <row r="44" spans="1:29" ht="27">
      <c r="A44" s="28" t="s">
        <v>2508</v>
      </c>
      <c r="B44" s="28"/>
      <c r="C44" s="28"/>
      <c r="D44" s="38" t="s">
        <v>2544</v>
      </c>
      <c r="E44" s="61"/>
      <c r="F44" s="61"/>
      <c r="G44" s="61"/>
      <c r="H44" s="61"/>
      <c r="I44" s="61"/>
      <c r="J44" s="61"/>
      <c r="K44" s="61"/>
      <c r="L44" s="61"/>
      <c r="M44" s="61"/>
      <c r="N44" s="61"/>
      <c r="O44" s="61"/>
      <c r="P44" s="61"/>
      <c r="Q44" s="61"/>
      <c r="R44" s="61"/>
      <c r="S44" s="61"/>
      <c r="T44" s="61"/>
      <c r="U44" s="61"/>
      <c r="V44" s="61"/>
      <c r="W44" s="61"/>
      <c r="X44" s="61"/>
      <c r="Y44" s="61"/>
      <c r="Z44" s="61"/>
      <c r="AA44" s="61"/>
      <c r="AB44" s="19"/>
      <c r="AC44" s="28"/>
    </row>
    <row r="45" spans="1:29">
      <c r="A45" s="28" t="s">
        <v>2509</v>
      </c>
      <c r="B45" s="28"/>
      <c r="C45" s="28"/>
      <c r="D45" s="70" t="s">
        <v>2560</v>
      </c>
      <c r="E45" s="69">
        <f t="shared" ref="E45:AA45" si="2">1*E34+1*E36+1*E37+-1*E38+1*E39+1*E40+1*E41+1*E42+1*E43+1*E44</f>
        <v>0</v>
      </c>
      <c r="F45" s="69">
        <f t="shared" si="2"/>
        <v>0</v>
      </c>
      <c r="G45" s="69">
        <f t="shared" si="2"/>
        <v>0</v>
      </c>
      <c r="H45" s="69">
        <f t="shared" si="2"/>
        <v>0</v>
      </c>
      <c r="I45" s="69">
        <f t="shared" si="2"/>
        <v>0</v>
      </c>
      <c r="J45" s="69">
        <f t="shared" si="2"/>
        <v>0</v>
      </c>
      <c r="K45" s="69">
        <f t="shared" si="2"/>
        <v>0</v>
      </c>
      <c r="L45" s="69">
        <f t="shared" si="2"/>
        <v>0</v>
      </c>
      <c r="M45" s="69">
        <f t="shared" si="2"/>
        <v>0</v>
      </c>
      <c r="N45" s="69">
        <f t="shared" si="2"/>
        <v>0</v>
      </c>
      <c r="O45" s="69">
        <f t="shared" si="2"/>
        <v>0</v>
      </c>
      <c r="P45" s="69">
        <f t="shared" si="2"/>
        <v>0</v>
      </c>
      <c r="Q45" s="69">
        <f t="shared" si="2"/>
        <v>0</v>
      </c>
      <c r="R45" s="69">
        <f t="shared" si="2"/>
        <v>0</v>
      </c>
      <c r="S45" s="69">
        <f t="shared" si="2"/>
        <v>0</v>
      </c>
      <c r="T45" s="69">
        <f t="shared" si="2"/>
        <v>0</v>
      </c>
      <c r="U45" s="69">
        <f t="shared" si="2"/>
        <v>0</v>
      </c>
      <c r="V45" s="69">
        <f t="shared" si="2"/>
        <v>0</v>
      </c>
      <c r="W45" s="69">
        <f t="shared" si="2"/>
        <v>0</v>
      </c>
      <c r="X45" s="69">
        <f t="shared" si="2"/>
        <v>0</v>
      </c>
      <c r="Y45" s="69">
        <f t="shared" si="2"/>
        <v>0</v>
      </c>
      <c r="Z45" s="69">
        <f t="shared" si="2"/>
        <v>0</v>
      </c>
      <c r="AA45" s="69">
        <f t="shared" si="2"/>
        <v>0</v>
      </c>
      <c r="AB45" s="19"/>
      <c r="AC45" s="28"/>
    </row>
    <row r="46" spans="1:29">
      <c r="A46" s="28" t="s">
        <v>2510</v>
      </c>
      <c r="B46" s="28"/>
      <c r="C46" s="28"/>
      <c r="D46" s="97" t="s">
        <v>2561</v>
      </c>
      <c r="E46" s="71">
        <f>SOCIE!E29+SOCIE!E45</f>
        <v>0</v>
      </c>
      <c r="F46" s="71">
        <f>SOCIE!F29+SOCIE!F45</f>
        <v>0</v>
      </c>
      <c r="G46" s="71">
        <f>SOCIE!G29+SOCIE!G45</f>
        <v>0</v>
      </c>
      <c r="H46" s="71">
        <f>SOCIE!H29+SOCIE!H45</f>
        <v>0</v>
      </c>
      <c r="I46" s="71">
        <f>SOCIE!I29+SOCIE!I45</f>
        <v>0</v>
      </c>
      <c r="J46" s="71">
        <f>SOCIE!J29+SOCIE!J45</f>
        <v>0</v>
      </c>
      <c r="K46" s="71">
        <f>SOCIE!K29+SOCIE!K45</f>
        <v>0</v>
      </c>
      <c r="L46" s="71">
        <f>SOCIE!L29+SOCIE!L45</f>
        <v>0</v>
      </c>
      <c r="M46" s="71">
        <f>SOCIE!M29+SOCIE!M45</f>
        <v>0</v>
      </c>
      <c r="N46" s="71">
        <f>SOCIE!N29+SOCIE!N45</f>
        <v>0</v>
      </c>
      <c r="O46" s="71">
        <f>SOCIE!O29+SOCIE!O45</f>
        <v>0</v>
      </c>
      <c r="P46" s="71">
        <f>SOCIE!P29+SOCIE!P45</f>
        <v>0</v>
      </c>
      <c r="Q46" s="71">
        <f>SOCIE!Q29+SOCIE!Q45</f>
        <v>0</v>
      </c>
      <c r="R46" s="71">
        <f>SOCIE!R29+SOCIE!R45</f>
        <v>0</v>
      </c>
      <c r="S46" s="71">
        <f>SOCIE!S29+SOCIE!S45</f>
        <v>0</v>
      </c>
      <c r="T46" s="71">
        <f>SOCIE!T29+SOCIE!T45</f>
        <v>0</v>
      </c>
      <c r="U46" s="71">
        <f>SOCIE!U29+SOCIE!U45</f>
        <v>0</v>
      </c>
      <c r="V46" s="71">
        <f>SOCIE!V29+SOCIE!V45</f>
        <v>0</v>
      </c>
      <c r="W46" s="71">
        <f>SOCIE!W29+SOCIE!W45</f>
        <v>0</v>
      </c>
      <c r="X46" s="71">
        <f>SOCIE!X29+SOCIE!X45</f>
        <v>0</v>
      </c>
      <c r="Y46" s="71">
        <f>SOCIE!Y29+SOCIE!Y45</f>
        <v>0</v>
      </c>
      <c r="Z46" s="71">
        <f>SOCIE!Z29+SOCIE!Z45</f>
        <v>0</v>
      </c>
      <c r="AA46" s="71">
        <f>SOCIE!AA29+SOCIE!AA45</f>
        <v>0</v>
      </c>
      <c r="AB46" s="19"/>
      <c r="AC46" s="28"/>
    </row>
    <row r="47" spans="1:29" hidden="1">
      <c r="A47" s="28"/>
      <c r="B47" s="28"/>
      <c r="C47" s="28" t="s">
        <v>509</v>
      </c>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28"/>
    </row>
    <row r="48" spans="1:29" hidden="1">
      <c r="A48" s="28"/>
      <c r="B48" s="28"/>
      <c r="C48" s="28" t="s">
        <v>512</v>
      </c>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t="s">
        <v>513</v>
      </c>
    </row>
    <row r="49" spans="1:2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spans="1:29">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spans="1:29" ht="15" hidden="1" customHeight="1">
      <c r="A51" s="28"/>
      <c r="B51" s="28"/>
      <c r="C51" s="26" t="s">
        <v>2555</v>
      </c>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spans="1:29" hidden="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spans="1:29" hidden="1">
      <c r="A53" s="28"/>
      <c r="B53" s="28"/>
      <c r="C53" s="28"/>
      <c r="D53" s="28"/>
      <c r="E53" s="28" t="s">
        <v>2511</v>
      </c>
      <c r="F53" s="28" t="s">
        <v>2512</v>
      </c>
      <c r="G53" s="28" t="s">
        <v>2513</v>
      </c>
      <c r="H53" s="28" t="s">
        <v>2514</v>
      </c>
      <c r="I53" s="28" t="s">
        <v>2515</v>
      </c>
      <c r="J53" s="28" t="s">
        <v>2516</v>
      </c>
      <c r="K53" s="28" t="s">
        <v>2517</v>
      </c>
      <c r="L53" s="28" t="s">
        <v>2518</v>
      </c>
      <c r="M53" s="28" t="s">
        <v>2519</v>
      </c>
      <c r="N53" s="28" t="s">
        <v>2520</v>
      </c>
      <c r="O53" s="28" t="s">
        <v>2521</v>
      </c>
      <c r="P53" s="28" t="s">
        <v>2522</v>
      </c>
      <c r="Q53" s="28" t="s">
        <v>2523</v>
      </c>
      <c r="R53" s="28" t="s">
        <v>2524</v>
      </c>
      <c r="S53" s="28" t="s">
        <v>2525</v>
      </c>
      <c r="T53" s="28" t="s">
        <v>2526</v>
      </c>
      <c r="U53" s="28" t="s">
        <v>2527</v>
      </c>
      <c r="V53" s="28" t="s">
        <v>2528</v>
      </c>
      <c r="W53" s="28" t="s">
        <v>2529</v>
      </c>
      <c r="X53" s="28" t="s">
        <v>2530</v>
      </c>
      <c r="Y53" s="28" t="s">
        <v>2531</v>
      </c>
      <c r="Z53" s="28" t="s">
        <v>2532</v>
      </c>
      <c r="AA53" s="28">
        <v>0</v>
      </c>
      <c r="AB53" s="28"/>
      <c r="AC53" s="28"/>
    </row>
    <row r="54" spans="1:29" hidden="1">
      <c r="A54" s="28"/>
      <c r="B54" s="28"/>
      <c r="C54" s="28" t="s">
        <v>510</v>
      </c>
      <c r="D54" s="28" t="s">
        <v>508</v>
      </c>
      <c r="E54" s="28"/>
      <c r="F54" s="28"/>
      <c r="G54" s="28"/>
      <c r="H54" s="28"/>
      <c r="I54" s="28"/>
      <c r="J54" s="28"/>
      <c r="K54" s="28"/>
      <c r="L54" s="28"/>
      <c r="M54" s="28"/>
      <c r="N54" s="28"/>
      <c r="O54" s="28"/>
      <c r="P54" s="28"/>
      <c r="Q54" s="28"/>
      <c r="R54" s="28"/>
      <c r="S54" s="28"/>
      <c r="T54" s="28"/>
      <c r="U54" s="28"/>
      <c r="V54" s="28"/>
      <c r="W54" s="28"/>
      <c r="X54" s="28"/>
      <c r="Y54" s="28"/>
      <c r="Z54" s="28"/>
      <c r="AA54" s="28"/>
      <c r="AB54" s="28" t="s">
        <v>509</v>
      </c>
      <c r="AC54" s="28" t="s">
        <v>511</v>
      </c>
    </row>
    <row r="55" spans="1:29" ht="50" customHeight="1">
      <c r="A55" s="28"/>
      <c r="B55" s="28" t="s">
        <v>2554</v>
      </c>
      <c r="C55" s="28" t="s">
        <v>599</v>
      </c>
      <c r="D55" s="84" t="s">
        <v>2553</v>
      </c>
      <c r="E55" s="20" t="s">
        <v>1605</v>
      </c>
      <c r="F55" s="20" t="s">
        <v>2545</v>
      </c>
      <c r="G55" s="20" t="s">
        <v>948</v>
      </c>
      <c r="H55" s="20" t="s">
        <v>1611</v>
      </c>
      <c r="I55" s="20" t="s">
        <v>1612</v>
      </c>
      <c r="J55" s="20" t="s">
        <v>1613</v>
      </c>
      <c r="K55" s="20" t="s">
        <v>1614</v>
      </c>
      <c r="L55" s="20" t="s">
        <v>1615</v>
      </c>
      <c r="M55" s="20" t="s">
        <v>1616</v>
      </c>
      <c r="N55" s="20" t="s">
        <v>1617</v>
      </c>
      <c r="O55" s="20" t="s">
        <v>1618</v>
      </c>
      <c r="P55" s="20" t="s">
        <v>2546</v>
      </c>
      <c r="Q55" s="20" t="s">
        <v>2547</v>
      </c>
      <c r="R55" s="20" t="s">
        <v>1622</v>
      </c>
      <c r="S55" s="20" t="s">
        <v>1623</v>
      </c>
      <c r="T55" s="20" t="s">
        <v>1624</v>
      </c>
      <c r="U55" s="20" t="s">
        <v>1625</v>
      </c>
      <c r="V55" s="20" t="s">
        <v>2548</v>
      </c>
      <c r="W55" s="20" t="s">
        <v>1609</v>
      </c>
      <c r="X55" s="20" t="s">
        <v>2549</v>
      </c>
      <c r="Y55" s="20" t="s">
        <v>2550</v>
      </c>
      <c r="Z55" s="20" t="s">
        <v>2551</v>
      </c>
      <c r="AA55" s="20" t="s">
        <v>2552</v>
      </c>
      <c r="AB55" s="19"/>
      <c r="AC55" s="28"/>
    </row>
    <row r="56" spans="1:29" ht="27">
      <c r="A56" s="28"/>
      <c r="B56" s="28"/>
      <c r="C56" s="28" t="s">
        <v>577</v>
      </c>
      <c r="D56" s="43"/>
      <c r="E56" s="20" t="str">
        <f t="shared" ref="E56:AA56" si="3">TEXT(DATE(MID(E58,7,4),MID(E58,4,2),MID(E58,1,2)),"dd/MM/yyyy")&amp;" - "&amp;TEXT(DATE(MID(E59,7,4),MID(E59,4,2),MID(E59,1,2)),"dd/MM/yyyy")</f>
        <v>01/01/2023 - 31/12/2023</v>
      </c>
      <c r="F56" s="20" t="str">
        <f t="shared" si="3"/>
        <v>01/01/2023 - 31/12/2023</v>
      </c>
      <c r="G56" s="20" t="str">
        <f t="shared" si="3"/>
        <v>01/01/2023 - 31/12/2023</v>
      </c>
      <c r="H56" s="20" t="str">
        <f t="shared" si="3"/>
        <v>01/01/2023 - 31/12/2023</v>
      </c>
      <c r="I56" s="20" t="str">
        <f t="shared" si="3"/>
        <v>01/01/2023 - 31/12/2023</v>
      </c>
      <c r="J56" s="20" t="str">
        <f t="shared" si="3"/>
        <v>01/01/2023 - 31/12/2023</v>
      </c>
      <c r="K56" s="20" t="str">
        <f t="shared" si="3"/>
        <v>01/01/2023 - 31/12/2023</v>
      </c>
      <c r="L56" s="20" t="str">
        <f t="shared" si="3"/>
        <v>01/01/2023 - 31/12/2023</v>
      </c>
      <c r="M56" s="20" t="str">
        <f t="shared" si="3"/>
        <v>01/01/2023 - 31/12/2023</v>
      </c>
      <c r="N56" s="20" t="str">
        <f t="shared" si="3"/>
        <v>01/01/2023 - 31/12/2023</v>
      </c>
      <c r="O56" s="20" t="str">
        <f t="shared" si="3"/>
        <v>01/01/2023 - 31/12/2023</v>
      </c>
      <c r="P56" s="20" t="str">
        <f t="shared" si="3"/>
        <v>01/01/2023 - 31/12/2023</v>
      </c>
      <c r="Q56" s="20" t="str">
        <f t="shared" si="3"/>
        <v>01/01/2023 - 31/12/2023</v>
      </c>
      <c r="R56" s="20" t="str">
        <f t="shared" si="3"/>
        <v>01/01/2023 - 31/12/2023</v>
      </c>
      <c r="S56" s="20" t="str">
        <f t="shared" si="3"/>
        <v>01/01/2023 - 31/12/2023</v>
      </c>
      <c r="T56" s="20" t="str">
        <f t="shared" si="3"/>
        <v>01/01/2023 - 31/12/2023</v>
      </c>
      <c r="U56" s="20" t="str">
        <f t="shared" si="3"/>
        <v>01/01/2023 - 31/12/2023</v>
      </c>
      <c r="V56" s="20" t="str">
        <f t="shared" si="3"/>
        <v>01/01/2023 - 31/12/2023</v>
      </c>
      <c r="W56" s="20" t="str">
        <f t="shared" si="3"/>
        <v>01/01/2023 - 31/12/2023</v>
      </c>
      <c r="X56" s="20" t="str">
        <f t="shared" si="3"/>
        <v>01/01/2023 - 31/12/2023</v>
      </c>
      <c r="Y56" s="20" t="str">
        <f t="shared" si="3"/>
        <v>01/01/2023 - 31/12/2023</v>
      </c>
      <c r="Z56" s="20" t="str">
        <f t="shared" si="3"/>
        <v>01/01/2023 - 31/12/2023</v>
      </c>
      <c r="AA56" s="20" t="str">
        <f t="shared" si="3"/>
        <v>01/01/2023 - 31/12/2023</v>
      </c>
      <c r="AB56" s="19"/>
      <c r="AC56" s="28"/>
    </row>
    <row r="57" spans="1:29" ht="20" customHeight="1">
      <c r="A57" s="28"/>
      <c r="B57" s="28"/>
      <c r="C57" s="28" t="s">
        <v>578</v>
      </c>
      <c r="D57" s="43"/>
      <c r="E57" s="20" t="str">
        <f>StartUp!$E$8</f>
        <v>MYR'000</v>
      </c>
      <c r="F57" s="20" t="str">
        <f>StartUp!$E$8</f>
        <v>MYR'000</v>
      </c>
      <c r="G57" s="20" t="str">
        <f>StartUp!$E$8</f>
        <v>MYR'000</v>
      </c>
      <c r="H57" s="20" t="str">
        <f>StartUp!$E$8</f>
        <v>MYR'000</v>
      </c>
      <c r="I57" s="20" t="str">
        <f>StartUp!$E$8</f>
        <v>MYR'000</v>
      </c>
      <c r="J57" s="20" t="str">
        <f>StartUp!$E$8</f>
        <v>MYR'000</v>
      </c>
      <c r="K57" s="20" t="str">
        <f>StartUp!$E$8</f>
        <v>MYR'000</v>
      </c>
      <c r="L57" s="20" t="str">
        <f>StartUp!$E$8</f>
        <v>MYR'000</v>
      </c>
      <c r="M57" s="20" t="str">
        <f>StartUp!$E$8</f>
        <v>MYR'000</v>
      </c>
      <c r="N57" s="20" t="str">
        <f>StartUp!$E$8</f>
        <v>MYR'000</v>
      </c>
      <c r="O57" s="20" t="str">
        <f>StartUp!$E$8</f>
        <v>MYR'000</v>
      </c>
      <c r="P57" s="20" t="str">
        <f>StartUp!$E$8</f>
        <v>MYR'000</v>
      </c>
      <c r="Q57" s="20" t="str">
        <f>StartUp!$E$8</f>
        <v>MYR'000</v>
      </c>
      <c r="R57" s="20" t="str">
        <f>StartUp!$E$8</f>
        <v>MYR'000</v>
      </c>
      <c r="S57" s="20" t="str">
        <f>StartUp!$E$8</f>
        <v>MYR'000</v>
      </c>
      <c r="T57" s="20" t="str">
        <f>StartUp!$E$8</f>
        <v>MYR'000</v>
      </c>
      <c r="U57" s="20" t="str">
        <f>StartUp!$E$8</f>
        <v>MYR'000</v>
      </c>
      <c r="V57" s="20" t="str">
        <f>StartUp!$E$8</f>
        <v>MYR'000</v>
      </c>
      <c r="W57" s="20" t="str">
        <f>StartUp!$E$8</f>
        <v>MYR'000</v>
      </c>
      <c r="X57" s="20" t="str">
        <f>StartUp!$E$8</f>
        <v>MYR'000</v>
      </c>
      <c r="Y57" s="20" t="str">
        <f>StartUp!$E$8</f>
        <v>MYR'000</v>
      </c>
      <c r="Z57" s="20" t="str">
        <f>StartUp!$E$8</f>
        <v>MYR'000</v>
      </c>
      <c r="AA57" s="20" t="str">
        <f>StartUp!$E$8</f>
        <v>MYR'000</v>
      </c>
      <c r="AB57" s="19"/>
      <c r="AC57" s="28"/>
    </row>
    <row r="58" spans="1:29" ht="20" hidden="1" customHeight="1">
      <c r="A58" s="28"/>
      <c r="B58" s="28"/>
      <c r="C58" s="28" t="s">
        <v>579</v>
      </c>
      <c r="D58" s="43"/>
      <c r="E58" s="44" t="str">
        <f>StartUp!$D$10</f>
        <v>01/01/2023</v>
      </c>
      <c r="F58" s="44" t="str">
        <f>StartUp!$D$10</f>
        <v>01/01/2023</v>
      </c>
      <c r="G58" s="44" t="str">
        <f>StartUp!$D$10</f>
        <v>01/01/2023</v>
      </c>
      <c r="H58" s="44" t="str">
        <f>StartUp!$D$10</f>
        <v>01/01/2023</v>
      </c>
      <c r="I58" s="44" t="str">
        <f>StartUp!$D$10</f>
        <v>01/01/2023</v>
      </c>
      <c r="J58" s="44" t="str">
        <f>StartUp!$D$10</f>
        <v>01/01/2023</v>
      </c>
      <c r="K58" s="44" t="str">
        <f>StartUp!$D$10</f>
        <v>01/01/2023</v>
      </c>
      <c r="L58" s="44" t="str">
        <f>StartUp!$D$10</f>
        <v>01/01/2023</v>
      </c>
      <c r="M58" s="44" t="str">
        <f>StartUp!$D$10</f>
        <v>01/01/2023</v>
      </c>
      <c r="N58" s="44" t="str">
        <f>StartUp!$D$10</f>
        <v>01/01/2023</v>
      </c>
      <c r="O58" s="44" t="str">
        <f>StartUp!$D$10</f>
        <v>01/01/2023</v>
      </c>
      <c r="P58" s="44" t="str">
        <f>StartUp!$D$10</f>
        <v>01/01/2023</v>
      </c>
      <c r="Q58" s="44" t="str">
        <f>StartUp!$D$10</f>
        <v>01/01/2023</v>
      </c>
      <c r="R58" s="44" t="str">
        <f>StartUp!$D$10</f>
        <v>01/01/2023</v>
      </c>
      <c r="S58" s="44" t="str">
        <f>StartUp!$D$10</f>
        <v>01/01/2023</v>
      </c>
      <c r="T58" s="44" t="str">
        <f>StartUp!$D$10</f>
        <v>01/01/2023</v>
      </c>
      <c r="U58" s="44" t="str">
        <f>StartUp!$D$10</f>
        <v>01/01/2023</v>
      </c>
      <c r="V58" s="44" t="str">
        <f>StartUp!$D$10</f>
        <v>01/01/2023</v>
      </c>
      <c r="W58" s="44" t="str">
        <f>StartUp!$D$10</f>
        <v>01/01/2023</v>
      </c>
      <c r="X58" s="44" t="str">
        <f>StartUp!$D$10</f>
        <v>01/01/2023</v>
      </c>
      <c r="Y58" s="44" t="str">
        <f>StartUp!$D$10</f>
        <v>01/01/2023</v>
      </c>
      <c r="Z58" s="44" t="str">
        <f>StartUp!$D$10</f>
        <v>01/01/2023</v>
      </c>
      <c r="AA58" s="44" t="str">
        <f>StartUp!$D$10</f>
        <v>01/01/2023</v>
      </c>
      <c r="AB58" s="19"/>
      <c r="AC58" s="28"/>
    </row>
    <row r="59" spans="1:29" ht="20" hidden="1" customHeight="1">
      <c r="A59" s="28"/>
      <c r="B59" s="28"/>
      <c r="C59" s="28" t="s">
        <v>580</v>
      </c>
      <c r="D59" s="43"/>
      <c r="E59" s="44" t="str">
        <f>StartUp!$D$11</f>
        <v>31/12/2023</v>
      </c>
      <c r="F59" s="44" t="str">
        <f>StartUp!$D$11</f>
        <v>31/12/2023</v>
      </c>
      <c r="G59" s="44" t="str">
        <f>StartUp!$D$11</f>
        <v>31/12/2023</v>
      </c>
      <c r="H59" s="44" t="str">
        <f>StartUp!$D$11</f>
        <v>31/12/2023</v>
      </c>
      <c r="I59" s="44" t="str">
        <f>StartUp!$D$11</f>
        <v>31/12/2023</v>
      </c>
      <c r="J59" s="44" t="str">
        <f>StartUp!$D$11</f>
        <v>31/12/2023</v>
      </c>
      <c r="K59" s="44" t="str">
        <f>StartUp!$D$11</f>
        <v>31/12/2023</v>
      </c>
      <c r="L59" s="44" t="str">
        <f>StartUp!$D$11</f>
        <v>31/12/2023</v>
      </c>
      <c r="M59" s="44" t="str">
        <f>StartUp!$D$11</f>
        <v>31/12/2023</v>
      </c>
      <c r="N59" s="44" t="str">
        <f>StartUp!$D$11</f>
        <v>31/12/2023</v>
      </c>
      <c r="O59" s="44" t="str">
        <f>StartUp!$D$11</f>
        <v>31/12/2023</v>
      </c>
      <c r="P59" s="44" t="str">
        <f>StartUp!$D$11</f>
        <v>31/12/2023</v>
      </c>
      <c r="Q59" s="44" t="str">
        <f>StartUp!$D$11</f>
        <v>31/12/2023</v>
      </c>
      <c r="R59" s="44" t="str">
        <f>StartUp!$D$11</f>
        <v>31/12/2023</v>
      </c>
      <c r="S59" s="44" t="str">
        <f>StartUp!$D$11</f>
        <v>31/12/2023</v>
      </c>
      <c r="T59" s="44" t="str">
        <f>StartUp!$D$11</f>
        <v>31/12/2023</v>
      </c>
      <c r="U59" s="44" t="str">
        <f>StartUp!$D$11</f>
        <v>31/12/2023</v>
      </c>
      <c r="V59" s="44" t="str">
        <f>StartUp!$D$11</f>
        <v>31/12/2023</v>
      </c>
      <c r="W59" s="44" t="str">
        <f>StartUp!$D$11</f>
        <v>31/12/2023</v>
      </c>
      <c r="X59" s="44" t="str">
        <f>StartUp!$D$11</f>
        <v>31/12/2023</v>
      </c>
      <c r="Y59" s="44" t="str">
        <f>StartUp!$D$11</f>
        <v>31/12/2023</v>
      </c>
      <c r="Z59" s="44" t="str">
        <f>StartUp!$D$11</f>
        <v>31/12/2023</v>
      </c>
      <c r="AA59" s="44" t="str">
        <f>StartUp!$D$11</f>
        <v>31/12/2023</v>
      </c>
      <c r="AB59" s="19"/>
      <c r="AC59" s="28"/>
    </row>
    <row r="60" spans="1:29">
      <c r="A60" s="28"/>
      <c r="B60" s="28"/>
      <c r="C60" s="28" t="s">
        <v>509</v>
      </c>
      <c r="D60" s="30"/>
      <c r="E60" s="19"/>
      <c r="F60" s="19"/>
      <c r="G60" s="19"/>
      <c r="H60" s="19"/>
      <c r="I60" s="19"/>
      <c r="J60" s="19"/>
      <c r="K60" s="19"/>
      <c r="L60" s="19"/>
      <c r="M60" s="19"/>
      <c r="N60" s="19"/>
      <c r="O60" s="19"/>
      <c r="P60" s="19"/>
      <c r="Q60" s="19"/>
      <c r="R60" s="19"/>
      <c r="S60" s="19"/>
      <c r="T60" s="19"/>
      <c r="U60" s="19"/>
      <c r="V60" s="19"/>
      <c r="W60" s="19"/>
      <c r="X60" s="19"/>
      <c r="Y60" s="19"/>
      <c r="Z60" s="19"/>
      <c r="AA60" s="19"/>
      <c r="AB60" s="19"/>
      <c r="AC60" s="28"/>
    </row>
    <row r="61" spans="1:29">
      <c r="A61" s="28" t="s">
        <v>2492</v>
      </c>
      <c r="B61" s="28"/>
      <c r="C61" s="28"/>
      <c r="D61" s="31" t="s">
        <v>2533</v>
      </c>
      <c r="E61" s="31"/>
      <c r="F61" s="31"/>
      <c r="G61" s="31"/>
      <c r="H61" s="31"/>
      <c r="I61" s="31"/>
      <c r="J61" s="31"/>
      <c r="K61" s="31"/>
      <c r="L61" s="31"/>
      <c r="M61" s="31"/>
      <c r="N61" s="31"/>
      <c r="O61" s="31"/>
      <c r="P61" s="31"/>
      <c r="Q61" s="31"/>
      <c r="R61" s="31"/>
      <c r="S61" s="31"/>
      <c r="T61" s="31"/>
      <c r="U61" s="31"/>
      <c r="V61" s="31"/>
      <c r="W61" s="31"/>
      <c r="X61" s="31"/>
      <c r="Y61" s="31"/>
      <c r="Z61" s="31"/>
      <c r="AA61" s="31"/>
      <c r="AB61" s="19"/>
      <c r="AC61" s="28"/>
    </row>
    <row r="62" spans="1:29">
      <c r="A62" s="28" t="s">
        <v>2493</v>
      </c>
      <c r="B62" s="28"/>
      <c r="C62" s="28"/>
      <c r="D62" s="32" t="s">
        <v>2533</v>
      </c>
      <c r="E62" s="31"/>
      <c r="F62" s="31"/>
      <c r="G62" s="31"/>
      <c r="H62" s="31"/>
      <c r="I62" s="31"/>
      <c r="J62" s="31"/>
      <c r="K62" s="31"/>
      <c r="L62" s="31"/>
      <c r="M62" s="31"/>
      <c r="N62" s="31"/>
      <c r="O62" s="31"/>
      <c r="P62" s="31"/>
      <c r="Q62" s="31"/>
      <c r="R62" s="31"/>
      <c r="S62" s="31"/>
      <c r="T62" s="31"/>
      <c r="U62" s="31"/>
      <c r="V62" s="31"/>
      <c r="W62" s="31"/>
      <c r="X62" s="31"/>
      <c r="Y62" s="31"/>
      <c r="Z62" s="31"/>
      <c r="AA62" s="31"/>
      <c r="AB62" s="19"/>
      <c r="AC62" s="28"/>
    </row>
    <row r="63" spans="1:29">
      <c r="A63" s="28" t="s">
        <v>2494</v>
      </c>
      <c r="B63" s="28"/>
      <c r="C63" s="28"/>
      <c r="D63" s="33" t="s">
        <v>2556</v>
      </c>
      <c r="E63" s="61"/>
      <c r="F63" s="61"/>
      <c r="G63" s="61"/>
      <c r="H63" s="61"/>
      <c r="I63" s="61"/>
      <c r="J63" s="61"/>
      <c r="K63" s="61"/>
      <c r="L63" s="61"/>
      <c r="M63" s="61"/>
      <c r="N63" s="61"/>
      <c r="O63" s="61"/>
      <c r="P63" s="61"/>
      <c r="Q63" s="61"/>
      <c r="R63" s="61"/>
      <c r="S63" s="61"/>
      <c r="T63" s="61"/>
      <c r="U63" s="61"/>
      <c r="V63" s="61"/>
      <c r="W63" s="61"/>
      <c r="X63" s="61"/>
      <c r="Y63" s="61"/>
      <c r="Z63" s="61"/>
      <c r="AA63" s="61"/>
      <c r="AB63" s="19"/>
      <c r="AC63" s="28"/>
    </row>
    <row r="64" spans="1:29">
      <c r="A64" s="28" t="s">
        <v>2495</v>
      </c>
      <c r="B64" s="28"/>
      <c r="C64" s="28"/>
      <c r="D64" s="33" t="s">
        <v>2557</v>
      </c>
      <c r="E64" s="61"/>
      <c r="F64" s="61"/>
      <c r="G64" s="61"/>
      <c r="H64" s="61"/>
      <c r="I64" s="61"/>
      <c r="J64" s="61"/>
      <c r="K64" s="61"/>
      <c r="L64" s="61"/>
      <c r="M64" s="61"/>
      <c r="N64" s="61"/>
      <c r="O64" s="61"/>
      <c r="P64" s="61"/>
      <c r="Q64" s="61"/>
      <c r="R64" s="61"/>
      <c r="S64" s="61"/>
      <c r="T64" s="61"/>
      <c r="U64" s="61"/>
      <c r="V64" s="61"/>
      <c r="W64" s="61"/>
      <c r="X64" s="61"/>
      <c r="Y64" s="61"/>
      <c r="Z64" s="61"/>
      <c r="AA64" s="61"/>
      <c r="AB64" s="19"/>
      <c r="AC64" s="28"/>
    </row>
    <row r="65" spans="1:29">
      <c r="A65" s="28" t="s">
        <v>2496</v>
      </c>
      <c r="B65" s="28"/>
      <c r="C65" s="28"/>
      <c r="D65" s="97" t="s">
        <v>2558</v>
      </c>
      <c r="E65" s="71">
        <f>SOCIE!E63+SOCIE!E64</f>
        <v>0</v>
      </c>
      <c r="F65" s="71">
        <f>SOCIE!F63+SOCIE!F64</f>
        <v>0</v>
      </c>
      <c r="G65" s="71">
        <f>SOCIE!G63+SOCIE!G64</f>
        <v>0</v>
      </c>
      <c r="H65" s="71">
        <f>SOCIE!H63+SOCIE!H64</f>
        <v>0</v>
      </c>
      <c r="I65" s="71">
        <f>SOCIE!I63+SOCIE!I64</f>
        <v>0</v>
      </c>
      <c r="J65" s="71">
        <f>SOCIE!J63+SOCIE!J64</f>
        <v>0</v>
      </c>
      <c r="K65" s="71">
        <f>SOCIE!K63+SOCIE!K64</f>
        <v>0</v>
      </c>
      <c r="L65" s="71">
        <f>SOCIE!L63+SOCIE!L64</f>
        <v>0</v>
      </c>
      <c r="M65" s="71">
        <f>SOCIE!M63+SOCIE!M64</f>
        <v>0</v>
      </c>
      <c r="N65" s="71">
        <f>SOCIE!N63+SOCIE!N64</f>
        <v>0</v>
      </c>
      <c r="O65" s="71">
        <f>SOCIE!O63+SOCIE!O64</f>
        <v>0</v>
      </c>
      <c r="P65" s="71">
        <f>SOCIE!P63+SOCIE!P64</f>
        <v>0</v>
      </c>
      <c r="Q65" s="71">
        <f>SOCIE!Q63+SOCIE!Q64</f>
        <v>0</v>
      </c>
      <c r="R65" s="71">
        <f>SOCIE!R63+SOCIE!R64</f>
        <v>0</v>
      </c>
      <c r="S65" s="71">
        <f>SOCIE!S63+SOCIE!S64</f>
        <v>0</v>
      </c>
      <c r="T65" s="71">
        <f>SOCIE!T63+SOCIE!T64</f>
        <v>0</v>
      </c>
      <c r="U65" s="71">
        <f>SOCIE!U63+SOCIE!U64</f>
        <v>0</v>
      </c>
      <c r="V65" s="71">
        <f>SOCIE!V63+SOCIE!V64</f>
        <v>0</v>
      </c>
      <c r="W65" s="71">
        <f>SOCIE!W63+SOCIE!W64</f>
        <v>0</v>
      </c>
      <c r="X65" s="71">
        <f>SOCIE!X63+SOCIE!X64</f>
        <v>0</v>
      </c>
      <c r="Y65" s="71">
        <f>SOCIE!Y63+SOCIE!Y64</f>
        <v>0</v>
      </c>
      <c r="Z65" s="71">
        <f>SOCIE!Z63+SOCIE!Z64</f>
        <v>0</v>
      </c>
      <c r="AA65" s="71">
        <f>SOCIE!AA63+SOCIE!AA64</f>
        <v>0</v>
      </c>
      <c r="AB65" s="19"/>
      <c r="AC65" s="28"/>
    </row>
    <row r="66" spans="1:29">
      <c r="A66" s="28" t="s">
        <v>2497</v>
      </c>
      <c r="B66" s="28"/>
      <c r="C66" s="28"/>
      <c r="D66" s="57" t="s">
        <v>2534</v>
      </c>
      <c r="E66" s="58"/>
      <c r="F66" s="58"/>
      <c r="G66" s="58"/>
      <c r="H66" s="58"/>
      <c r="I66" s="58"/>
      <c r="J66" s="58"/>
      <c r="K66" s="58"/>
      <c r="L66" s="58"/>
      <c r="M66" s="58"/>
      <c r="N66" s="58"/>
      <c r="O66" s="58"/>
      <c r="P66" s="58"/>
      <c r="Q66" s="58"/>
      <c r="R66" s="58"/>
      <c r="S66" s="58"/>
      <c r="T66" s="58"/>
      <c r="U66" s="58"/>
      <c r="V66" s="58"/>
      <c r="W66" s="58"/>
      <c r="X66" s="58"/>
      <c r="Y66" s="58"/>
      <c r="Z66" s="58"/>
      <c r="AA66" s="58"/>
      <c r="AB66" s="19"/>
      <c r="AC66" s="28"/>
    </row>
    <row r="67" spans="1:29">
      <c r="A67" s="28" t="s">
        <v>2498</v>
      </c>
      <c r="B67" s="28"/>
      <c r="C67" s="28"/>
      <c r="D67" s="59" t="s">
        <v>2535</v>
      </c>
      <c r="E67" s="58"/>
      <c r="F67" s="58"/>
      <c r="G67" s="58"/>
      <c r="H67" s="58"/>
      <c r="I67" s="58"/>
      <c r="J67" s="58"/>
      <c r="K67" s="58"/>
      <c r="L67" s="58"/>
      <c r="M67" s="58"/>
      <c r="N67" s="58"/>
      <c r="O67" s="58"/>
      <c r="P67" s="58"/>
      <c r="Q67" s="58"/>
      <c r="R67" s="58"/>
      <c r="S67" s="58"/>
      <c r="T67" s="58"/>
      <c r="U67" s="58"/>
      <c r="V67" s="58"/>
      <c r="W67" s="58"/>
      <c r="X67" s="58"/>
      <c r="Y67" s="58"/>
      <c r="Z67" s="58"/>
      <c r="AA67" s="58"/>
      <c r="AB67" s="19"/>
      <c r="AC67" s="28"/>
    </row>
    <row r="68" spans="1:29">
      <c r="A68" s="28" t="s">
        <v>2135</v>
      </c>
      <c r="B68" s="28"/>
      <c r="C68" s="28"/>
      <c r="D68" s="60" t="s">
        <v>2215</v>
      </c>
      <c r="E68" s="61"/>
      <c r="F68" s="61"/>
      <c r="G68" s="61"/>
      <c r="H68" s="61"/>
      <c r="I68" s="61"/>
      <c r="J68" s="61"/>
      <c r="K68" s="61"/>
      <c r="L68" s="61"/>
      <c r="M68" s="61"/>
      <c r="N68" s="61"/>
      <c r="O68" s="61"/>
      <c r="P68" s="61"/>
      <c r="Q68" s="61"/>
      <c r="R68" s="61"/>
      <c r="S68" s="61"/>
      <c r="T68" s="61"/>
      <c r="U68" s="61"/>
      <c r="V68" s="61"/>
      <c r="W68" s="61"/>
      <c r="X68" s="61"/>
      <c r="Y68" s="61"/>
      <c r="Z68" s="61"/>
      <c r="AA68" s="61"/>
      <c r="AB68" s="19"/>
      <c r="AC68" s="28"/>
    </row>
    <row r="69" spans="1:29">
      <c r="A69" s="28" t="s">
        <v>2170</v>
      </c>
      <c r="B69" s="28"/>
      <c r="C69" s="28"/>
      <c r="D69" s="60" t="s">
        <v>2559</v>
      </c>
      <c r="E69" s="61"/>
      <c r="F69" s="61"/>
      <c r="G69" s="61"/>
      <c r="H69" s="61"/>
      <c r="I69" s="61"/>
      <c r="J69" s="61"/>
      <c r="K69" s="61"/>
      <c r="L69" s="61"/>
      <c r="M69" s="61"/>
      <c r="N69" s="61"/>
      <c r="O69" s="61"/>
      <c r="P69" s="61"/>
      <c r="Q69" s="61"/>
      <c r="R69" s="61"/>
      <c r="S69" s="61"/>
      <c r="T69" s="61"/>
      <c r="U69" s="61"/>
      <c r="V69" s="61"/>
      <c r="W69" s="61"/>
      <c r="X69" s="61"/>
      <c r="Y69" s="61"/>
      <c r="Z69" s="61"/>
      <c r="AA69" s="61"/>
      <c r="AB69" s="19"/>
      <c r="AC69" s="28"/>
    </row>
    <row r="70" spans="1:29">
      <c r="A70" s="28" t="s">
        <v>2171</v>
      </c>
      <c r="B70" s="28"/>
      <c r="C70" s="28"/>
      <c r="D70" s="64" t="s">
        <v>2217</v>
      </c>
      <c r="E70" s="71">
        <f t="shared" ref="E70:AA70" si="4">1*E68+1*E69</f>
        <v>0</v>
      </c>
      <c r="F70" s="71">
        <f t="shared" si="4"/>
        <v>0</v>
      </c>
      <c r="G70" s="71">
        <f t="shared" si="4"/>
        <v>0</v>
      </c>
      <c r="H70" s="71">
        <f t="shared" si="4"/>
        <v>0</v>
      </c>
      <c r="I70" s="71">
        <f t="shared" si="4"/>
        <v>0</v>
      </c>
      <c r="J70" s="71">
        <f t="shared" si="4"/>
        <v>0</v>
      </c>
      <c r="K70" s="71">
        <f t="shared" si="4"/>
        <v>0</v>
      </c>
      <c r="L70" s="71">
        <f t="shared" si="4"/>
        <v>0</v>
      </c>
      <c r="M70" s="71">
        <f t="shared" si="4"/>
        <v>0</v>
      </c>
      <c r="N70" s="71">
        <f t="shared" si="4"/>
        <v>0</v>
      </c>
      <c r="O70" s="71">
        <f t="shared" si="4"/>
        <v>0</v>
      </c>
      <c r="P70" s="71">
        <f t="shared" si="4"/>
        <v>0</v>
      </c>
      <c r="Q70" s="71">
        <f t="shared" si="4"/>
        <v>0</v>
      </c>
      <c r="R70" s="71">
        <f t="shared" si="4"/>
        <v>0</v>
      </c>
      <c r="S70" s="71">
        <f t="shared" si="4"/>
        <v>0</v>
      </c>
      <c r="T70" s="71">
        <f t="shared" si="4"/>
        <v>0</v>
      </c>
      <c r="U70" s="71">
        <f t="shared" si="4"/>
        <v>0</v>
      </c>
      <c r="V70" s="71">
        <f t="shared" si="4"/>
        <v>0</v>
      </c>
      <c r="W70" s="71">
        <f t="shared" si="4"/>
        <v>0</v>
      </c>
      <c r="X70" s="71">
        <f t="shared" si="4"/>
        <v>0</v>
      </c>
      <c r="Y70" s="71">
        <f t="shared" si="4"/>
        <v>0</v>
      </c>
      <c r="Z70" s="71">
        <f t="shared" si="4"/>
        <v>0</v>
      </c>
      <c r="AA70" s="71">
        <f t="shared" si="4"/>
        <v>0</v>
      </c>
      <c r="AB70" s="19"/>
      <c r="AC70" s="28"/>
    </row>
    <row r="71" spans="1:29" ht="27">
      <c r="A71" s="28" t="s">
        <v>2499</v>
      </c>
      <c r="B71" s="28"/>
      <c r="C71" s="28"/>
      <c r="D71" s="59" t="s">
        <v>2536</v>
      </c>
      <c r="E71" s="58"/>
      <c r="F71" s="58"/>
      <c r="G71" s="58"/>
      <c r="H71" s="58"/>
      <c r="I71" s="58"/>
      <c r="J71" s="58"/>
      <c r="K71" s="58"/>
      <c r="L71" s="58"/>
      <c r="M71" s="58"/>
      <c r="N71" s="58"/>
      <c r="O71" s="58"/>
      <c r="P71" s="58"/>
      <c r="Q71" s="58"/>
      <c r="R71" s="58"/>
      <c r="S71" s="58"/>
      <c r="T71" s="58"/>
      <c r="U71" s="58"/>
      <c r="V71" s="58"/>
      <c r="W71" s="58"/>
      <c r="X71" s="58"/>
      <c r="Y71" s="58"/>
      <c r="Z71" s="58"/>
      <c r="AA71" s="58"/>
      <c r="AB71" s="19"/>
      <c r="AC71" s="28"/>
    </row>
    <row r="72" spans="1:29" ht="27">
      <c r="A72" s="28" t="s">
        <v>2500</v>
      </c>
      <c r="B72" s="28"/>
      <c r="C72" s="28"/>
      <c r="D72" s="63" t="s">
        <v>2537</v>
      </c>
      <c r="E72" s="61"/>
      <c r="F72" s="61"/>
      <c r="G72" s="61"/>
      <c r="H72" s="61"/>
      <c r="I72" s="61"/>
      <c r="J72" s="61"/>
      <c r="K72" s="61"/>
      <c r="L72" s="61"/>
      <c r="M72" s="61"/>
      <c r="N72" s="61"/>
      <c r="O72" s="61"/>
      <c r="P72" s="61"/>
      <c r="Q72" s="61"/>
      <c r="R72" s="61"/>
      <c r="S72" s="61"/>
      <c r="T72" s="61"/>
      <c r="U72" s="61"/>
      <c r="V72" s="61"/>
      <c r="W72" s="61"/>
      <c r="X72" s="61"/>
      <c r="Y72" s="61"/>
      <c r="Z72" s="61"/>
      <c r="AA72" s="61"/>
      <c r="AB72" s="19"/>
      <c r="AC72" s="28"/>
    </row>
    <row r="73" spans="1:29" ht="40.5">
      <c r="A73" s="28" t="s">
        <v>2501</v>
      </c>
      <c r="B73" s="28"/>
      <c r="C73" s="28"/>
      <c r="D73" s="63" t="s">
        <v>2538</v>
      </c>
      <c r="E73" s="61"/>
      <c r="F73" s="61"/>
      <c r="G73" s="61"/>
      <c r="H73" s="61"/>
      <c r="I73" s="61"/>
      <c r="J73" s="61"/>
      <c r="K73" s="61"/>
      <c r="L73" s="61"/>
      <c r="M73" s="61"/>
      <c r="N73" s="61"/>
      <c r="O73" s="61"/>
      <c r="P73" s="61"/>
      <c r="Q73" s="61"/>
      <c r="R73" s="61"/>
      <c r="S73" s="61"/>
      <c r="T73" s="61"/>
      <c r="U73" s="61"/>
      <c r="V73" s="61"/>
      <c r="W73" s="61"/>
      <c r="X73" s="61"/>
      <c r="Y73" s="61"/>
      <c r="Z73" s="61"/>
      <c r="AA73" s="61"/>
      <c r="AB73" s="19"/>
      <c r="AC73" s="28"/>
    </row>
    <row r="74" spans="1:29">
      <c r="A74" s="28" t="s">
        <v>2502</v>
      </c>
      <c r="B74" s="28"/>
      <c r="C74" s="28"/>
      <c r="D74" s="63" t="s">
        <v>2414</v>
      </c>
      <c r="E74" s="61"/>
      <c r="F74" s="61"/>
      <c r="G74" s="61"/>
      <c r="H74" s="61"/>
      <c r="I74" s="61"/>
      <c r="J74" s="61"/>
      <c r="K74" s="61"/>
      <c r="L74" s="61"/>
      <c r="M74" s="61"/>
      <c r="N74" s="61"/>
      <c r="O74" s="61"/>
      <c r="P74" s="61"/>
      <c r="Q74" s="61"/>
      <c r="R74" s="61"/>
      <c r="S74" s="61"/>
      <c r="T74" s="61"/>
      <c r="U74" s="61"/>
      <c r="V74" s="61"/>
      <c r="W74" s="61"/>
      <c r="X74" s="61"/>
      <c r="Y74" s="61"/>
      <c r="Z74" s="61"/>
      <c r="AA74" s="61"/>
      <c r="AB74" s="19"/>
      <c r="AC74" s="28"/>
    </row>
    <row r="75" spans="1:29">
      <c r="A75" s="28" t="s">
        <v>2503</v>
      </c>
      <c r="B75" s="28"/>
      <c r="C75" s="28"/>
      <c r="D75" s="63" t="s">
        <v>2539</v>
      </c>
      <c r="E75" s="61"/>
      <c r="F75" s="61"/>
      <c r="G75" s="61"/>
      <c r="H75" s="61"/>
      <c r="I75" s="61"/>
      <c r="J75" s="61"/>
      <c r="K75" s="61"/>
      <c r="L75" s="61"/>
      <c r="M75" s="61"/>
      <c r="N75" s="61"/>
      <c r="O75" s="61"/>
      <c r="P75" s="61"/>
      <c r="Q75" s="61"/>
      <c r="R75" s="61"/>
      <c r="S75" s="61"/>
      <c r="T75" s="61"/>
      <c r="U75" s="61"/>
      <c r="V75" s="61"/>
      <c r="W75" s="61"/>
      <c r="X75" s="61"/>
      <c r="Y75" s="61"/>
      <c r="Z75" s="61"/>
      <c r="AA75" s="61"/>
      <c r="AB75" s="19"/>
      <c r="AC75" s="28"/>
    </row>
    <row r="76" spans="1:29">
      <c r="A76" s="28" t="s">
        <v>2504</v>
      </c>
      <c r="B76" s="28"/>
      <c r="C76" s="28"/>
      <c r="D76" s="63" t="s">
        <v>2540</v>
      </c>
      <c r="E76" s="61"/>
      <c r="F76" s="61"/>
      <c r="G76" s="61"/>
      <c r="H76" s="61"/>
      <c r="I76" s="61"/>
      <c r="J76" s="61"/>
      <c r="K76" s="61"/>
      <c r="L76" s="61"/>
      <c r="M76" s="61"/>
      <c r="N76" s="61"/>
      <c r="O76" s="61"/>
      <c r="P76" s="61"/>
      <c r="Q76" s="61"/>
      <c r="R76" s="61"/>
      <c r="S76" s="61"/>
      <c r="T76" s="61"/>
      <c r="U76" s="61"/>
      <c r="V76" s="61"/>
      <c r="W76" s="61"/>
      <c r="X76" s="61"/>
      <c r="Y76" s="61"/>
      <c r="Z76" s="61"/>
      <c r="AA76" s="61"/>
      <c r="AB76" s="19"/>
      <c r="AC76" s="28"/>
    </row>
    <row r="77" spans="1:29" ht="27">
      <c r="A77" s="28" t="s">
        <v>2505</v>
      </c>
      <c r="B77" s="28"/>
      <c r="C77" s="28"/>
      <c r="D77" s="63" t="s">
        <v>2541</v>
      </c>
      <c r="E77" s="61"/>
      <c r="F77" s="61"/>
      <c r="G77" s="61"/>
      <c r="H77" s="61"/>
      <c r="I77" s="61"/>
      <c r="J77" s="61"/>
      <c r="K77" s="61"/>
      <c r="L77" s="61"/>
      <c r="M77" s="61"/>
      <c r="N77" s="61"/>
      <c r="O77" s="61"/>
      <c r="P77" s="61"/>
      <c r="Q77" s="61"/>
      <c r="R77" s="61"/>
      <c r="S77" s="61"/>
      <c r="T77" s="61"/>
      <c r="U77" s="61"/>
      <c r="V77" s="61"/>
      <c r="W77" s="61"/>
      <c r="X77" s="61"/>
      <c r="Y77" s="61"/>
      <c r="Z77" s="61"/>
      <c r="AA77" s="61"/>
      <c r="AB77" s="19"/>
      <c r="AC77" s="28"/>
    </row>
    <row r="78" spans="1:29">
      <c r="A78" s="28" t="s">
        <v>2506</v>
      </c>
      <c r="B78" s="28"/>
      <c r="C78" s="28"/>
      <c r="D78" s="63" t="s">
        <v>2542</v>
      </c>
      <c r="E78" s="61"/>
      <c r="F78" s="61"/>
      <c r="G78" s="61"/>
      <c r="H78" s="61"/>
      <c r="I78" s="61"/>
      <c r="J78" s="61"/>
      <c r="K78" s="61"/>
      <c r="L78" s="61"/>
      <c r="M78" s="61"/>
      <c r="N78" s="61"/>
      <c r="O78" s="61"/>
      <c r="P78" s="61"/>
      <c r="Q78" s="61"/>
      <c r="R78" s="61"/>
      <c r="S78" s="61"/>
      <c r="T78" s="61"/>
      <c r="U78" s="61"/>
      <c r="V78" s="61"/>
      <c r="W78" s="61"/>
      <c r="X78" s="61"/>
      <c r="Y78" s="61"/>
      <c r="Z78" s="61"/>
      <c r="AA78" s="61"/>
      <c r="AB78" s="19"/>
      <c r="AC78" s="28"/>
    </row>
    <row r="79" spans="1:29">
      <c r="A79" s="28" t="s">
        <v>2507</v>
      </c>
      <c r="B79" s="28"/>
      <c r="C79" s="28"/>
      <c r="D79" s="63" t="s">
        <v>2543</v>
      </c>
      <c r="E79" s="61"/>
      <c r="F79" s="61"/>
      <c r="G79" s="61"/>
      <c r="H79" s="61"/>
      <c r="I79" s="61"/>
      <c r="J79" s="61"/>
      <c r="K79" s="61"/>
      <c r="L79" s="61"/>
      <c r="M79" s="61"/>
      <c r="N79" s="61"/>
      <c r="O79" s="61"/>
      <c r="P79" s="61"/>
      <c r="Q79" s="61"/>
      <c r="R79" s="61"/>
      <c r="S79" s="61"/>
      <c r="T79" s="61"/>
      <c r="U79" s="61"/>
      <c r="V79" s="61"/>
      <c r="W79" s="61"/>
      <c r="X79" s="61"/>
      <c r="Y79" s="61"/>
      <c r="Z79" s="61"/>
      <c r="AA79" s="61"/>
      <c r="AB79" s="19"/>
      <c r="AC79" s="28"/>
    </row>
    <row r="80" spans="1:29" ht="27">
      <c r="A80" s="28" t="s">
        <v>2508</v>
      </c>
      <c r="B80" s="28"/>
      <c r="C80" s="28"/>
      <c r="D80" s="38" t="s">
        <v>2544</v>
      </c>
      <c r="E80" s="61"/>
      <c r="F80" s="61"/>
      <c r="G80" s="61"/>
      <c r="H80" s="61"/>
      <c r="I80" s="61"/>
      <c r="J80" s="61"/>
      <c r="K80" s="61"/>
      <c r="L80" s="61"/>
      <c r="M80" s="61"/>
      <c r="N80" s="61"/>
      <c r="O80" s="61"/>
      <c r="P80" s="61"/>
      <c r="Q80" s="61"/>
      <c r="R80" s="61"/>
      <c r="S80" s="61"/>
      <c r="T80" s="61"/>
      <c r="U80" s="61"/>
      <c r="V80" s="61"/>
      <c r="W80" s="61"/>
      <c r="X80" s="61"/>
      <c r="Y80" s="61"/>
      <c r="Z80" s="61"/>
      <c r="AA80" s="61"/>
      <c r="AB80" s="19"/>
      <c r="AC80" s="28"/>
    </row>
    <row r="81" spans="1:29">
      <c r="A81" s="28" t="s">
        <v>2509</v>
      </c>
      <c r="B81" s="28"/>
      <c r="C81" s="28"/>
      <c r="D81" s="70" t="s">
        <v>2560</v>
      </c>
      <c r="E81" s="69">
        <f t="shared" ref="E81:AA81" si="5">1*E70+1*E72+1*E73+-1*E74+1*E75+1*E76+1*E77+1*E78+1*E79+1*E80</f>
        <v>0</v>
      </c>
      <c r="F81" s="69">
        <f t="shared" si="5"/>
        <v>0</v>
      </c>
      <c r="G81" s="69">
        <f t="shared" si="5"/>
        <v>0</v>
      </c>
      <c r="H81" s="69">
        <f t="shared" si="5"/>
        <v>0</v>
      </c>
      <c r="I81" s="69">
        <f t="shared" si="5"/>
        <v>0</v>
      </c>
      <c r="J81" s="69">
        <f t="shared" si="5"/>
        <v>0</v>
      </c>
      <c r="K81" s="69">
        <f t="shared" si="5"/>
        <v>0</v>
      </c>
      <c r="L81" s="69">
        <f t="shared" si="5"/>
        <v>0</v>
      </c>
      <c r="M81" s="69">
        <f t="shared" si="5"/>
        <v>0</v>
      </c>
      <c r="N81" s="69">
        <f t="shared" si="5"/>
        <v>0</v>
      </c>
      <c r="O81" s="69">
        <f t="shared" si="5"/>
        <v>0</v>
      </c>
      <c r="P81" s="69">
        <f t="shared" si="5"/>
        <v>0</v>
      </c>
      <c r="Q81" s="69">
        <f t="shared" si="5"/>
        <v>0</v>
      </c>
      <c r="R81" s="69">
        <f t="shared" si="5"/>
        <v>0</v>
      </c>
      <c r="S81" s="69">
        <f t="shared" si="5"/>
        <v>0</v>
      </c>
      <c r="T81" s="69">
        <f t="shared" si="5"/>
        <v>0</v>
      </c>
      <c r="U81" s="69">
        <f t="shared" si="5"/>
        <v>0</v>
      </c>
      <c r="V81" s="69">
        <f t="shared" si="5"/>
        <v>0</v>
      </c>
      <c r="W81" s="69">
        <f t="shared" si="5"/>
        <v>0</v>
      </c>
      <c r="X81" s="69">
        <f t="shared" si="5"/>
        <v>0</v>
      </c>
      <c r="Y81" s="69">
        <f t="shared" si="5"/>
        <v>0</v>
      </c>
      <c r="Z81" s="69">
        <f t="shared" si="5"/>
        <v>0</v>
      </c>
      <c r="AA81" s="69">
        <f t="shared" si="5"/>
        <v>0</v>
      </c>
      <c r="AB81" s="19"/>
      <c r="AC81" s="28"/>
    </row>
    <row r="82" spans="1:29">
      <c r="A82" s="28" t="s">
        <v>2510</v>
      </c>
      <c r="B82" s="28"/>
      <c r="C82" s="28"/>
      <c r="D82" s="97" t="s">
        <v>2561</v>
      </c>
      <c r="E82" s="71">
        <f>SOCIE!E65+SOCIE!E81</f>
        <v>0</v>
      </c>
      <c r="F82" s="71">
        <f>SOCIE!F65+SOCIE!F81</f>
        <v>0</v>
      </c>
      <c r="G82" s="71">
        <f>SOCIE!G65+SOCIE!G81</f>
        <v>0</v>
      </c>
      <c r="H82" s="71">
        <f>SOCIE!H65+SOCIE!H81</f>
        <v>0</v>
      </c>
      <c r="I82" s="71">
        <f>SOCIE!I65+SOCIE!I81</f>
        <v>0</v>
      </c>
      <c r="J82" s="71">
        <f>SOCIE!J65+SOCIE!J81</f>
        <v>0</v>
      </c>
      <c r="K82" s="71">
        <f>SOCIE!K65+SOCIE!K81</f>
        <v>0</v>
      </c>
      <c r="L82" s="71">
        <f>SOCIE!L65+SOCIE!L81</f>
        <v>0</v>
      </c>
      <c r="M82" s="71">
        <f>SOCIE!M65+SOCIE!M81</f>
        <v>0</v>
      </c>
      <c r="N82" s="71">
        <f>SOCIE!N65+SOCIE!N81</f>
        <v>0</v>
      </c>
      <c r="O82" s="71">
        <f>SOCIE!O65+SOCIE!O81</f>
        <v>0</v>
      </c>
      <c r="P82" s="71">
        <f>SOCIE!P65+SOCIE!P81</f>
        <v>0</v>
      </c>
      <c r="Q82" s="71">
        <f>SOCIE!Q65+SOCIE!Q81</f>
        <v>0</v>
      </c>
      <c r="R82" s="71">
        <f>SOCIE!R65+SOCIE!R81</f>
        <v>0</v>
      </c>
      <c r="S82" s="71">
        <f>SOCIE!S65+SOCIE!S81</f>
        <v>0</v>
      </c>
      <c r="T82" s="71">
        <f>SOCIE!T65+SOCIE!T81</f>
        <v>0</v>
      </c>
      <c r="U82" s="71">
        <f>SOCIE!U65+SOCIE!U81</f>
        <v>0</v>
      </c>
      <c r="V82" s="71">
        <f>SOCIE!V65+SOCIE!V81</f>
        <v>0</v>
      </c>
      <c r="W82" s="71">
        <f>SOCIE!W65+SOCIE!W81</f>
        <v>0</v>
      </c>
      <c r="X82" s="71">
        <f>SOCIE!X65+SOCIE!X81</f>
        <v>0</v>
      </c>
      <c r="Y82" s="71">
        <f>SOCIE!Y65+SOCIE!Y81</f>
        <v>0</v>
      </c>
      <c r="Z82" s="71">
        <f>SOCIE!Z65+SOCIE!Z81</f>
        <v>0</v>
      </c>
      <c r="AA82" s="71">
        <f>SOCIE!AA65+SOCIE!AA81</f>
        <v>0</v>
      </c>
      <c r="AB82" s="19"/>
      <c r="AC82" s="28"/>
    </row>
    <row r="83" spans="1:29" hidden="1">
      <c r="A83" s="28"/>
      <c r="B83" s="28"/>
      <c r="C83" s="28" t="s">
        <v>509</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28"/>
    </row>
    <row r="84" spans="1:29" hidden="1">
      <c r="A84" s="28"/>
      <c r="B84" s="28"/>
      <c r="C84" s="28" t="s">
        <v>512</v>
      </c>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t="s">
        <v>513</v>
      </c>
    </row>
  </sheetData>
  <sheetProtection algorithmName="SHA-1" hashValue="gAWJckIwjGGKDcfQaZnmifQWo20=" saltValue="ryiQwh71n9/VH06KtXXIZw==" spinCount="100000" sheet="1" objects="1" scenarios="1" formatColumns="0" formatRows="0"/>
  <dataValidations count="1">
    <dataValidation type="decimal" allowBlank="1" showInputMessage="1" showErrorMessage="1" error="Please enter a numeric value upto 2 decimal places only" sqref="AA63:AA64 E36:AA44 E32:AA33 AA27:AA28 Z63:Z64 E72:AA80 E68:AA69 E27:E28 F27:F28 G27:G28 H27:H28 I27:I28 J27:J28 K27:K28 L27:L28 M27:M28 N27:N28 O27:O28 P27:P28 Q27:Q28 R27:R28 S27:S28 T27:T28 U27:U28 V27:V28 W27:W28 X27:X28 Y27:Y28 Z27:Z28 E63:E64 F63:F64 G63:G64 H63:H64 I63:I64 J63:J64 K63:K64 L63:L64 M63:M64 N63:N64 O63:O64 P63:P64 Q63:Q64 R63:R64 S63:S64 T63:T64 U63:U64 V63:V64 W63:W64 X63:X64 Y63:Y64" xr:uid="{030422A2-3FDF-45E0-B242-32ED3AE14135}">
      <formula1>-999999999999999</formula1>
      <formula2>999999999999999</formula2>
    </dataValidation>
  </dataValidations>
  <hyperlinks>
    <hyperlink ref="D19" tooltip="Edit Components of equity" display="Edit Components of equity" xr:uid="{11491C65-BC61-443E-B650-3674A6A793EB}"/>
    <hyperlink ref="D55" tooltip="Edit Components of equity" display="Edit Components of equity" xr:uid="{11C112B7-FD06-481A-B45E-70139F95B768}"/>
  </hyperlinks>
  <pageMargins left="0.7" right="0.7" top="0.75" bottom="0.75" header="0.3" footer="0.3"/>
  <drawing r:id="rId1"/>
  <legacyDrawing r:id="rId2"/>
  <controls>
    <mc:AlternateContent xmlns:mc="http://schemas.openxmlformats.org/markup-compatibility/2006">
      <mc:Choice Requires="x14">
        <control shapeId="21746"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1746" r:id="rId3" name="LegendBtn"/>
      </mc:Fallback>
    </mc:AlternateContent>
    <mc:AlternateContent xmlns:mc="http://schemas.openxmlformats.org/markup-compatibility/2006">
      <mc:Choice Requires="x14">
        <control shapeId="21745"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1745" r:id="rId5" name="HelpBtn"/>
      </mc:Fallback>
    </mc:AlternateContent>
    <mc:AlternateContent xmlns:mc="http://schemas.openxmlformats.org/markup-compatibility/2006">
      <mc:Choice Requires="x14">
        <control shapeId="21744"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1744" r:id="rId7" name="ToolboxBtn"/>
      </mc:Fallback>
    </mc:AlternateContent>
    <mc:AlternateContent xmlns:mc="http://schemas.openxmlformats.org/markup-compatibility/2006">
      <mc:Choice Requires="x14">
        <control shapeId="21743"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1743" r:id="rId9" name="HomeBtn"/>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EB0D-6FB3-4A70-A68D-CCF09F7D065B}">
  <sheetPr codeName="Sheet16"/>
  <dimension ref="A1:DZ18"/>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2563</v>
      </c>
      <c r="B1" s="19"/>
      <c r="C1" s="19"/>
      <c r="D1" s="19"/>
      <c r="E1" s="19"/>
      <c r="F1" s="19"/>
      <c r="G1" s="19"/>
    </row>
    <row r="2" spans="1:130" ht="25.15" customHeight="1">
      <c r="A2" s="39"/>
      <c r="B2" s="39"/>
      <c r="C2" s="39"/>
      <c r="D2" s="41" t="s">
        <v>2579</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2564</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c r="A9" s="28"/>
      <c r="B9" s="28"/>
      <c r="C9" s="28" t="s">
        <v>509</v>
      </c>
      <c r="D9" s="30"/>
      <c r="E9" s="19"/>
      <c r="F9" s="19"/>
      <c r="G9" s="28"/>
    </row>
    <row r="10" spans="1:130">
      <c r="A10" s="28" t="s">
        <v>2565</v>
      </c>
      <c r="B10" s="28"/>
      <c r="C10" s="28"/>
      <c r="D10" s="31" t="s">
        <v>2572</v>
      </c>
      <c r="E10" s="31"/>
      <c r="F10" s="19"/>
      <c r="G10" s="28"/>
    </row>
    <row r="11" spans="1:130">
      <c r="A11" s="28" t="s">
        <v>2566</v>
      </c>
      <c r="B11" s="28"/>
      <c r="C11" s="28"/>
      <c r="D11" s="32" t="s">
        <v>2573</v>
      </c>
      <c r="E11" s="31"/>
      <c r="F11" s="19"/>
      <c r="G11" s="28"/>
    </row>
    <row r="12" spans="1:130">
      <c r="A12" s="28" t="s">
        <v>2567</v>
      </c>
      <c r="B12" s="28"/>
      <c r="C12" s="28"/>
      <c r="D12" s="33" t="s">
        <v>2578</v>
      </c>
      <c r="E12" s="52"/>
      <c r="F12" s="19"/>
      <c r="G12" s="28"/>
    </row>
    <row r="13" spans="1:130">
      <c r="A13" s="28" t="s">
        <v>2568</v>
      </c>
      <c r="B13" s="28"/>
      <c r="C13" s="28"/>
      <c r="D13" s="32" t="s">
        <v>2574</v>
      </c>
      <c r="E13" s="31"/>
      <c r="F13" s="19"/>
      <c r="G13" s="28"/>
    </row>
    <row r="14" spans="1:130" ht="27">
      <c r="A14" s="28" t="s">
        <v>2569</v>
      </c>
      <c r="B14" s="28"/>
      <c r="C14" s="28"/>
      <c r="D14" s="35" t="s">
        <v>2575</v>
      </c>
      <c r="E14" s="52"/>
      <c r="F14" s="19"/>
      <c r="G14" s="28"/>
    </row>
    <row r="15" spans="1:130" ht="27">
      <c r="A15" s="28" t="s">
        <v>2570</v>
      </c>
      <c r="B15" s="28"/>
      <c r="C15" s="28"/>
      <c r="D15" s="35" t="s">
        <v>2576</v>
      </c>
      <c r="E15" s="52"/>
      <c r="F15" s="19"/>
      <c r="G15" s="28"/>
    </row>
    <row r="16" spans="1:130" ht="27">
      <c r="A16" s="28" t="s">
        <v>2571</v>
      </c>
      <c r="B16" s="28"/>
      <c r="C16" s="28"/>
      <c r="D16" s="35" t="s">
        <v>2577</v>
      </c>
      <c r="E16" s="52"/>
      <c r="F16" s="19"/>
      <c r="G16" s="28"/>
    </row>
    <row r="17" spans="1:7" hidden="1">
      <c r="A17" s="28"/>
      <c r="B17" s="28"/>
      <c r="C17" s="28" t="s">
        <v>509</v>
      </c>
      <c r="D17" s="19"/>
      <c r="E17" s="19"/>
      <c r="F17" s="19"/>
      <c r="G17" s="28"/>
    </row>
    <row r="18" spans="1:7" hidden="1">
      <c r="A18" s="28"/>
      <c r="B18" s="28"/>
      <c r="C18" s="28" t="s">
        <v>512</v>
      </c>
      <c r="D18" s="28"/>
      <c r="E18" s="28"/>
      <c r="F18" s="28"/>
      <c r="G18" s="28" t="s">
        <v>513</v>
      </c>
    </row>
  </sheetData>
  <sheetProtection algorithmName="SHA-1" hashValue="ecZ5E9B4Y0NCL7wVCr46UsPmYJw=" saltValue="inRCzH28gtXJEvrKQULqWg=="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22584"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2584" r:id="rId3" name="LegendBtn"/>
      </mc:Fallback>
    </mc:AlternateContent>
    <mc:AlternateContent xmlns:mc="http://schemas.openxmlformats.org/markup-compatibility/2006">
      <mc:Choice Requires="x14">
        <control shapeId="22583"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2583" r:id="rId5" name="HelpBtn"/>
      </mc:Fallback>
    </mc:AlternateContent>
    <mc:AlternateContent xmlns:mc="http://schemas.openxmlformats.org/markup-compatibility/2006">
      <mc:Choice Requires="x14">
        <control shapeId="22582"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2582" r:id="rId7" name="ToolboxBtn"/>
      </mc:Fallback>
    </mc:AlternateContent>
    <mc:AlternateContent xmlns:mc="http://schemas.openxmlformats.org/markup-compatibility/2006">
      <mc:Choice Requires="x14">
        <control shapeId="22581"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2581" r:id="rId9" name="HomeBtn"/>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F4B8-71E6-4A90-AE3B-C5150C7795F3}">
  <sheetPr codeName="Sheet17"/>
  <dimension ref="A1:DZ66"/>
  <sheetViews>
    <sheetView showGridLines="0" workbookViewId="0">
      <pane ySplit="2" topLeftCell="A3" activePane="bottomLeft" state="frozen"/>
      <selection pane="bottomLeft" activeCell="E35" sqref="E35"/>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2580</v>
      </c>
      <c r="B1" s="19"/>
      <c r="C1" s="19"/>
      <c r="D1" s="19"/>
      <c r="E1" s="19"/>
      <c r="F1" s="19"/>
      <c r="G1" s="19"/>
    </row>
    <row r="2" spans="1:130" ht="25.15" customHeight="1">
      <c r="A2" s="39"/>
      <c r="B2" s="39"/>
      <c r="C2" s="39"/>
      <c r="D2" s="41" t="s">
        <v>2692</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2581</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c r="A9" s="28"/>
      <c r="B9" s="28"/>
      <c r="C9" s="28" t="s">
        <v>509</v>
      </c>
      <c r="D9" s="30"/>
      <c r="E9" s="19"/>
      <c r="F9" s="19"/>
      <c r="G9" s="28"/>
    </row>
    <row r="10" spans="1:130" ht="27">
      <c r="A10" s="28" t="s">
        <v>2582</v>
      </c>
      <c r="B10" s="28"/>
      <c r="C10" s="28"/>
      <c r="D10" s="31" t="s">
        <v>2637</v>
      </c>
      <c r="E10" s="31"/>
      <c r="F10" s="19"/>
      <c r="G10" s="28"/>
    </row>
    <row r="11" spans="1:130" ht="27">
      <c r="A11" s="28" t="s">
        <v>2583</v>
      </c>
      <c r="B11" s="28"/>
      <c r="C11" s="28"/>
      <c r="D11" s="55" t="s">
        <v>2691</v>
      </c>
      <c r="E11" s="52"/>
      <c r="F11" s="19"/>
      <c r="G11" s="28"/>
    </row>
    <row r="12" spans="1:130" ht="27">
      <c r="A12" s="28" t="s">
        <v>2584</v>
      </c>
      <c r="B12" s="28"/>
      <c r="C12" s="28"/>
      <c r="D12" s="35" t="s">
        <v>2638</v>
      </c>
      <c r="E12" s="52"/>
      <c r="F12" s="19"/>
      <c r="G12" s="28"/>
    </row>
    <row r="13" spans="1:130" ht="27">
      <c r="A13" s="28" t="s">
        <v>2585</v>
      </c>
      <c r="B13" s="28"/>
      <c r="C13" s="28"/>
      <c r="D13" s="35" t="s">
        <v>2639</v>
      </c>
      <c r="E13" s="52"/>
      <c r="F13" s="19"/>
      <c r="G13" s="28"/>
    </row>
    <row r="14" spans="1:130">
      <c r="A14" s="28" t="s">
        <v>2586</v>
      </c>
      <c r="B14" s="28"/>
      <c r="C14" s="28"/>
      <c r="D14" s="35" t="s">
        <v>2640</v>
      </c>
      <c r="E14" s="52"/>
      <c r="F14" s="19"/>
      <c r="G14" s="28"/>
    </row>
    <row r="15" spans="1:130" ht="27">
      <c r="A15" s="28" t="s">
        <v>2587</v>
      </c>
      <c r="B15" s="28"/>
      <c r="C15" s="28"/>
      <c r="D15" s="35" t="s">
        <v>2641</v>
      </c>
      <c r="E15" s="52"/>
      <c r="F15" s="19"/>
      <c r="G15" s="28"/>
    </row>
    <row r="16" spans="1:130" ht="27">
      <c r="A16" s="28" t="s">
        <v>2588</v>
      </c>
      <c r="B16" s="28"/>
      <c r="C16" s="28"/>
      <c r="D16" s="35" t="s">
        <v>2642</v>
      </c>
      <c r="E16" s="52"/>
      <c r="F16" s="19"/>
      <c r="G16" s="28"/>
    </row>
    <row r="17" spans="1:7" ht="27">
      <c r="A17" s="28" t="s">
        <v>2589</v>
      </c>
      <c r="B17" s="28"/>
      <c r="C17" s="28"/>
      <c r="D17" s="35" t="s">
        <v>2643</v>
      </c>
      <c r="E17" s="52"/>
      <c r="F17" s="19"/>
      <c r="G17" s="28"/>
    </row>
    <row r="18" spans="1:7" ht="27">
      <c r="A18" s="28" t="s">
        <v>2590</v>
      </c>
      <c r="B18" s="28"/>
      <c r="C18" s="28"/>
      <c r="D18" s="35" t="s">
        <v>2644</v>
      </c>
      <c r="E18" s="52"/>
      <c r="F18" s="19"/>
      <c r="G18" s="28"/>
    </row>
    <row r="19" spans="1:7" ht="27">
      <c r="A19" s="28" t="s">
        <v>2591</v>
      </c>
      <c r="B19" s="28"/>
      <c r="C19" s="28"/>
      <c r="D19" s="35" t="s">
        <v>2645</v>
      </c>
      <c r="E19" s="52"/>
      <c r="F19" s="19"/>
      <c r="G19" s="28"/>
    </row>
    <row r="20" spans="1:7" ht="27">
      <c r="A20" s="28" t="s">
        <v>2592</v>
      </c>
      <c r="B20" s="28"/>
      <c r="C20" s="28"/>
      <c r="D20" s="35" t="s">
        <v>2646</v>
      </c>
      <c r="E20" s="52"/>
      <c r="F20" s="19"/>
      <c r="G20" s="28"/>
    </row>
    <row r="21" spans="1:7" ht="27">
      <c r="A21" s="28" t="s">
        <v>2593</v>
      </c>
      <c r="B21" s="28"/>
      <c r="C21" s="28"/>
      <c r="D21" s="35" t="s">
        <v>2647</v>
      </c>
      <c r="E21" s="52"/>
      <c r="F21" s="19"/>
      <c r="G21" s="28"/>
    </row>
    <row r="22" spans="1:7" ht="40.5">
      <c r="A22" s="28" t="s">
        <v>2594</v>
      </c>
      <c r="B22" s="28"/>
      <c r="C22" s="28"/>
      <c r="D22" s="35" t="s">
        <v>2648</v>
      </c>
      <c r="E22" s="52"/>
      <c r="F22" s="19"/>
      <c r="G22" s="28"/>
    </row>
    <row r="23" spans="1:7" ht="27">
      <c r="A23" s="28" t="s">
        <v>2595</v>
      </c>
      <c r="B23" s="28"/>
      <c r="C23" s="28"/>
      <c r="D23" s="35" t="s">
        <v>2649</v>
      </c>
      <c r="E23" s="52"/>
      <c r="F23" s="19"/>
      <c r="G23" s="28"/>
    </row>
    <row r="24" spans="1:7" ht="27">
      <c r="A24" s="28" t="s">
        <v>2596</v>
      </c>
      <c r="B24" s="28"/>
      <c r="C24" s="28"/>
      <c r="D24" s="35" t="s">
        <v>2650</v>
      </c>
      <c r="E24" s="52"/>
      <c r="F24" s="19"/>
      <c r="G24" s="28"/>
    </row>
    <row r="25" spans="1:7" ht="27">
      <c r="A25" s="28" t="s">
        <v>2597</v>
      </c>
      <c r="B25" s="28"/>
      <c r="C25" s="28"/>
      <c r="D25" s="35" t="s">
        <v>2651</v>
      </c>
      <c r="E25" s="52"/>
      <c r="F25" s="19"/>
      <c r="G25" s="28"/>
    </row>
    <row r="26" spans="1:7" ht="27">
      <c r="A26" s="28" t="s">
        <v>2598</v>
      </c>
      <c r="B26" s="28"/>
      <c r="C26" s="28"/>
      <c r="D26" s="35" t="s">
        <v>2652</v>
      </c>
      <c r="E26" s="52"/>
      <c r="F26" s="19"/>
      <c r="G26" s="28"/>
    </row>
    <row r="27" spans="1:7" ht="27">
      <c r="A27" s="28" t="s">
        <v>2599</v>
      </c>
      <c r="B27" s="28"/>
      <c r="C27" s="28"/>
      <c r="D27" s="35" t="s">
        <v>2653</v>
      </c>
      <c r="E27" s="52"/>
      <c r="F27" s="19"/>
      <c r="G27" s="28"/>
    </row>
    <row r="28" spans="1:7" ht="27">
      <c r="A28" s="28" t="s">
        <v>2600</v>
      </c>
      <c r="B28" s="28"/>
      <c r="C28" s="28"/>
      <c r="D28" s="35" t="s">
        <v>2654</v>
      </c>
      <c r="E28" s="52"/>
      <c r="F28" s="19"/>
      <c r="G28" s="28"/>
    </row>
    <row r="29" spans="1:7" ht="27">
      <c r="A29" s="28" t="s">
        <v>2601</v>
      </c>
      <c r="B29" s="28"/>
      <c r="C29" s="28"/>
      <c r="D29" s="35" t="s">
        <v>2655</v>
      </c>
      <c r="E29" s="52"/>
      <c r="F29" s="19"/>
      <c r="G29" s="28"/>
    </row>
    <row r="30" spans="1:7" ht="27">
      <c r="A30" s="28" t="s">
        <v>2602</v>
      </c>
      <c r="B30" s="28"/>
      <c r="C30" s="28"/>
      <c r="D30" s="35" t="s">
        <v>2656</v>
      </c>
      <c r="E30" s="52"/>
      <c r="F30" s="19"/>
      <c r="G30" s="28"/>
    </row>
    <row r="31" spans="1:7" ht="27">
      <c r="A31" s="28" t="s">
        <v>2603</v>
      </c>
      <c r="B31" s="28"/>
      <c r="C31" s="28"/>
      <c r="D31" s="35" t="s">
        <v>2657</v>
      </c>
      <c r="E31" s="52"/>
      <c r="F31" s="19"/>
      <c r="G31" s="28"/>
    </row>
    <row r="32" spans="1:7" ht="27">
      <c r="A32" s="28" t="s">
        <v>2604</v>
      </c>
      <c r="B32" s="28"/>
      <c r="C32" s="28"/>
      <c r="D32" s="35" t="s">
        <v>2658</v>
      </c>
      <c r="E32" s="52"/>
      <c r="F32" s="19"/>
      <c r="G32" s="28"/>
    </row>
    <row r="33" spans="1:7" ht="27">
      <c r="A33" s="28" t="s">
        <v>2605</v>
      </c>
      <c r="B33" s="28"/>
      <c r="C33" s="28"/>
      <c r="D33" s="35" t="s">
        <v>2659</v>
      </c>
      <c r="E33" s="52"/>
      <c r="F33" s="19"/>
      <c r="G33" s="28"/>
    </row>
    <row r="34" spans="1:7" ht="27">
      <c r="A34" s="28" t="s">
        <v>2606</v>
      </c>
      <c r="B34" s="28"/>
      <c r="C34" s="28"/>
      <c r="D34" s="35" t="s">
        <v>2660</v>
      </c>
      <c r="E34" s="52"/>
      <c r="F34" s="19"/>
      <c r="G34" s="28"/>
    </row>
    <row r="35" spans="1:7" ht="27">
      <c r="A35" s="28" t="s">
        <v>2607</v>
      </c>
      <c r="B35" s="28"/>
      <c r="C35" s="28"/>
      <c r="D35" s="35" t="s">
        <v>2661</v>
      </c>
      <c r="E35" s="52"/>
      <c r="F35" s="19"/>
      <c r="G35" s="28"/>
    </row>
    <row r="36" spans="1:7">
      <c r="A36" s="28" t="s">
        <v>2608</v>
      </c>
      <c r="B36" s="28"/>
      <c r="C36" s="28"/>
      <c r="D36" s="35" t="s">
        <v>2662</v>
      </c>
      <c r="E36" s="52"/>
      <c r="F36" s="19"/>
      <c r="G36" s="28"/>
    </row>
    <row r="37" spans="1:7" ht="27">
      <c r="A37" s="28" t="s">
        <v>2609</v>
      </c>
      <c r="B37" s="28"/>
      <c r="C37" s="28"/>
      <c r="D37" s="35" t="s">
        <v>2663</v>
      </c>
      <c r="E37" s="52"/>
      <c r="F37" s="19"/>
      <c r="G37" s="28"/>
    </row>
    <row r="38" spans="1:7" ht="27">
      <c r="A38" s="28" t="s">
        <v>2610</v>
      </c>
      <c r="B38" s="28"/>
      <c r="C38" s="28"/>
      <c r="D38" s="35" t="s">
        <v>2664</v>
      </c>
      <c r="E38" s="52"/>
      <c r="F38" s="19"/>
      <c r="G38" s="28"/>
    </row>
    <row r="39" spans="1:7" ht="27">
      <c r="A39" s="28" t="s">
        <v>2611</v>
      </c>
      <c r="B39" s="28"/>
      <c r="C39" s="28"/>
      <c r="D39" s="35" t="s">
        <v>2665</v>
      </c>
      <c r="E39" s="52"/>
      <c r="F39" s="19"/>
      <c r="G39" s="28"/>
    </row>
    <row r="40" spans="1:7">
      <c r="A40" s="28" t="s">
        <v>2612</v>
      </c>
      <c r="B40" s="28"/>
      <c r="C40" s="28"/>
      <c r="D40" s="35" t="s">
        <v>2666</v>
      </c>
      <c r="E40" s="52"/>
      <c r="F40" s="19"/>
      <c r="G40" s="28"/>
    </row>
    <row r="41" spans="1:7" ht="27">
      <c r="A41" s="28" t="s">
        <v>2613</v>
      </c>
      <c r="B41" s="28"/>
      <c r="C41" s="28"/>
      <c r="D41" s="35" t="s">
        <v>2667</v>
      </c>
      <c r="E41" s="52"/>
      <c r="F41" s="19"/>
      <c r="G41" s="28"/>
    </row>
    <row r="42" spans="1:7" ht="27">
      <c r="A42" s="28" t="s">
        <v>2614</v>
      </c>
      <c r="B42" s="28"/>
      <c r="C42" s="28"/>
      <c r="D42" s="35" t="s">
        <v>2668</v>
      </c>
      <c r="E42" s="52"/>
      <c r="F42" s="19"/>
      <c r="G42" s="28"/>
    </row>
    <row r="43" spans="1:7">
      <c r="A43" s="28" t="s">
        <v>2615</v>
      </c>
      <c r="B43" s="28"/>
      <c r="C43" s="28"/>
      <c r="D43" s="35" t="s">
        <v>2669</v>
      </c>
      <c r="E43" s="52"/>
      <c r="F43" s="19"/>
      <c r="G43" s="28"/>
    </row>
    <row r="44" spans="1:7" ht="27">
      <c r="A44" s="28" t="s">
        <v>2616</v>
      </c>
      <c r="B44" s="28"/>
      <c r="C44" s="28"/>
      <c r="D44" s="35" t="s">
        <v>2670</v>
      </c>
      <c r="E44" s="52"/>
      <c r="F44" s="19"/>
      <c r="G44" s="28"/>
    </row>
    <row r="45" spans="1:7" ht="27">
      <c r="A45" s="28" t="s">
        <v>2617</v>
      </c>
      <c r="B45" s="28"/>
      <c r="C45" s="28"/>
      <c r="D45" s="35" t="s">
        <v>2671</v>
      </c>
      <c r="E45" s="52"/>
      <c r="F45" s="19"/>
      <c r="G45" s="28"/>
    </row>
    <row r="46" spans="1:7" ht="27">
      <c r="A46" s="28" t="s">
        <v>2618</v>
      </c>
      <c r="B46" s="28"/>
      <c r="C46" s="28"/>
      <c r="D46" s="35" t="s">
        <v>2672</v>
      </c>
      <c r="E46" s="52"/>
      <c r="F46" s="19"/>
      <c r="G46" s="28"/>
    </row>
    <row r="47" spans="1:7" ht="27">
      <c r="A47" s="28" t="s">
        <v>2619</v>
      </c>
      <c r="B47" s="28"/>
      <c r="C47" s="28"/>
      <c r="D47" s="35" t="s">
        <v>2673</v>
      </c>
      <c r="E47" s="52"/>
      <c r="F47" s="19"/>
      <c r="G47" s="28"/>
    </row>
    <row r="48" spans="1:7" ht="40.5">
      <c r="A48" s="28" t="s">
        <v>2620</v>
      </c>
      <c r="B48" s="28"/>
      <c r="C48" s="28"/>
      <c r="D48" s="35" t="s">
        <v>2674</v>
      </c>
      <c r="E48" s="52"/>
      <c r="F48" s="19"/>
      <c r="G48" s="28"/>
    </row>
    <row r="49" spans="1:7">
      <c r="A49" s="28" t="s">
        <v>2621</v>
      </c>
      <c r="B49" s="28"/>
      <c r="C49" s="28"/>
      <c r="D49" s="35" t="s">
        <v>2675</v>
      </c>
      <c r="E49" s="52"/>
      <c r="F49" s="19"/>
      <c r="G49" s="28"/>
    </row>
    <row r="50" spans="1:7" ht="27">
      <c r="A50" s="28" t="s">
        <v>2622</v>
      </c>
      <c r="B50" s="28"/>
      <c r="C50" s="28"/>
      <c r="D50" s="35" t="s">
        <v>2676</v>
      </c>
      <c r="E50" s="52"/>
      <c r="F50" s="19"/>
      <c r="G50" s="28"/>
    </row>
    <row r="51" spans="1:7" ht="40.5">
      <c r="A51" s="28" t="s">
        <v>2623</v>
      </c>
      <c r="B51" s="28"/>
      <c r="C51" s="28"/>
      <c r="D51" s="35" t="s">
        <v>2677</v>
      </c>
      <c r="E51" s="52"/>
      <c r="F51" s="19"/>
      <c r="G51" s="28"/>
    </row>
    <row r="52" spans="1:7" ht="27">
      <c r="A52" s="28" t="s">
        <v>2624</v>
      </c>
      <c r="B52" s="28"/>
      <c r="C52" s="28"/>
      <c r="D52" s="35" t="s">
        <v>2678</v>
      </c>
      <c r="E52" s="52"/>
      <c r="F52" s="19"/>
      <c r="G52" s="28"/>
    </row>
    <row r="53" spans="1:7" ht="27">
      <c r="A53" s="28" t="s">
        <v>2625</v>
      </c>
      <c r="B53" s="28"/>
      <c r="C53" s="28"/>
      <c r="D53" s="35" t="s">
        <v>2679</v>
      </c>
      <c r="E53" s="52"/>
      <c r="F53" s="19"/>
      <c r="G53" s="28"/>
    </row>
    <row r="54" spans="1:7" ht="27">
      <c r="A54" s="28" t="s">
        <v>2626</v>
      </c>
      <c r="B54" s="28"/>
      <c r="C54" s="28"/>
      <c r="D54" s="35" t="s">
        <v>2680</v>
      </c>
      <c r="E54" s="52"/>
      <c r="F54" s="19"/>
      <c r="G54" s="28"/>
    </row>
    <row r="55" spans="1:7" ht="27">
      <c r="A55" s="28" t="s">
        <v>2627</v>
      </c>
      <c r="B55" s="28"/>
      <c r="C55" s="28"/>
      <c r="D55" s="35" t="s">
        <v>2681</v>
      </c>
      <c r="E55" s="52"/>
      <c r="F55" s="19"/>
      <c r="G55" s="28"/>
    </row>
    <row r="56" spans="1:7" ht="27">
      <c r="A56" s="28" t="s">
        <v>2628</v>
      </c>
      <c r="B56" s="28"/>
      <c r="C56" s="28"/>
      <c r="D56" s="35" t="s">
        <v>2682</v>
      </c>
      <c r="E56" s="52"/>
      <c r="F56" s="19"/>
      <c r="G56" s="28"/>
    </row>
    <row r="57" spans="1:7" ht="27">
      <c r="A57" s="28" t="s">
        <v>2629</v>
      </c>
      <c r="B57" s="28"/>
      <c r="C57" s="28"/>
      <c r="D57" s="35" t="s">
        <v>2683</v>
      </c>
      <c r="E57" s="52"/>
      <c r="F57" s="19"/>
      <c r="G57" s="28"/>
    </row>
    <row r="58" spans="1:7" ht="27">
      <c r="A58" s="28" t="s">
        <v>2630</v>
      </c>
      <c r="B58" s="28"/>
      <c r="C58" s="28"/>
      <c r="D58" s="35" t="s">
        <v>2684</v>
      </c>
      <c r="E58" s="52"/>
      <c r="F58" s="19"/>
      <c r="G58" s="28"/>
    </row>
    <row r="59" spans="1:7" ht="27">
      <c r="A59" s="28" t="s">
        <v>2631</v>
      </c>
      <c r="B59" s="28"/>
      <c r="C59" s="28"/>
      <c r="D59" s="35" t="s">
        <v>2685</v>
      </c>
      <c r="E59" s="52"/>
      <c r="F59" s="19"/>
      <c r="G59" s="28"/>
    </row>
    <row r="60" spans="1:7" ht="27">
      <c r="A60" s="28" t="s">
        <v>2632</v>
      </c>
      <c r="B60" s="28"/>
      <c r="C60" s="28"/>
      <c r="D60" s="35" t="s">
        <v>2686</v>
      </c>
      <c r="E60" s="52"/>
      <c r="F60" s="19"/>
      <c r="G60" s="28"/>
    </row>
    <row r="61" spans="1:7" ht="27">
      <c r="A61" s="28" t="s">
        <v>2633</v>
      </c>
      <c r="B61" s="28"/>
      <c r="C61" s="28"/>
      <c r="D61" s="35" t="s">
        <v>2687</v>
      </c>
      <c r="E61" s="52"/>
      <c r="F61" s="19"/>
      <c r="G61" s="28"/>
    </row>
    <row r="62" spans="1:7" ht="27">
      <c r="A62" s="28" t="s">
        <v>2634</v>
      </c>
      <c r="B62" s="28"/>
      <c r="C62" s="28"/>
      <c r="D62" s="35" t="s">
        <v>2688</v>
      </c>
      <c r="E62" s="52"/>
      <c r="F62" s="19"/>
      <c r="G62" s="28"/>
    </row>
    <row r="63" spans="1:7">
      <c r="A63" s="28" t="s">
        <v>2635</v>
      </c>
      <c r="B63" s="28"/>
      <c r="C63" s="28"/>
      <c r="D63" s="35" t="s">
        <v>2689</v>
      </c>
      <c r="E63" s="52"/>
      <c r="F63" s="19"/>
      <c r="G63" s="28"/>
    </row>
    <row r="64" spans="1:7" ht="40.5">
      <c r="A64" s="28" t="s">
        <v>2636</v>
      </c>
      <c r="B64" s="28"/>
      <c r="C64" s="28"/>
      <c r="D64" s="35" t="s">
        <v>2690</v>
      </c>
      <c r="E64" s="52"/>
      <c r="F64" s="19"/>
      <c r="G64" s="28"/>
    </row>
    <row r="65" spans="1:7" hidden="1">
      <c r="A65" s="28"/>
      <c r="B65" s="28"/>
      <c r="C65" s="28" t="s">
        <v>509</v>
      </c>
      <c r="D65" s="19"/>
      <c r="E65" s="19"/>
      <c r="F65" s="19"/>
      <c r="G65" s="28"/>
    </row>
    <row r="66" spans="1:7" hidden="1">
      <c r="A66" s="28"/>
      <c r="B66" s="28"/>
      <c r="C66" s="28" t="s">
        <v>512</v>
      </c>
      <c r="D66" s="28"/>
      <c r="E66" s="28"/>
      <c r="F66" s="28"/>
      <c r="G66" s="28" t="s">
        <v>513</v>
      </c>
    </row>
  </sheetData>
  <sheetProtection algorithmName="SHA-1" hashValue="xumtPhC3lnS69Bpg9E9aepxbfb4=" saltValue="fC+CSsNbytpZnPHwqnGcvg=="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23608"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3608" r:id="rId3" name="LegendBtn"/>
      </mc:Fallback>
    </mc:AlternateContent>
    <mc:AlternateContent xmlns:mc="http://schemas.openxmlformats.org/markup-compatibility/2006">
      <mc:Choice Requires="x14">
        <control shapeId="23607"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3607" r:id="rId5" name="HelpBtn"/>
      </mc:Fallback>
    </mc:AlternateContent>
    <mc:AlternateContent xmlns:mc="http://schemas.openxmlformats.org/markup-compatibility/2006">
      <mc:Choice Requires="x14">
        <control shapeId="23606"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3606" r:id="rId7" name="ToolboxBtn"/>
      </mc:Fallback>
    </mc:AlternateContent>
    <mc:AlternateContent xmlns:mc="http://schemas.openxmlformats.org/markup-compatibility/2006">
      <mc:Choice Requires="x14">
        <control shapeId="23605"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3605" r:id="rId9" name="HomeBtn"/>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1954-D3ED-4F55-AFA2-7766916A29A3}">
  <sheetPr codeName="Sheet18"/>
  <dimension ref="A1:DZ150"/>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5" width="22.7265625" customWidth="1"/>
  </cols>
  <sheetData>
    <row r="1" spans="1:130" ht="60" customHeight="1">
      <c r="A1" s="26" t="s">
        <v>2693</v>
      </c>
      <c r="B1" s="19"/>
      <c r="C1" s="19"/>
      <c r="D1" s="19"/>
      <c r="E1" s="19"/>
      <c r="F1" s="19"/>
      <c r="G1" s="19"/>
    </row>
    <row r="2" spans="1:130" ht="25.15" customHeight="1">
      <c r="A2" s="39"/>
      <c r="B2" s="39"/>
      <c r="C2" s="39"/>
      <c r="D2" s="41" t="s">
        <v>2973</v>
      </c>
      <c r="E2" s="39"/>
      <c r="F2" s="39"/>
      <c r="G2" s="39"/>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row>
    <row r="4" spans="1:130" hidden="1">
      <c r="A4" s="19"/>
      <c r="B4" s="19"/>
      <c r="C4" s="19"/>
      <c r="D4" s="19"/>
      <c r="E4" s="19"/>
      <c r="F4" s="19"/>
      <c r="G4" s="19"/>
    </row>
    <row r="5" spans="1:130" ht="15" hidden="1" customHeight="1">
      <c r="A5" s="28"/>
      <c r="B5" s="28"/>
      <c r="C5" s="29" t="s">
        <v>2694</v>
      </c>
      <c r="D5" s="28"/>
      <c r="E5" s="28"/>
      <c r="F5" s="28"/>
      <c r="G5" s="28"/>
    </row>
    <row r="6" spans="1:130" hidden="1">
      <c r="A6" s="28"/>
      <c r="B6" s="28"/>
      <c r="C6" s="28"/>
      <c r="D6" s="28"/>
      <c r="E6" s="28"/>
      <c r="F6" s="28"/>
      <c r="G6" s="28"/>
    </row>
    <row r="7" spans="1:130" hidden="1">
      <c r="A7" s="28"/>
      <c r="B7" s="28"/>
      <c r="C7" s="28"/>
      <c r="D7" s="28"/>
      <c r="E7" s="28"/>
      <c r="F7" s="28"/>
      <c r="G7" s="28"/>
    </row>
    <row r="8" spans="1:130" hidden="1">
      <c r="A8" s="28"/>
      <c r="B8" s="28"/>
      <c r="C8" s="28" t="s">
        <v>510</v>
      </c>
      <c r="D8" s="28" t="s">
        <v>508</v>
      </c>
      <c r="E8" s="28"/>
      <c r="F8" s="28" t="s">
        <v>509</v>
      </c>
      <c r="G8" s="28" t="s">
        <v>511</v>
      </c>
    </row>
    <row r="9" spans="1:130">
      <c r="A9" s="28"/>
      <c r="B9" s="28"/>
      <c r="C9" s="28" t="s">
        <v>509</v>
      </c>
      <c r="D9" s="30"/>
      <c r="E9" s="19"/>
      <c r="F9" s="19"/>
      <c r="G9" s="28"/>
    </row>
    <row r="10" spans="1:130" ht="27">
      <c r="A10" s="28" t="s">
        <v>2695</v>
      </c>
      <c r="B10" s="28"/>
      <c r="C10" s="28"/>
      <c r="D10" s="31" t="s">
        <v>2834</v>
      </c>
      <c r="E10" s="31"/>
      <c r="F10" s="19"/>
      <c r="G10" s="28"/>
    </row>
    <row r="11" spans="1:130" ht="27">
      <c r="A11" s="28" t="s">
        <v>2696</v>
      </c>
      <c r="B11" s="28"/>
      <c r="C11" s="28"/>
      <c r="D11" s="53" t="s">
        <v>2835</v>
      </c>
      <c r="E11" s="52"/>
      <c r="F11" s="19"/>
      <c r="G11" s="28"/>
    </row>
    <row r="12" spans="1:130">
      <c r="A12" s="28" t="s">
        <v>2697</v>
      </c>
      <c r="B12" s="28"/>
      <c r="C12" s="28"/>
      <c r="D12" s="53" t="s">
        <v>2836</v>
      </c>
      <c r="E12" s="52"/>
      <c r="F12" s="19"/>
      <c r="G12" s="28"/>
    </row>
    <row r="13" spans="1:130">
      <c r="A13" s="28" t="s">
        <v>2698</v>
      </c>
      <c r="B13" s="28"/>
      <c r="C13" s="28"/>
      <c r="D13" s="53" t="s">
        <v>2837</v>
      </c>
      <c r="E13" s="52"/>
      <c r="F13" s="19"/>
      <c r="G13" s="28"/>
    </row>
    <row r="14" spans="1:130" ht="27">
      <c r="A14" s="28" t="s">
        <v>2699</v>
      </c>
      <c r="B14" s="28"/>
      <c r="C14" s="28"/>
      <c r="D14" s="53" t="s">
        <v>2838</v>
      </c>
      <c r="E14" s="52"/>
      <c r="F14" s="19"/>
      <c r="G14" s="28"/>
    </row>
    <row r="15" spans="1:130">
      <c r="A15" s="28" t="s">
        <v>2700</v>
      </c>
      <c r="B15" s="28"/>
      <c r="C15" s="28"/>
      <c r="D15" s="53" t="s">
        <v>2839</v>
      </c>
      <c r="E15" s="52"/>
      <c r="F15" s="19"/>
      <c r="G15" s="28"/>
    </row>
    <row r="16" spans="1:130">
      <c r="A16" s="28" t="s">
        <v>2701</v>
      </c>
      <c r="B16" s="28"/>
      <c r="C16" s="28"/>
      <c r="D16" s="53" t="s">
        <v>2840</v>
      </c>
      <c r="E16" s="52"/>
      <c r="F16" s="19"/>
      <c r="G16" s="28"/>
    </row>
    <row r="17" spans="1:7" ht="27">
      <c r="A17" s="28" t="s">
        <v>2702</v>
      </c>
      <c r="B17" s="28"/>
      <c r="C17" s="28"/>
      <c r="D17" s="53" t="s">
        <v>2841</v>
      </c>
      <c r="E17" s="52"/>
      <c r="F17" s="19"/>
      <c r="G17" s="28"/>
    </row>
    <row r="18" spans="1:7">
      <c r="A18" s="28" t="s">
        <v>2703</v>
      </c>
      <c r="B18" s="28"/>
      <c r="C18" s="28"/>
      <c r="D18" s="53" t="s">
        <v>2842</v>
      </c>
      <c r="E18" s="52"/>
      <c r="F18" s="19"/>
      <c r="G18" s="28"/>
    </row>
    <row r="19" spans="1:7">
      <c r="A19" s="28" t="s">
        <v>2704</v>
      </c>
      <c r="B19" s="28"/>
      <c r="C19" s="28"/>
      <c r="D19" s="53" t="s">
        <v>2843</v>
      </c>
      <c r="E19" s="52"/>
      <c r="F19" s="19"/>
      <c r="G19" s="28"/>
    </row>
    <row r="20" spans="1:7">
      <c r="A20" s="28" t="s">
        <v>2705</v>
      </c>
      <c r="B20" s="28"/>
      <c r="C20" s="28"/>
      <c r="D20" s="53" t="s">
        <v>2844</v>
      </c>
      <c r="E20" s="52"/>
      <c r="F20" s="19"/>
      <c r="G20" s="28"/>
    </row>
    <row r="21" spans="1:7">
      <c r="A21" s="28" t="s">
        <v>2706</v>
      </c>
      <c r="B21" s="28"/>
      <c r="C21" s="28"/>
      <c r="D21" s="53" t="s">
        <v>2845</v>
      </c>
      <c r="E21" s="52"/>
      <c r="F21" s="19"/>
      <c r="G21" s="28"/>
    </row>
    <row r="22" spans="1:7">
      <c r="A22" s="28" t="s">
        <v>2707</v>
      </c>
      <c r="B22" s="28"/>
      <c r="C22" s="28"/>
      <c r="D22" s="53" t="s">
        <v>2846</v>
      </c>
      <c r="E22" s="52"/>
      <c r="F22" s="19"/>
      <c r="G22" s="28"/>
    </row>
    <row r="23" spans="1:7">
      <c r="A23" s="28" t="s">
        <v>2708</v>
      </c>
      <c r="B23" s="28"/>
      <c r="C23" s="28"/>
      <c r="D23" s="53" t="s">
        <v>2847</v>
      </c>
      <c r="E23" s="52"/>
      <c r="F23" s="19"/>
      <c r="G23" s="28"/>
    </row>
    <row r="24" spans="1:7" ht="27">
      <c r="A24" s="28" t="s">
        <v>2709</v>
      </c>
      <c r="B24" s="28"/>
      <c r="C24" s="28"/>
      <c r="D24" s="53" t="s">
        <v>2848</v>
      </c>
      <c r="E24" s="52"/>
      <c r="F24" s="19"/>
      <c r="G24" s="28"/>
    </row>
    <row r="25" spans="1:7">
      <c r="A25" s="28" t="s">
        <v>2710</v>
      </c>
      <c r="B25" s="28"/>
      <c r="C25" s="28"/>
      <c r="D25" s="53" t="s">
        <v>2849</v>
      </c>
      <c r="E25" s="52"/>
      <c r="F25" s="19"/>
      <c r="G25" s="28"/>
    </row>
    <row r="26" spans="1:7">
      <c r="A26" s="28" t="s">
        <v>2711</v>
      </c>
      <c r="B26" s="28"/>
      <c r="C26" s="28"/>
      <c r="D26" s="53" t="s">
        <v>2850</v>
      </c>
      <c r="E26" s="52"/>
      <c r="F26" s="19"/>
      <c r="G26" s="28"/>
    </row>
    <row r="27" spans="1:7" ht="27">
      <c r="A27" s="28" t="s">
        <v>2712</v>
      </c>
      <c r="B27" s="28"/>
      <c r="C27" s="28"/>
      <c r="D27" s="53" t="s">
        <v>2851</v>
      </c>
      <c r="E27" s="52"/>
      <c r="F27" s="19"/>
      <c r="G27" s="28"/>
    </row>
    <row r="28" spans="1:7" ht="27">
      <c r="A28" s="28" t="s">
        <v>2713</v>
      </c>
      <c r="B28" s="28"/>
      <c r="C28" s="28"/>
      <c r="D28" s="53" t="s">
        <v>2852</v>
      </c>
      <c r="E28" s="52"/>
      <c r="F28" s="19"/>
      <c r="G28" s="28"/>
    </row>
    <row r="29" spans="1:7">
      <c r="A29" s="28" t="s">
        <v>2714</v>
      </c>
      <c r="B29" s="28"/>
      <c r="C29" s="28"/>
      <c r="D29" s="53" t="s">
        <v>2853</v>
      </c>
      <c r="E29" s="52"/>
      <c r="F29" s="19"/>
      <c r="G29" s="28"/>
    </row>
    <row r="30" spans="1:7">
      <c r="A30" s="28" t="s">
        <v>2715</v>
      </c>
      <c r="B30" s="28"/>
      <c r="C30" s="28"/>
      <c r="D30" s="53" t="s">
        <v>2854</v>
      </c>
      <c r="E30" s="52"/>
      <c r="F30" s="19"/>
      <c r="G30" s="28"/>
    </row>
    <row r="31" spans="1:7">
      <c r="A31" s="28" t="s">
        <v>2716</v>
      </c>
      <c r="B31" s="28"/>
      <c r="C31" s="28"/>
      <c r="D31" s="53" t="s">
        <v>2855</v>
      </c>
      <c r="E31" s="52"/>
      <c r="F31" s="19"/>
      <c r="G31" s="28"/>
    </row>
    <row r="32" spans="1:7">
      <c r="A32" s="28" t="s">
        <v>2717</v>
      </c>
      <c r="B32" s="28"/>
      <c r="C32" s="28"/>
      <c r="D32" s="53" t="s">
        <v>2856</v>
      </c>
      <c r="E32" s="52"/>
      <c r="F32" s="19"/>
      <c r="G32" s="28"/>
    </row>
    <row r="33" spans="1:7">
      <c r="A33" s="28" t="s">
        <v>2718</v>
      </c>
      <c r="B33" s="28"/>
      <c r="C33" s="28"/>
      <c r="D33" s="53" t="s">
        <v>2857</v>
      </c>
      <c r="E33" s="52"/>
      <c r="F33" s="19"/>
      <c r="G33" s="28"/>
    </row>
    <row r="34" spans="1:7" ht="27">
      <c r="A34" s="28" t="s">
        <v>2719</v>
      </c>
      <c r="B34" s="28"/>
      <c r="C34" s="28"/>
      <c r="D34" s="53" t="s">
        <v>2858</v>
      </c>
      <c r="E34" s="52"/>
      <c r="F34" s="19"/>
      <c r="G34" s="28"/>
    </row>
    <row r="35" spans="1:7">
      <c r="A35" s="28" t="s">
        <v>2720</v>
      </c>
      <c r="B35" s="28"/>
      <c r="C35" s="28"/>
      <c r="D35" s="53" t="s">
        <v>2859</v>
      </c>
      <c r="E35" s="52"/>
      <c r="F35" s="19"/>
      <c r="G35" s="28"/>
    </row>
    <row r="36" spans="1:7">
      <c r="A36" s="28" t="s">
        <v>2721</v>
      </c>
      <c r="B36" s="28"/>
      <c r="C36" s="28"/>
      <c r="D36" s="53" t="s">
        <v>2860</v>
      </c>
      <c r="E36" s="52"/>
      <c r="F36" s="19"/>
      <c r="G36" s="28"/>
    </row>
    <row r="37" spans="1:7">
      <c r="A37" s="28" t="s">
        <v>2722</v>
      </c>
      <c r="B37" s="28"/>
      <c r="C37" s="28"/>
      <c r="D37" s="53" t="s">
        <v>2861</v>
      </c>
      <c r="E37" s="52"/>
      <c r="F37" s="19"/>
      <c r="G37" s="28"/>
    </row>
    <row r="38" spans="1:7" ht="27">
      <c r="A38" s="28" t="s">
        <v>2723</v>
      </c>
      <c r="B38" s="28"/>
      <c r="C38" s="28"/>
      <c r="D38" s="53" t="s">
        <v>2862</v>
      </c>
      <c r="E38" s="52"/>
      <c r="F38" s="19"/>
      <c r="G38" s="28"/>
    </row>
    <row r="39" spans="1:7">
      <c r="A39" s="28" t="s">
        <v>2724</v>
      </c>
      <c r="B39" s="28"/>
      <c r="C39" s="28"/>
      <c r="D39" s="53" t="s">
        <v>2863</v>
      </c>
      <c r="E39" s="52"/>
      <c r="F39" s="19"/>
      <c r="G39" s="28"/>
    </row>
    <row r="40" spans="1:7">
      <c r="A40" s="28" t="s">
        <v>2725</v>
      </c>
      <c r="B40" s="28"/>
      <c r="C40" s="28"/>
      <c r="D40" s="53" t="s">
        <v>2864</v>
      </c>
      <c r="E40" s="52"/>
      <c r="F40" s="19"/>
      <c r="G40" s="28"/>
    </row>
    <row r="41" spans="1:7">
      <c r="A41" s="28" t="s">
        <v>2726</v>
      </c>
      <c r="B41" s="28"/>
      <c r="C41" s="28"/>
      <c r="D41" s="53" t="s">
        <v>2865</v>
      </c>
      <c r="E41" s="52"/>
      <c r="F41" s="19"/>
      <c r="G41" s="28"/>
    </row>
    <row r="42" spans="1:7">
      <c r="A42" s="28" t="s">
        <v>2727</v>
      </c>
      <c r="B42" s="28"/>
      <c r="C42" s="28"/>
      <c r="D42" s="53" t="s">
        <v>2866</v>
      </c>
      <c r="E42" s="52"/>
      <c r="F42" s="19"/>
      <c r="G42" s="28"/>
    </row>
    <row r="43" spans="1:7" ht="27">
      <c r="A43" s="28" t="s">
        <v>2728</v>
      </c>
      <c r="B43" s="28"/>
      <c r="C43" s="28"/>
      <c r="D43" s="53" t="s">
        <v>2867</v>
      </c>
      <c r="E43" s="52"/>
      <c r="F43" s="19"/>
      <c r="G43" s="28"/>
    </row>
    <row r="44" spans="1:7">
      <c r="A44" s="28" t="s">
        <v>2729</v>
      </c>
      <c r="B44" s="28"/>
      <c r="C44" s="28"/>
      <c r="D44" s="53" t="s">
        <v>2868</v>
      </c>
      <c r="E44" s="52"/>
      <c r="F44" s="19"/>
      <c r="G44" s="28"/>
    </row>
    <row r="45" spans="1:7">
      <c r="A45" s="28" t="s">
        <v>2730</v>
      </c>
      <c r="B45" s="28"/>
      <c r="C45" s="28"/>
      <c r="D45" s="53" t="s">
        <v>2869</v>
      </c>
      <c r="E45" s="52"/>
      <c r="F45" s="19"/>
      <c r="G45" s="28"/>
    </row>
    <row r="46" spans="1:7">
      <c r="A46" s="28" t="s">
        <v>2731</v>
      </c>
      <c r="B46" s="28"/>
      <c r="C46" s="28"/>
      <c r="D46" s="53" t="s">
        <v>2870</v>
      </c>
      <c r="E46" s="52"/>
      <c r="F46" s="19"/>
      <c r="G46" s="28"/>
    </row>
    <row r="47" spans="1:7">
      <c r="A47" s="28" t="s">
        <v>2732</v>
      </c>
      <c r="B47" s="28"/>
      <c r="C47" s="28"/>
      <c r="D47" s="53" t="s">
        <v>2871</v>
      </c>
      <c r="E47" s="52"/>
      <c r="F47" s="19"/>
      <c r="G47" s="28"/>
    </row>
    <row r="48" spans="1:7">
      <c r="A48" s="28" t="s">
        <v>2733</v>
      </c>
      <c r="B48" s="28"/>
      <c r="C48" s="28"/>
      <c r="D48" s="53" t="s">
        <v>2872</v>
      </c>
      <c r="E48" s="52"/>
      <c r="F48" s="19"/>
      <c r="G48" s="28"/>
    </row>
    <row r="49" spans="1:7">
      <c r="A49" s="28" t="s">
        <v>2734</v>
      </c>
      <c r="B49" s="28"/>
      <c r="C49" s="28"/>
      <c r="D49" s="53" t="s">
        <v>2873</v>
      </c>
      <c r="E49" s="52"/>
      <c r="F49" s="19"/>
      <c r="G49" s="28"/>
    </row>
    <row r="50" spans="1:7" ht="27">
      <c r="A50" s="28" t="s">
        <v>2735</v>
      </c>
      <c r="B50" s="28"/>
      <c r="C50" s="28"/>
      <c r="D50" s="53" t="s">
        <v>2874</v>
      </c>
      <c r="E50" s="52"/>
      <c r="F50" s="19"/>
      <c r="G50" s="28"/>
    </row>
    <row r="51" spans="1:7">
      <c r="A51" s="28" t="s">
        <v>2736</v>
      </c>
      <c r="B51" s="28"/>
      <c r="C51" s="28"/>
      <c r="D51" s="53" t="s">
        <v>2875</v>
      </c>
      <c r="E51" s="52"/>
      <c r="F51" s="19"/>
      <c r="G51" s="28"/>
    </row>
    <row r="52" spans="1:7">
      <c r="A52" s="28" t="s">
        <v>2737</v>
      </c>
      <c r="B52" s="28"/>
      <c r="C52" s="28"/>
      <c r="D52" s="53" t="s">
        <v>2876</v>
      </c>
      <c r="E52" s="52"/>
      <c r="F52" s="19"/>
      <c r="G52" s="28"/>
    </row>
    <row r="53" spans="1:7">
      <c r="A53" s="28" t="s">
        <v>2738</v>
      </c>
      <c r="B53" s="28"/>
      <c r="C53" s="28"/>
      <c r="D53" s="53" t="s">
        <v>2877</v>
      </c>
      <c r="E53" s="52"/>
      <c r="F53" s="19"/>
      <c r="G53" s="28"/>
    </row>
    <row r="54" spans="1:7">
      <c r="A54" s="28" t="s">
        <v>2739</v>
      </c>
      <c r="B54" s="28"/>
      <c r="C54" s="28"/>
      <c r="D54" s="53" t="s">
        <v>2878</v>
      </c>
      <c r="E54" s="52"/>
      <c r="F54" s="19"/>
      <c r="G54" s="28"/>
    </row>
    <row r="55" spans="1:7">
      <c r="A55" s="28" t="s">
        <v>2740</v>
      </c>
      <c r="B55" s="28"/>
      <c r="C55" s="28"/>
      <c r="D55" s="53" t="s">
        <v>2879</v>
      </c>
      <c r="E55" s="52"/>
      <c r="F55" s="19"/>
      <c r="G55" s="28"/>
    </row>
    <row r="56" spans="1:7">
      <c r="A56" s="28" t="s">
        <v>2741</v>
      </c>
      <c r="B56" s="28"/>
      <c r="C56" s="28"/>
      <c r="D56" s="53" t="s">
        <v>2880</v>
      </c>
      <c r="E56" s="52"/>
      <c r="F56" s="19"/>
      <c r="G56" s="28"/>
    </row>
    <row r="57" spans="1:7">
      <c r="A57" s="28" t="s">
        <v>2742</v>
      </c>
      <c r="B57" s="28"/>
      <c r="C57" s="28"/>
      <c r="D57" s="53" t="s">
        <v>2881</v>
      </c>
      <c r="E57" s="52"/>
      <c r="F57" s="19"/>
      <c r="G57" s="28"/>
    </row>
    <row r="58" spans="1:7">
      <c r="A58" s="28" t="s">
        <v>2743</v>
      </c>
      <c r="B58" s="28"/>
      <c r="C58" s="28"/>
      <c r="D58" s="53" t="s">
        <v>2882</v>
      </c>
      <c r="E58" s="52"/>
      <c r="F58" s="19"/>
      <c r="G58" s="28"/>
    </row>
    <row r="59" spans="1:7" ht="27">
      <c r="A59" s="28" t="s">
        <v>2744</v>
      </c>
      <c r="B59" s="28"/>
      <c r="C59" s="28"/>
      <c r="D59" s="53" t="s">
        <v>2883</v>
      </c>
      <c r="E59" s="52"/>
      <c r="F59" s="19"/>
      <c r="G59" s="28"/>
    </row>
    <row r="60" spans="1:7" ht="27">
      <c r="A60" s="28" t="s">
        <v>2745</v>
      </c>
      <c r="B60" s="28"/>
      <c r="C60" s="28"/>
      <c r="D60" s="53" t="s">
        <v>2884</v>
      </c>
      <c r="E60" s="52"/>
      <c r="F60" s="19"/>
      <c r="G60" s="28"/>
    </row>
    <row r="61" spans="1:7">
      <c r="A61" s="28" t="s">
        <v>2746</v>
      </c>
      <c r="B61" s="28"/>
      <c r="C61" s="28"/>
      <c r="D61" s="53" t="s">
        <v>2885</v>
      </c>
      <c r="E61" s="52"/>
      <c r="F61" s="19"/>
      <c r="G61" s="28"/>
    </row>
    <row r="62" spans="1:7">
      <c r="A62" s="28" t="s">
        <v>2747</v>
      </c>
      <c r="B62" s="28"/>
      <c r="C62" s="28"/>
      <c r="D62" s="53" t="s">
        <v>2886</v>
      </c>
      <c r="E62" s="52"/>
      <c r="F62" s="19"/>
      <c r="G62" s="28"/>
    </row>
    <row r="63" spans="1:7" ht="27">
      <c r="A63" s="28" t="s">
        <v>2748</v>
      </c>
      <c r="B63" s="28"/>
      <c r="C63" s="28"/>
      <c r="D63" s="53" t="s">
        <v>2887</v>
      </c>
      <c r="E63" s="52"/>
      <c r="F63" s="19"/>
      <c r="G63" s="28"/>
    </row>
    <row r="64" spans="1:7">
      <c r="A64" s="28" t="s">
        <v>2749</v>
      </c>
      <c r="B64" s="28"/>
      <c r="C64" s="28"/>
      <c r="D64" s="53" t="s">
        <v>2888</v>
      </c>
      <c r="E64" s="52"/>
      <c r="F64" s="19"/>
      <c r="G64" s="28"/>
    </row>
    <row r="65" spans="1:7" ht="27">
      <c r="A65" s="28" t="s">
        <v>2750</v>
      </c>
      <c r="B65" s="28"/>
      <c r="C65" s="28"/>
      <c r="D65" s="53" t="s">
        <v>2889</v>
      </c>
      <c r="E65" s="52"/>
      <c r="F65" s="19"/>
      <c r="G65" s="28"/>
    </row>
    <row r="66" spans="1:7">
      <c r="A66" s="28" t="s">
        <v>2751</v>
      </c>
      <c r="B66" s="28"/>
      <c r="C66" s="28"/>
      <c r="D66" s="53" t="s">
        <v>2890</v>
      </c>
      <c r="E66" s="52"/>
      <c r="F66" s="19"/>
      <c r="G66" s="28"/>
    </row>
    <row r="67" spans="1:7" ht="27">
      <c r="A67" s="28" t="s">
        <v>2752</v>
      </c>
      <c r="B67" s="28"/>
      <c r="C67" s="28"/>
      <c r="D67" s="53" t="s">
        <v>2891</v>
      </c>
      <c r="E67" s="52"/>
      <c r="F67" s="19"/>
      <c r="G67" s="28"/>
    </row>
    <row r="68" spans="1:7" ht="27">
      <c r="A68" s="28" t="s">
        <v>2753</v>
      </c>
      <c r="B68" s="28"/>
      <c r="C68" s="28"/>
      <c r="D68" s="53" t="s">
        <v>2892</v>
      </c>
      <c r="E68" s="52"/>
      <c r="F68" s="19"/>
      <c r="G68" s="28"/>
    </row>
    <row r="69" spans="1:7" ht="27">
      <c r="A69" s="28" t="s">
        <v>2754</v>
      </c>
      <c r="B69" s="28"/>
      <c r="C69" s="28"/>
      <c r="D69" s="53" t="s">
        <v>2893</v>
      </c>
      <c r="E69" s="52"/>
      <c r="F69" s="19"/>
      <c r="G69" s="28"/>
    </row>
    <row r="70" spans="1:7">
      <c r="A70" s="28" t="s">
        <v>2755</v>
      </c>
      <c r="B70" s="28"/>
      <c r="C70" s="28"/>
      <c r="D70" s="53" t="s">
        <v>2894</v>
      </c>
      <c r="E70" s="52"/>
      <c r="F70" s="19"/>
      <c r="G70" s="28"/>
    </row>
    <row r="71" spans="1:7">
      <c r="A71" s="28" t="s">
        <v>2756</v>
      </c>
      <c r="B71" s="28"/>
      <c r="C71" s="28"/>
      <c r="D71" s="53" t="s">
        <v>2895</v>
      </c>
      <c r="E71" s="52"/>
      <c r="F71" s="19"/>
      <c r="G71" s="28"/>
    </row>
    <row r="72" spans="1:7" ht="27">
      <c r="A72" s="28" t="s">
        <v>2757</v>
      </c>
      <c r="B72" s="28"/>
      <c r="C72" s="28"/>
      <c r="D72" s="53" t="s">
        <v>2896</v>
      </c>
      <c r="E72" s="52"/>
      <c r="F72" s="19"/>
      <c r="G72" s="28"/>
    </row>
    <row r="73" spans="1:7">
      <c r="A73" s="28" t="s">
        <v>2758</v>
      </c>
      <c r="B73" s="28"/>
      <c r="C73" s="28"/>
      <c r="D73" s="53" t="s">
        <v>2897</v>
      </c>
      <c r="E73" s="52"/>
      <c r="F73" s="19"/>
      <c r="G73" s="28"/>
    </row>
    <row r="74" spans="1:7">
      <c r="A74" s="28" t="s">
        <v>2759</v>
      </c>
      <c r="B74" s="28"/>
      <c r="C74" s="28"/>
      <c r="D74" s="53" t="s">
        <v>2898</v>
      </c>
      <c r="E74" s="52"/>
      <c r="F74" s="19"/>
      <c r="G74" s="28"/>
    </row>
    <row r="75" spans="1:7">
      <c r="A75" s="28" t="s">
        <v>2760</v>
      </c>
      <c r="B75" s="28"/>
      <c r="C75" s="28"/>
      <c r="D75" s="53" t="s">
        <v>2899</v>
      </c>
      <c r="E75" s="52"/>
      <c r="F75" s="19"/>
      <c r="G75" s="28"/>
    </row>
    <row r="76" spans="1:7">
      <c r="A76" s="28" t="s">
        <v>2761</v>
      </c>
      <c r="B76" s="28"/>
      <c r="C76" s="28"/>
      <c r="D76" s="53" t="s">
        <v>2900</v>
      </c>
      <c r="E76" s="52"/>
      <c r="F76" s="19"/>
      <c r="G76" s="28"/>
    </row>
    <row r="77" spans="1:7">
      <c r="A77" s="28" t="s">
        <v>2762</v>
      </c>
      <c r="B77" s="28"/>
      <c r="C77" s="28"/>
      <c r="D77" s="53" t="s">
        <v>2901</v>
      </c>
      <c r="E77" s="52"/>
      <c r="F77" s="19"/>
      <c r="G77" s="28"/>
    </row>
    <row r="78" spans="1:7">
      <c r="A78" s="28" t="s">
        <v>2763</v>
      </c>
      <c r="B78" s="28"/>
      <c r="C78" s="28"/>
      <c r="D78" s="53" t="s">
        <v>2902</v>
      </c>
      <c r="E78" s="52"/>
      <c r="F78" s="19"/>
      <c r="G78" s="28"/>
    </row>
    <row r="79" spans="1:7">
      <c r="A79" s="28" t="s">
        <v>2764</v>
      </c>
      <c r="B79" s="28"/>
      <c r="C79" s="28"/>
      <c r="D79" s="53" t="s">
        <v>2903</v>
      </c>
      <c r="E79" s="52"/>
      <c r="F79" s="19"/>
      <c r="G79" s="28"/>
    </row>
    <row r="80" spans="1:7">
      <c r="A80" s="28" t="s">
        <v>2765</v>
      </c>
      <c r="B80" s="28"/>
      <c r="C80" s="28"/>
      <c r="D80" s="53" t="s">
        <v>2904</v>
      </c>
      <c r="E80" s="52"/>
      <c r="F80" s="19"/>
      <c r="G80" s="28"/>
    </row>
    <row r="81" spans="1:7" ht="27">
      <c r="A81" s="28" t="s">
        <v>2766</v>
      </c>
      <c r="B81" s="28"/>
      <c r="C81" s="28"/>
      <c r="D81" s="53" t="s">
        <v>2905</v>
      </c>
      <c r="E81" s="52"/>
      <c r="F81" s="19"/>
      <c r="G81" s="28"/>
    </row>
    <row r="82" spans="1:7">
      <c r="A82" s="28" t="s">
        <v>2767</v>
      </c>
      <c r="B82" s="28"/>
      <c r="C82" s="28"/>
      <c r="D82" s="53" t="s">
        <v>2906</v>
      </c>
      <c r="E82" s="52"/>
      <c r="F82" s="19"/>
      <c r="G82" s="28"/>
    </row>
    <row r="83" spans="1:7">
      <c r="A83" s="28" t="s">
        <v>2768</v>
      </c>
      <c r="B83" s="28"/>
      <c r="C83" s="28"/>
      <c r="D83" s="53" t="s">
        <v>2907</v>
      </c>
      <c r="E83" s="52"/>
      <c r="F83" s="19"/>
      <c r="G83" s="28"/>
    </row>
    <row r="84" spans="1:7">
      <c r="A84" s="28" t="s">
        <v>2769</v>
      </c>
      <c r="B84" s="28"/>
      <c r="C84" s="28"/>
      <c r="D84" s="53" t="s">
        <v>2908</v>
      </c>
      <c r="E84" s="52"/>
      <c r="F84" s="19"/>
      <c r="G84" s="28"/>
    </row>
    <row r="85" spans="1:7">
      <c r="A85" s="28" t="s">
        <v>2770</v>
      </c>
      <c r="B85" s="28"/>
      <c r="C85" s="28"/>
      <c r="D85" s="53" t="s">
        <v>2909</v>
      </c>
      <c r="E85" s="52"/>
      <c r="F85" s="19"/>
      <c r="G85" s="28"/>
    </row>
    <row r="86" spans="1:7">
      <c r="A86" s="28" t="s">
        <v>2771</v>
      </c>
      <c r="B86" s="28"/>
      <c r="C86" s="28"/>
      <c r="D86" s="53" t="s">
        <v>2910</v>
      </c>
      <c r="E86" s="52"/>
      <c r="F86" s="19"/>
      <c r="G86" s="28"/>
    </row>
    <row r="87" spans="1:7">
      <c r="A87" s="28" t="s">
        <v>2772</v>
      </c>
      <c r="B87" s="28"/>
      <c r="C87" s="28"/>
      <c r="D87" s="53" t="s">
        <v>2911</v>
      </c>
      <c r="E87" s="52"/>
      <c r="F87" s="19"/>
      <c r="G87" s="28"/>
    </row>
    <row r="88" spans="1:7" ht="27">
      <c r="A88" s="28" t="s">
        <v>2773</v>
      </c>
      <c r="B88" s="28"/>
      <c r="C88" s="28"/>
      <c r="D88" s="53" t="s">
        <v>2912</v>
      </c>
      <c r="E88" s="52"/>
      <c r="F88" s="19"/>
      <c r="G88" s="28"/>
    </row>
    <row r="89" spans="1:7">
      <c r="A89" s="28" t="s">
        <v>2774</v>
      </c>
      <c r="B89" s="28"/>
      <c r="C89" s="28"/>
      <c r="D89" s="53" t="s">
        <v>2913</v>
      </c>
      <c r="E89" s="52"/>
      <c r="F89" s="19"/>
      <c r="G89" s="28"/>
    </row>
    <row r="90" spans="1:7">
      <c r="A90" s="28" t="s">
        <v>2775</v>
      </c>
      <c r="B90" s="28"/>
      <c r="C90" s="28"/>
      <c r="D90" s="53" t="s">
        <v>2914</v>
      </c>
      <c r="E90" s="52"/>
      <c r="F90" s="19"/>
      <c r="G90" s="28"/>
    </row>
    <row r="91" spans="1:7" ht="27">
      <c r="A91" s="28" t="s">
        <v>2776</v>
      </c>
      <c r="B91" s="28"/>
      <c r="C91" s="28"/>
      <c r="D91" s="53" t="s">
        <v>2915</v>
      </c>
      <c r="E91" s="52"/>
      <c r="F91" s="19"/>
      <c r="G91" s="28"/>
    </row>
    <row r="92" spans="1:7">
      <c r="A92" s="28" t="s">
        <v>2777</v>
      </c>
      <c r="B92" s="28"/>
      <c r="C92" s="28"/>
      <c r="D92" s="53" t="s">
        <v>2916</v>
      </c>
      <c r="E92" s="52"/>
      <c r="F92" s="19"/>
      <c r="G92" s="28"/>
    </row>
    <row r="93" spans="1:7">
      <c r="A93" s="28" t="s">
        <v>2778</v>
      </c>
      <c r="B93" s="28"/>
      <c r="C93" s="28"/>
      <c r="D93" s="53" t="s">
        <v>2917</v>
      </c>
      <c r="E93" s="52"/>
      <c r="F93" s="19"/>
      <c r="G93" s="28"/>
    </row>
    <row r="94" spans="1:7">
      <c r="A94" s="28" t="s">
        <v>2779</v>
      </c>
      <c r="B94" s="28"/>
      <c r="C94" s="28"/>
      <c r="D94" s="53" t="s">
        <v>2918</v>
      </c>
      <c r="E94" s="52"/>
      <c r="F94" s="19"/>
      <c r="G94" s="28"/>
    </row>
    <row r="95" spans="1:7">
      <c r="A95" s="28" t="s">
        <v>2780</v>
      </c>
      <c r="B95" s="28"/>
      <c r="C95" s="28"/>
      <c r="D95" s="53" t="s">
        <v>2919</v>
      </c>
      <c r="E95" s="52"/>
      <c r="F95" s="19"/>
      <c r="G95" s="28"/>
    </row>
    <row r="96" spans="1:7" ht="27">
      <c r="A96" s="28" t="s">
        <v>2781</v>
      </c>
      <c r="B96" s="28"/>
      <c r="C96" s="28"/>
      <c r="D96" s="53" t="s">
        <v>2920</v>
      </c>
      <c r="E96" s="52"/>
      <c r="F96" s="19"/>
      <c r="G96" s="28"/>
    </row>
    <row r="97" spans="1:7">
      <c r="A97" s="28" t="s">
        <v>2782</v>
      </c>
      <c r="B97" s="28"/>
      <c r="C97" s="28"/>
      <c r="D97" s="53" t="s">
        <v>2921</v>
      </c>
      <c r="E97" s="52"/>
      <c r="F97" s="19"/>
      <c r="G97" s="28"/>
    </row>
    <row r="98" spans="1:7">
      <c r="A98" s="28" t="s">
        <v>2783</v>
      </c>
      <c r="B98" s="28"/>
      <c r="C98" s="28"/>
      <c r="D98" s="53" t="s">
        <v>2922</v>
      </c>
      <c r="E98" s="52"/>
      <c r="F98" s="19"/>
      <c r="G98" s="28"/>
    </row>
    <row r="99" spans="1:7">
      <c r="A99" s="28" t="s">
        <v>2784</v>
      </c>
      <c r="B99" s="28"/>
      <c r="C99" s="28"/>
      <c r="D99" s="53" t="s">
        <v>2923</v>
      </c>
      <c r="E99" s="52"/>
      <c r="F99" s="19"/>
      <c r="G99" s="28"/>
    </row>
    <row r="100" spans="1:7">
      <c r="A100" s="28" t="s">
        <v>2785</v>
      </c>
      <c r="B100" s="28"/>
      <c r="C100" s="28"/>
      <c r="D100" s="53" t="s">
        <v>2924</v>
      </c>
      <c r="E100" s="52"/>
      <c r="F100" s="19"/>
      <c r="G100" s="28"/>
    </row>
    <row r="101" spans="1:7">
      <c r="A101" s="28" t="s">
        <v>2786</v>
      </c>
      <c r="B101" s="28"/>
      <c r="C101" s="28"/>
      <c r="D101" s="53" t="s">
        <v>2925</v>
      </c>
      <c r="E101" s="52"/>
      <c r="F101" s="19"/>
      <c r="G101" s="28"/>
    </row>
    <row r="102" spans="1:7" ht="27">
      <c r="A102" s="28" t="s">
        <v>2787</v>
      </c>
      <c r="B102" s="28"/>
      <c r="C102" s="28"/>
      <c r="D102" s="53" t="s">
        <v>2926</v>
      </c>
      <c r="E102" s="52"/>
      <c r="F102" s="19"/>
      <c r="G102" s="28"/>
    </row>
    <row r="103" spans="1:7" ht="27">
      <c r="A103" s="28" t="s">
        <v>2788</v>
      </c>
      <c r="B103" s="28"/>
      <c r="C103" s="28"/>
      <c r="D103" s="53" t="s">
        <v>2927</v>
      </c>
      <c r="E103" s="52"/>
      <c r="F103" s="19"/>
      <c r="G103" s="28"/>
    </row>
    <row r="104" spans="1:7">
      <c r="A104" s="28" t="s">
        <v>2789</v>
      </c>
      <c r="B104" s="28"/>
      <c r="C104" s="28"/>
      <c r="D104" s="53" t="s">
        <v>2928</v>
      </c>
      <c r="E104" s="52"/>
      <c r="F104" s="19"/>
      <c r="G104" s="28"/>
    </row>
    <row r="105" spans="1:7" ht="40.5">
      <c r="A105" s="28" t="s">
        <v>2790</v>
      </c>
      <c r="B105" s="28"/>
      <c r="C105" s="28"/>
      <c r="D105" s="53" t="s">
        <v>2929</v>
      </c>
      <c r="E105" s="52"/>
      <c r="F105" s="19"/>
      <c r="G105" s="28"/>
    </row>
    <row r="106" spans="1:7">
      <c r="A106" s="28" t="s">
        <v>2791</v>
      </c>
      <c r="B106" s="28"/>
      <c r="C106" s="28"/>
      <c r="D106" s="53" t="s">
        <v>2930</v>
      </c>
      <c r="E106" s="52"/>
      <c r="F106" s="19"/>
      <c r="G106" s="28"/>
    </row>
    <row r="107" spans="1:7">
      <c r="A107" s="28" t="s">
        <v>2792</v>
      </c>
      <c r="B107" s="28"/>
      <c r="C107" s="28"/>
      <c r="D107" s="53" t="s">
        <v>2931</v>
      </c>
      <c r="E107" s="52"/>
      <c r="F107" s="19"/>
      <c r="G107" s="28"/>
    </row>
    <row r="108" spans="1:7">
      <c r="A108" s="28" t="s">
        <v>2793</v>
      </c>
      <c r="B108" s="28"/>
      <c r="C108" s="28"/>
      <c r="D108" s="53" t="s">
        <v>2932</v>
      </c>
      <c r="E108" s="52"/>
      <c r="F108" s="19"/>
      <c r="G108" s="28"/>
    </row>
    <row r="109" spans="1:7">
      <c r="A109" s="28" t="s">
        <v>2794</v>
      </c>
      <c r="B109" s="28"/>
      <c r="C109" s="28"/>
      <c r="D109" s="53" t="s">
        <v>2933</v>
      </c>
      <c r="E109" s="52"/>
      <c r="F109" s="19"/>
      <c r="G109" s="28"/>
    </row>
    <row r="110" spans="1:7">
      <c r="A110" s="28" t="s">
        <v>2795</v>
      </c>
      <c r="B110" s="28"/>
      <c r="C110" s="28"/>
      <c r="D110" s="53" t="s">
        <v>2934</v>
      </c>
      <c r="E110" s="52"/>
      <c r="F110" s="19"/>
      <c r="G110" s="28"/>
    </row>
    <row r="111" spans="1:7">
      <c r="A111" s="28" t="s">
        <v>2796</v>
      </c>
      <c r="B111" s="28"/>
      <c r="C111" s="28"/>
      <c r="D111" s="53" t="s">
        <v>2935</v>
      </c>
      <c r="E111" s="52"/>
      <c r="F111" s="19"/>
      <c r="G111" s="28"/>
    </row>
    <row r="112" spans="1:7">
      <c r="A112" s="28" t="s">
        <v>2797</v>
      </c>
      <c r="B112" s="28"/>
      <c r="C112" s="28"/>
      <c r="D112" s="53" t="s">
        <v>2936</v>
      </c>
      <c r="E112" s="52"/>
      <c r="F112" s="19"/>
      <c r="G112" s="28"/>
    </row>
    <row r="113" spans="1:7">
      <c r="A113" s="28" t="s">
        <v>2798</v>
      </c>
      <c r="B113" s="28"/>
      <c r="C113" s="28"/>
      <c r="D113" s="53" t="s">
        <v>2937</v>
      </c>
      <c r="E113" s="52"/>
      <c r="F113" s="19"/>
      <c r="G113" s="28"/>
    </row>
    <row r="114" spans="1:7">
      <c r="A114" s="28" t="s">
        <v>2799</v>
      </c>
      <c r="B114" s="28"/>
      <c r="C114" s="28"/>
      <c r="D114" s="53" t="s">
        <v>2938</v>
      </c>
      <c r="E114" s="52"/>
      <c r="F114" s="19"/>
      <c r="G114" s="28"/>
    </row>
    <row r="115" spans="1:7" ht="27">
      <c r="A115" s="28" t="s">
        <v>2800</v>
      </c>
      <c r="B115" s="28"/>
      <c r="C115" s="28"/>
      <c r="D115" s="53" t="s">
        <v>2939</v>
      </c>
      <c r="E115" s="52"/>
      <c r="F115" s="19"/>
      <c r="G115" s="28"/>
    </row>
    <row r="116" spans="1:7">
      <c r="A116" s="28" t="s">
        <v>2801</v>
      </c>
      <c r="B116" s="28"/>
      <c r="C116" s="28"/>
      <c r="D116" s="53" t="s">
        <v>2940</v>
      </c>
      <c r="E116" s="52"/>
      <c r="F116" s="19"/>
      <c r="G116" s="28"/>
    </row>
    <row r="117" spans="1:7">
      <c r="A117" s="28" t="s">
        <v>2802</v>
      </c>
      <c r="B117" s="28"/>
      <c r="C117" s="28"/>
      <c r="D117" s="53" t="s">
        <v>2941</v>
      </c>
      <c r="E117" s="52"/>
      <c r="F117" s="19"/>
      <c r="G117" s="28"/>
    </row>
    <row r="118" spans="1:7">
      <c r="A118" s="28" t="s">
        <v>2803</v>
      </c>
      <c r="B118" s="28"/>
      <c r="C118" s="28"/>
      <c r="D118" s="53" t="s">
        <v>2942</v>
      </c>
      <c r="E118" s="52"/>
      <c r="F118" s="19"/>
      <c r="G118" s="28"/>
    </row>
    <row r="119" spans="1:7">
      <c r="A119" s="28" t="s">
        <v>2804</v>
      </c>
      <c r="B119" s="28"/>
      <c r="C119" s="28"/>
      <c r="D119" s="53" t="s">
        <v>2943</v>
      </c>
      <c r="E119" s="52"/>
      <c r="F119" s="19"/>
      <c r="G119" s="28"/>
    </row>
    <row r="120" spans="1:7">
      <c r="A120" s="28" t="s">
        <v>2805</v>
      </c>
      <c r="B120" s="28"/>
      <c r="C120" s="28"/>
      <c r="D120" s="53" t="s">
        <v>2944</v>
      </c>
      <c r="E120" s="52"/>
      <c r="F120" s="19"/>
      <c r="G120" s="28"/>
    </row>
    <row r="121" spans="1:7">
      <c r="A121" s="28" t="s">
        <v>2806</v>
      </c>
      <c r="B121" s="28"/>
      <c r="C121" s="28"/>
      <c r="D121" s="53" t="s">
        <v>2945</v>
      </c>
      <c r="E121" s="52"/>
      <c r="F121" s="19"/>
      <c r="G121" s="28"/>
    </row>
    <row r="122" spans="1:7">
      <c r="A122" s="28" t="s">
        <v>2807</v>
      </c>
      <c r="B122" s="28"/>
      <c r="C122" s="28"/>
      <c r="D122" s="53" t="s">
        <v>2946</v>
      </c>
      <c r="E122" s="52"/>
      <c r="F122" s="19"/>
      <c r="G122" s="28"/>
    </row>
    <row r="123" spans="1:7">
      <c r="A123" s="28" t="s">
        <v>2808</v>
      </c>
      <c r="B123" s="28"/>
      <c r="C123" s="28"/>
      <c r="D123" s="53" t="s">
        <v>2947</v>
      </c>
      <c r="E123" s="52"/>
      <c r="F123" s="19"/>
      <c r="G123" s="28"/>
    </row>
    <row r="124" spans="1:7">
      <c r="A124" s="28" t="s">
        <v>2809</v>
      </c>
      <c r="B124" s="28"/>
      <c r="C124" s="28"/>
      <c r="D124" s="53" t="s">
        <v>2948</v>
      </c>
      <c r="E124" s="52"/>
      <c r="F124" s="19"/>
      <c r="G124" s="28"/>
    </row>
    <row r="125" spans="1:7">
      <c r="A125" s="28" t="s">
        <v>2810</v>
      </c>
      <c r="B125" s="28"/>
      <c r="C125" s="28"/>
      <c r="D125" s="53" t="s">
        <v>2949</v>
      </c>
      <c r="E125" s="52"/>
      <c r="F125" s="19"/>
      <c r="G125" s="28"/>
    </row>
    <row r="126" spans="1:7">
      <c r="A126" s="28" t="s">
        <v>2811</v>
      </c>
      <c r="B126" s="28"/>
      <c r="C126" s="28"/>
      <c r="D126" s="53" t="s">
        <v>2950</v>
      </c>
      <c r="E126" s="52"/>
      <c r="F126" s="19"/>
      <c r="G126" s="28"/>
    </row>
    <row r="127" spans="1:7">
      <c r="A127" s="28" t="s">
        <v>2812</v>
      </c>
      <c r="B127" s="28"/>
      <c r="C127" s="28"/>
      <c r="D127" s="53" t="s">
        <v>2951</v>
      </c>
      <c r="E127" s="52"/>
      <c r="F127" s="19"/>
      <c r="G127" s="28"/>
    </row>
    <row r="128" spans="1:7">
      <c r="A128" s="28" t="s">
        <v>2813</v>
      </c>
      <c r="B128" s="28"/>
      <c r="C128" s="28"/>
      <c r="D128" s="53" t="s">
        <v>2952</v>
      </c>
      <c r="E128" s="52"/>
      <c r="F128" s="19"/>
      <c r="G128" s="28"/>
    </row>
    <row r="129" spans="1:7">
      <c r="A129" s="28" t="s">
        <v>2814</v>
      </c>
      <c r="B129" s="28"/>
      <c r="C129" s="28"/>
      <c r="D129" s="53" t="s">
        <v>2953</v>
      </c>
      <c r="E129" s="52"/>
      <c r="F129" s="19"/>
      <c r="G129" s="28"/>
    </row>
    <row r="130" spans="1:7">
      <c r="A130" s="28" t="s">
        <v>2815</v>
      </c>
      <c r="B130" s="28"/>
      <c r="C130" s="28"/>
      <c r="D130" s="53" t="s">
        <v>2954</v>
      </c>
      <c r="E130" s="52"/>
      <c r="F130" s="19"/>
      <c r="G130" s="28"/>
    </row>
    <row r="131" spans="1:7">
      <c r="A131" s="28" t="s">
        <v>2816</v>
      </c>
      <c r="B131" s="28"/>
      <c r="C131" s="28"/>
      <c r="D131" s="53" t="s">
        <v>2955</v>
      </c>
      <c r="E131" s="52"/>
      <c r="F131" s="19"/>
      <c r="G131" s="28"/>
    </row>
    <row r="132" spans="1:7">
      <c r="A132" s="28" t="s">
        <v>2817</v>
      </c>
      <c r="B132" s="28"/>
      <c r="C132" s="28"/>
      <c r="D132" s="53" t="s">
        <v>2956</v>
      </c>
      <c r="E132" s="52"/>
      <c r="F132" s="19"/>
      <c r="G132" s="28"/>
    </row>
    <row r="133" spans="1:7">
      <c r="A133" s="28" t="s">
        <v>2818</v>
      </c>
      <c r="B133" s="28"/>
      <c r="C133" s="28"/>
      <c r="D133" s="53" t="s">
        <v>2957</v>
      </c>
      <c r="E133" s="52"/>
      <c r="F133" s="19"/>
      <c r="G133" s="28"/>
    </row>
    <row r="134" spans="1:7">
      <c r="A134" s="28" t="s">
        <v>2819</v>
      </c>
      <c r="B134" s="28"/>
      <c r="C134" s="28"/>
      <c r="D134" s="53" t="s">
        <v>2958</v>
      </c>
      <c r="E134" s="52"/>
      <c r="F134" s="19"/>
      <c r="G134" s="28"/>
    </row>
    <row r="135" spans="1:7">
      <c r="A135" s="28" t="s">
        <v>2820</v>
      </c>
      <c r="B135" s="28"/>
      <c r="C135" s="28"/>
      <c r="D135" s="53" t="s">
        <v>2959</v>
      </c>
      <c r="E135" s="52"/>
      <c r="F135" s="19"/>
      <c r="G135" s="28"/>
    </row>
    <row r="136" spans="1:7">
      <c r="A136" s="28" t="s">
        <v>2821</v>
      </c>
      <c r="B136" s="28"/>
      <c r="C136" s="28"/>
      <c r="D136" s="53" t="s">
        <v>2960</v>
      </c>
      <c r="E136" s="52"/>
      <c r="F136" s="19"/>
      <c r="G136" s="28"/>
    </row>
    <row r="137" spans="1:7">
      <c r="A137" s="28" t="s">
        <v>2822</v>
      </c>
      <c r="B137" s="28"/>
      <c r="C137" s="28"/>
      <c r="D137" s="53" t="s">
        <v>2961</v>
      </c>
      <c r="E137" s="52"/>
      <c r="F137" s="19"/>
      <c r="G137" s="28"/>
    </row>
    <row r="138" spans="1:7">
      <c r="A138" s="28" t="s">
        <v>2823</v>
      </c>
      <c r="B138" s="28"/>
      <c r="C138" s="28"/>
      <c r="D138" s="53" t="s">
        <v>2962</v>
      </c>
      <c r="E138" s="52"/>
      <c r="F138" s="19"/>
      <c r="G138" s="28"/>
    </row>
    <row r="139" spans="1:7" ht="27">
      <c r="A139" s="28" t="s">
        <v>2824</v>
      </c>
      <c r="B139" s="28"/>
      <c r="C139" s="28"/>
      <c r="D139" s="53" t="s">
        <v>2963</v>
      </c>
      <c r="E139" s="52"/>
      <c r="F139" s="19"/>
      <c r="G139" s="28"/>
    </row>
    <row r="140" spans="1:7">
      <c r="A140" s="28" t="s">
        <v>2825</v>
      </c>
      <c r="B140" s="28"/>
      <c r="C140" s="28"/>
      <c r="D140" s="53" t="s">
        <v>2964</v>
      </c>
      <c r="E140" s="52"/>
      <c r="F140" s="19"/>
      <c r="G140" s="28"/>
    </row>
    <row r="141" spans="1:7" ht="40.5">
      <c r="A141" s="28" t="s">
        <v>2826</v>
      </c>
      <c r="B141" s="28"/>
      <c r="C141" s="28"/>
      <c r="D141" s="53" t="s">
        <v>2965</v>
      </c>
      <c r="E141" s="52"/>
      <c r="F141" s="19"/>
      <c r="G141" s="28"/>
    </row>
    <row r="142" spans="1:7">
      <c r="A142" s="28" t="s">
        <v>2827</v>
      </c>
      <c r="B142" s="28"/>
      <c r="C142" s="28"/>
      <c r="D142" s="53" t="s">
        <v>2966</v>
      </c>
      <c r="E142" s="52"/>
      <c r="F142" s="19"/>
      <c r="G142" s="28"/>
    </row>
    <row r="143" spans="1:7">
      <c r="A143" s="28" t="s">
        <v>2828</v>
      </c>
      <c r="B143" s="28"/>
      <c r="C143" s="28"/>
      <c r="D143" s="53" t="s">
        <v>2967</v>
      </c>
      <c r="E143" s="52"/>
      <c r="F143" s="19"/>
      <c r="G143" s="28"/>
    </row>
    <row r="144" spans="1:7" ht="27">
      <c r="A144" s="28" t="s">
        <v>2829</v>
      </c>
      <c r="B144" s="28"/>
      <c r="C144" s="28"/>
      <c r="D144" s="53" t="s">
        <v>2968</v>
      </c>
      <c r="E144" s="52"/>
      <c r="F144" s="19"/>
      <c r="G144" s="28"/>
    </row>
    <row r="145" spans="1:7">
      <c r="A145" s="28" t="s">
        <v>2830</v>
      </c>
      <c r="B145" s="28"/>
      <c r="C145" s="28"/>
      <c r="D145" s="53" t="s">
        <v>2969</v>
      </c>
      <c r="E145" s="52"/>
      <c r="F145" s="19"/>
      <c r="G145" s="28"/>
    </row>
    <row r="146" spans="1:7">
      <c r="A146" s="28" t="s">
        <v>2831</v>
      </c>
      <c r="B146" s="28"/>
      <c r="C146" s="28"/>
      <c r="D146" s="53" t="s">
        <v>2970</v>
      </c>
      <c r="E146" s="52"/>
      <c r="F146" s="19"/>
      <c r="G146" s="28"/>
    </row>
    <row r="147" spans="1:7">
      <c r="A147" s="28" t="s">
        <v>2832</v>
      </c>
      <c r="B147" s="28"/>
      <c r="C147" s="28"/>
      <c r="D147" s="53" t="s">
        <v>2971</v>
      </c>
      <c r="E147" s="52"/>
      <c r="F147" s="19"/>
      <c r="G147" s="28"/>
    </row>
    <row r="148" spans="1:7">
      <c r="A148" s="28" t="s">
        <v>2833</v>
      </c>
      <c r="B148" s="28"/>
      <c r="C148" s="28"/>
      <c r="D148" s="53" t="s">
        <v>2972</v>
      </c>
      <c r="E148" s="52"/>
      <c r="F148" s="19"/>
      <c r="G148" s="28"/>
    </row>
    <row r="149" spans="1:7" hidden="1">
      <c r="A149" s="28"/>
      <c r="B149" s="28"/>
      <c r="C149" s="28" t="s">
        <v>509</v>
      </c>
      <c r="D149" s="19"/>
      <c r="E149" s="19"/>
      <c r="F149" s="19"/>
      <c r="G149" s="28"/>
    </row>
    <row r="150" spans="1:7" hidden="1">
      <c r="A150" s="28"/>
      <c r="B150" s="28"/>
      <c r="C150" s="28" t="s">
        <v>512</v>
      </c>
      <c r="D150" s="28"/>
      <c r="E150" s="28"/>
      <c r="F150" s="28"/>
      <c r="G150" s="28" t="s">
        <v>513</v>
      </c>
    </row>
  </sheetData>
  <sheetProtection algorithmName="SHA-1" hashValue="jrKodIeAlddDBs77Pda194NPBMQ=" saltValue="KSyGt/MVCebJ9ZQN7mYD/A==" spinCount="100000" sheet="1" objects="1" scenarios="1" formatColumns="0" formatRows="0"/>
  <pageMargins left="0.7" right="0.7" top="0.75" bottom="0.75" header="0.3" footer="0.3"/>
  <drawing r:id="rId1"/>
  <legacyDrawing r:id="rId2"/>
  <controls>
    <mc:AlternateContent xmlns:mc="http://schemas.openxmlformats.org/markup-compatibility/2006">
      <mc:Choice Requires="x14">
        <control shapeId="24632"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4632" r:id="rId3" name="LegendBtn"/>
      </mc:Fallback>
    </mc:AlternateContent>
    <mc:AlternateContent xmlns:mc="http://schemas.openxmlformats.org/markup-compatibility/2006">
      <mc:Choice Requires="x14">
        <control shapeId="24631"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4631" r:id="rId5" name="HelpBtn"/>
      </mc:Fallback>
    </mc:AlternateContent>
    <mc:AlternateContent xmlns:mc="http://schemas.openxmlformats.org/markup-compatibility/2006">
      <mc:Choice Requires="x14">
        <control shapeId="24630"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4630" r:id="rId7" name="ToolboxBtn"/>
      </mc:Fallback>
    </mc:AlternateContent>
    <mc:AlternateContent xmlns:mc="http://schemas.openxmlformats.org/markup-compatibility/2006">
      <mc:Choice Requires="x14">
        <control shapeId="24629"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4629" r:id="rId9" name="HomeBtn"/>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4ACBF-1533-4107-9824-233359CFCBDA}">
  <sheetPr codeName="Sheet19"/>
  <dimension ref="A1:DZ60"/>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8" width="22.7265625" customWidth="1"/>
  </cols>
  <sheetData>
    <row r="1" spans="1:130" ht="60" customHeight="1">
      <c r="A1" s="26" t="s">
        <v>2974</v>
      </c>
      <c r="B1" s="19"/>
      <c r="C1" s="19"/>
      <c r="D1" s="19"/>
      <c r="E1" s="19"/>
      <c r="F1" s="19"/>
      <c r="G1" s="19"/>
      <c r="H1" s="19"/>
      <c r="I1" s="19"/>
      <c r="J1" s="19"/>
    </row>
    <row r="2" spans="1:130" ht="25.15" customHeight="1">
      <c r="A2" s="39"/>
      <c r="B2" s="39"/>
      <c r="C2" s="39"/>
      <c r="D2" s="41" t="s">
        <v>3051</v>
      </c>
      <c r="E2" s="39"/>
      <c r="F2" s="39"/>
      <c r="G2" s="39"/>
      <c r="H2" s="39"/>
      <c r="I2" s="39"/>
      <c r="J2" s="39"/>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c r="I3" s="19"/>
      <c r="J3" s="19"/>
    </row>
    <row r="4" spans="1:130" hidden="1">
      <c r="A4" s="19"/>
      <c r="B4" s="19"/>
      <c r="C4" s="19"/>
      <c r="D4" s="19"/>
      <c r="E4" s="19"/>
      <c r="F4" s="19"/>
      <c r="G4" s="19"/>
      <c r="H4" s="19"/>
      <c r="I4" s="19"/>
      <c r="J4" s="19"/>
    </row>
    <row r="5" spans="1:130" ht="15" hidden="1" customHeight="1">
      <c r="A5" s="28"/>
      <c r="B5" s="28"/>
      <c r="C5" s="29" t="s">
        <v>2975</v>
      </c>
      <c r="D5" s="28"/>
      <c r="E5" s="28"/>
      <c r="F5" s="28"/>
      <c r="G5" s="28"/>
      <c r="H5" s="19"/>
      <c r="I5" s="19"/>
      <c r="J5" s="19"/>
    </row>
    <row r="6" spans="1:130" hidden="1">
      <c r="A6" s="28"/>
      <c r="B6" s="28"/>
      <c r="C6" s="28"/>
      <c r="D6" s="28"/>
      <c r="E6" s="28"/>
      <c r="F6" s="28"/>
      <c r="G6" s="28"/>
      <c r="H6" s="19"/>
      <c r="I6" s="19"/>
      <c r="J6" s="19"/>
    </row>
    <row r="7" spans="1:130" hidden="1">
      <c r="A7" s="28"/>
      <c r="B7" s="28"/>
      <c r="C7" s="28"/>
      <c r="D7" s="28"/>
      <c r="E7" s="28"/>
      <c r="F7" s="28"/>
      <c r="G7" s="28"/>
      <c r="H7" s="19"/>
      <c r="I7" s="19"/>
      <c r="J7" s="19"/>
    </row>
    <row r="8" spans="1:130" hidden="1">
      <c r="A8" s="28"/>
      <c r="B8" s="28"/>
      <c r="C8" s="28" t="s">
        <v>510</v>
      </c>
      <c r="D8" s="28" t="s">
        <v>508</v>
      </c>
      <c r="E8" s="28"/>
      <c r="F8" s="28" t="s">
        <v>509</v>
      </c>
      <c r="G8" s="28" t="s">
        <v>511</v>
      </c>
      <c r="H8" s="19"/>
      <c r="I8" s="19"/>
      <c r="J8" s="19"/>
    </row>
    <row r="9" spans="1:130">
      <c r="A9" s="28"/>
      <c r="B9" s="28"/>
      <c r="C9" s="28" t="s">
        <v>509</v>
      </c>
      <c r="D9" s="30"/>
      <c r="E9" s="19"/>
      <c r="F9" s="19"/>
      <c r="G9" s="28"/>
      <c r="H9" s="19"/>
      <c r="I9" s="19"/>
      <c r="J9" s="19"/>
    </row>
    <row r="10" spans="1:130">
      <c r="A10" s="28" t="s">
        <v>2976</v>
      </c>
      <c r="B10" s="28"/>
      <c r="C10" s="28"/>
      <c r="D10" s="31" t="s">
        <v>2978</v>
      </c>
      <c r="E10" s="31"/>
      <c r="F10" s="19"/>
      <c r="G10" s="28"/>
      <c r="H10" s="19"/>
      <c r="I10" s="19"/>
      <c r="J10" s="19"/>
    </row>
    <row r="11" spans="1:130">
      <c r="A11" s="28" t="s">
        <v>2977</v>
      </c>
      <c r="B11" s="28"/>
      <c r="C11" s="28"/>
      <c r="D11" s="55" t="s">
        <v>3037</v>
      </c>
      <c r="E11" s="52"/>
      <c r="F11" s="19"/>
      <c r="G11" s="28"/>
      <c r="H11" s="19"/>
      <c r="I11" s="19"/>
      <c r="J11" s="19"/>
    </row>
    <row r="12" spans="1:130" hidden="1">
      <c r="A12" s="28"/>
      <c r="B12" s="28"/>
      <c r="C12" s="28" t="s">
        <v>509</v>
      </c>
      <c r="D12" s="19"/>
      <c r="E12" s="19"/>
      <c r="F12" s="19"/>
      <c r="G12" s="28"/>
      <c r="H12" s="19"/>
      <c r="I12" s="19"/>
      <c r="J12" s="19"/>
    </row>
    <row r="13" spans="1:130" hidden="1">
      <c r="A13" s="28"/>
      <c r="B13" s="28"/>
      <c r="C13" s="28" t="s">
        <v>512</v>
      </c>
      <c r="D13" s="28"/>
      <c r="E13" s="28"/>
      <c r="F13" s="28"/>
      <c r="G13" s="28" t="s">
        <v>513</v>
      </c>
      <c r="H13" s="19"/>
      <c r="I13" s="19"/>
      <c r="J13" s="19"/>
    </row>
    <row r="14" spans="1:130">
      <c r="A14" s="19"/>
      <c r="B14" s="19"/>
      <c r="C14" s="19"/>
      <c r="D14" s="19"/>
      <c r="E14" s="19"/>
      <c r="F14" s="19"/>
      <c r="G14" s="19"/>
      <c r="H14" s="19"/>
      <c r="I14" s="19"/>
      <c r="J14" s="19"/>
    </row>
    <row r="15" spans="1:130">
      <c r="A15" s="19"/>
      <c r="B15" s="19"/>
      <c r="C15" s="19"/>
      <c r="D15" s="19"/>
      <c r="E15" s="19"/>
      <c r="F15" s="19"/>
      <c r="G15" s="19"/>
      <c r="H15" s="19"/>
      <c r="I15" s="19"/>
      <c r="J15" s="19"/>
    </row>
    <row r="16" spans="1:130" ht="15" hidden="1" customHeight="1">
      <c r="A16" s="28"/>
      <c r="B16" s="28"/>
      <c r="C16" s="29" t="s">
        <v>2979</v>
      </c>
      <c r="D16" s="28"/>
      <c r="E16" s="28"/>
      <c r="F16" s="28"/>
      <c r="G16" s="28"/>
      <c r="H16" s="28"/>
      <c r="I16" s="28"/>
      <c r="J16" s="28"/>
    </row>
    <row r="17" spans="1:10" hidden="1">
      <c r="A17" s="28"/>
      <c r="B17" s="28"/>
      <c r="C17" s="28"/>
      <c r="D17" s="28"/>
      <c r="E17" s="28"/>
      <c r="F17" s="28"/>
      <c r="G17" s="28"/>
      <c r="H17" s="28"/>
      <c r="I17" s="28"/>
      <c r="J17" s="28"/>
    </row>
    <row r="18" spans="1:10" hidden="1">
      <c r="A18" s="28"/>
      <c r="B18" s="28"/>
      <c r="C18" s="28"/>
      <c r="D18" s="28"/>
      <c r="E18" s="28" t="s">
        <v>3012</v>
      </c>
      <c r="F18" s="28" t="s">
        <v>3013</v>
      </c>
      <c r="G18" s="28" t="s">
        <v>3014</v>
      </c>
      <c r="H18" s="28">
        <v>0</v>
      </c>
      <c r="I18" s="28"/>
      <c r="J18" s="28"/>
    </row>
    <row r="19" spans="1:10" hidden="1">
      <c r="A19" s="28"/>
      <c r="B19" s="28"/>
      <c r="C19" s="28" t="s">
        <v>510</v>
      </c>
      <c r="D19" s="28" t="s">
        <v>508</v>
      </c>
      <c r="E19" s="28"/>
      <c r="F19" s="28"/>
      <c r="G19" s="28"/>
      <c r="H19" s="28"/>
      <c r="I19" s="28" t="s">
        <v>509</v>
      </c>
      <c r="J19" s="28" t="s">
        <v>511</v>
      </c>
    </row>
    <row r="20" spans="1:10" ht="50" customHeight="1">
      <c r="A20" s="28"/>
      <c r="B20" s="28" t="s">
        <v>3036</v>
      </c>
      <c r="C20" s="28" t="s">
        <v>599</v>
      </c>
      <c r="D20" s="84" t="s">
        <v>3035</v>
      </c>
      <c r="E20" s="20" t="s">
        <v>3033</v>
      </c>
      <c r="F20" s="20" t="s">
        <v>1659</v>
      </c>
      <c r="G20" s="20" t="s">
        <v>3034</v>
      </c>
      <c r="H20" s="20" t="s">
        <v>2552</v>
      </c>
      <c r="I20" s="19"/>
      <c r="J20" s="28"/>
    </row>
    <row r="21" spans="1:10" ht="27">
      <c r="A21" s="28"/>
      <c r="B21" s="28"/>
      <c r="C21" s="28" t="s">
        <v>577</v>
      </c>
      <c r="D21" s="43"/>
      <c r="E21" s="20" t="str">
        <f>TEXT(DATE(MID(E23,7,4),MID(E23,4,2),MID(E23,1,2)),"dd/MM/yyyy")&amp;" - "&amp;TEXT(DATE(MID(E24,7,4),MID(E24,4,2),MID(E24,1,2)),"dd/MM/yyyy")</f>
        <v>01/01/2024 - 31/12/2024</v>
      </c>
      <c r="F21" s="20" t="str">
        <f>TEXT(DATE(MID(F23,7,4),MID(F23,4,2),MID(F23,1,2)),"dd/MM/yyyy")&amp;" - "&amp;TEXT(DATE(MID(F24,7,4),MID(F24,4,2),MID(F24,1,2)),"dd/MM/yyyy")</f>
        <v>01/01/2024 - 31/12/2024</v>
      </c>
      <c r="G21" s="20" t="str">
        <f>TEXT(DATE(MID(G23,7,4),MID(G23,4,2),MID(G23,1,2)),"dd/MM/yyyy")&amp;" - "&amp;TEXT(DATE(MID(G24,7,4),MID(G24,4,2),MID(G24,1,2)),"dd/MM/yyyy")</f>
        <v>01/01/2024 - 31/12/2024</v>
      </c>
      <c r="H21" s="20" t="str">
        <f>TEXT(DATE(MID(H23,7,4),MID(H23,4,2),MID(H23,1,2)),"dd/MM/yyyy")&amp;" - "&amp;TEXT(DATE(MID(H24,7,4),MID(H24,4,2),MID(H24,1,2)),"dd/MM/yyyy")</f>
        <v>01/01/2024 - 31/12/2024</v>
      </c>
      <c r="I21" s="19"/>
      <c r="J21" s="28"/>
    </row>
    <row r="22" spans="1:10" ht="20" customHeight="1">
      <c r="A22" s="28"/>
      <c r="B22" s="28"/>
      <c r="C22" s="28" t="s">
        <v>578</v>
      </c>
      <c r="D22" s="43"/>
      <c r="E22" s="20" t="str">
        <f>StartUp!$E$8</f>
        <v>MYR'000</v>
      </c>
      <c r="F22" s="20" t="str">
        <f>StartUp!$E$8</f>
        <v>MYR'000</v>
      </c>
      <c r="G22" s="20" t="str">
        <f>StartUp!$E$8</f>
        <v>MYR'000</v>
      </c>
      <c r="H22" s="20" t="str">
        <f>StartUp!$E$8</f>
        <v>MYR'000</v>
      </c>
      <c r="I22" s="19"/>
      <c r="J22" s="28"/>
    </row>
    <row r="23" spans="1:10" ht="20" hidden="1" customHeight="1">
      <c r="A23" s="28"/>
      <c r="B23" s="28"/>
      <c r="C23" s="28" t="s">
        <v>579</v>
      </c>
      <c r="D23" s="43"/>
      <c r="E23" s="44" t="str">
        <f>StartUp!$D$8</f>
        <v>01/01/2024</v>
      </c>
      <c r="F23" s="44" t="str">
        <f>StartUp!$D$8</f>
        <v>01/01/2024</v>
      </c>
      <c r="G23" s="44" t="str">
        <f>StartUp!$D$8</f>
        <v>01/01/2024</v>
      </c>
      <c r="H23" s="44" t="str">
        <f>StartUp!$D$8</f>
        <v>01/01/2024</v>
      </c>
      <c r="I23" s="19"/>
      <c r="J23" s="28"/>
    </row>
    <row r="24" spans="1:10" ht="20" hidden="1" customHeight="1">
      <c r="A24" s="28"/>
      <c r="B24" s="28"/>
      <c r="C24" s="28" t="s">
        <v>580</v>
      </c>
      <c r="D24" s="43"/>
      <c r="E24" s="44" t="str">
        <f>StartUp!$D$9</f>
        <v>31/12/2024</v>
      </c>
      <c r="F24" s="44" t="str">
        <f>StartUp!$D$9</f>
        <v>31/12/2024</v>
      </c>
      <c r="G24" s="44" t="str">
        <f>StartUp!$D$9</f>
        <v>31/12/2024</v>
      </c>
      <c r="H24" s="44" t="str">
        <f>StartUp!$D$9</f>
        <v>31/12/2024</v>
      </c>
      <c r="I24" s="19"/>
      <c r="J24" s="28"/>
    </row>
    <row r="25" spans="1:10">
      <c r="A25" s="28"/>
      <c r="B25" s="28"/>
      <c r="C25" s="28" t="s">
        <v>509</v>
      </c>
      <c r="D25" s="30"/>
      <c r="E25" s="19"/>
      <c r="F25" s="19"/>
      <c r="G25" s="19"/>
      <c r="H25" s="19"/>
      <c r="I25" s="19"/>
      <c r="J25" s="28"/>
    </row>
    <row r="26" spans="1:10">
      <c r="A26" s="28" t="s">
        <v>2980</v>
      </c>
      <c r="B26" s="28"/>
      <c r="C26" s="28"/>
      <c r="D26" s="31" t="s">
        <v>3015</v>
      </c>
      <c r="E26" s="31"/>
      <c r="F26" s="31"/>
      <c r="G26" s="31"/>
      <c r="H26" s="31"/>
      <c r="I26" s="19"/>
      <c r="J26" s="28"/>
    </row>
    <row r="27" spans="1:10">
      <c r="A27" s="28" t="s">
        <v>2981</v>
      </c>
      <c r="B27" s="28"/>
      <c r="C27" s="28"/>
      <c r="D27" s="32" t="s">
        <v>3015</v>
      </c>
      <c r="E27" s="31"/>
      <c r="F27" s="31"/>
      <c r="G27" s="31"/>
      <c r="H27" s="31"/>
      <c r="I27" s="19"/>
      <c r="J27" s="28"/>
    </row>
    <row r="28" spans="1:10">
      <c r="A28" s="28" t="s">
        <v>1196</v>
      </c>
      <c r="B28" s="28"/>
      <c r="C28" s="28"/>
      <c r="D28" s="57" t="s">
        <v>1605</v>
      </c>
      <c r="E28" s="58"/>
      <c r="F28" s="58"/>
      <c r="G28" s="58"/>
      <c r="H28" s="58"/>
      <c r="I28" s="19"/>
      <c r="J28" s="28"/>
    </row>
    <row r="29" spans="1:10">
      <c r="A29" s="28" t="s">
        <v>2982</v>
      </c>
      <c r="B29" s="28"/>
      <c r="C29" s="28"/>
      <c r="D29" s="59" t="s">
        <v>3016</v>
      </c>
      <c r="E29" s="58"/>
      <c r="F29" s="58"/>
      <c r="G29" s="58"/>
      <c r="H29" s="58"/>
      <c r="I29" s="19"/>
      <c r="J29" s="28"/>
    </row>
    <row r="30" spans="1:10" ht="27">
      <c r="A30" s="28" t="s">
        <v>2983</v>
      </c>
      <c r="B30" s="28"/>
      <c r="C30" s="28"/>
      <c r="D30" s="72" t="s">
        <v>3017</v>
      </c>
      <c r="E30" s="58"/>
      <c r="F30" s="58"/>
      <c r="G30" s="58"/>
      <c r="H30" s="58"/>
      <c r="I30" s="19"/>
      <c r="J30" s="28"/>
    </row>
    <row r="31" spans="1:10">
      <c r="A31" s="28" t="s">
        <v>2984</v>
      </c>
      <c r="B31" s="28"/>
      <c r="C31" s="28"/>
      <c r="D31" s="74" t="s">
        <v>3038</v>
      </c>
      <c r="E31" s="54"/>
      <c r="F31" s="54"/>
      <c r="G31" s="54"/>
      <c r="H31" s="54"/>
      <c r="I31" s="19"/>
      <c r="J31" s="28"/>
    </row>
    <row r="32" spans="1:10" ht="27">
      <c r="A32" s="28" t="s">
        <v>2985</v>
      </c>
      <c r="B32" s="28"/>
      <c r="C32" s="28"/>
      <c r="D32" s="74" t="s">
        <v>3039</v>
      </c>
      <c r="E32" s="54"/>
      <c r="F32" s="54"/>
      <c r="G32" s="54"/>
      <c r="H32" s="54"/>
      <c r="I32" s="19"/>
      <c r="J32" s="28"/>
    </row>
    <row r="33" spans="1:10" ht="27">
      <c r="A33" s="28" t="s">
        <v>2986</v>
      </c>
      <c r="B33" s="28"/>
      <c r="C33" s="28"/>
      <c r="D33" s="72" t="s">
        <v>3018</v>
      </c>
      <c r="E33" s="58"/>
      <c r="F33" s="58"/>
      <c r="G33" s="58"/>
      <c r="H33" s="58"/>
      <c r="I33" s="19"/>
      <c r="J33" s="28"/>
    </row>
    <row r="34" spans="1:10">
      <c r="A34" s="28" t="s">
        <v>2987</v>
      </c>
      <c r="B34" s="28"/>
      <c r="C34" s="28"/>
      <c r="D34" s="73" t="s">
        <v>3019</v>
      </c>
      <c r="E34" s="61"/>
      <c r="F34" s="61"/>
      <c r="G34" s="61"/>
      <c r="H34" s="61"/>
      <c r="I34" s="19"/>
      <c r="J34" s="28"/>
    </row>
    <row r="35" spans="1:10">
      <c r="A35" s="28" t="s">
        <v>2988</v>
      </c>
      <c r="B35" s="28"/>
      <c r="C35" s="28"/>
      <c r="D35" s="73" t="s">
        <v>3020</v>
      </c>
      <c r="E35" s="61"/>
      <c r="F35" s="61"/>
      <c r="G35" s="61"/>
      <c r="H35" s="61"/>
      <c r="I35" s="19"/>
      <c r="J35" s="28"/>
    </row>
    <row r="36" spans="1:10">
      <c r="A36" s="28" t="s">
        <v>2989</v>
      </c>
      <c r="B36" s="28"/>
      <c r="C36" s="28"/>
      <c r="D36" s="73" t="s">
        <v>3021</v>
      </c>
      <c r="E36" s="61"/>
      <c r="F36" s="61"/>
      <c r="G36" s="61"/>
      <c r="H36" s="61"/>
      <c r="I36" s="19"/>
      <c r="J36" s="28"/>
    </row>
    <row r="37" spans="1:10" ht="27">
      <c r="A37" s="28" t="s">
        <v>2990</v>
      </c>
      <c r="B37" s="28"/>
      <c r="C37" s="28"/>
      <c r="D37" s="73" t="s">
        <v>3022</v>
      </c>
      <c r="E37" s="61"/>
      <c r="F37" s="61"/>
      <c r="G37" s="61"/>
      <c r="H37" s="61"/>
      <c r="I37" s="19"/>
      <c r="J37" s="28"/>
    </row>
    <row r="38" spans="1:10" ht="27">
      <c r="A38" s="28" t="s">
        <v>2991</v>
      </c>
      <c r="B38" s="28"/>
      <c r="C38" s="28"/>
      <c r="D38" s="73" t="s">
        <v>3023</v>
      </c>
      <c r="E38" s="61"/>
      <c r="F38" s="61"/>
      <c r="G38" s="61"/>
      <c r="H38" s="61"/>
      <c r="I38" s="19"/>
      <c r="J38" s="28"/>
    </row>
    <row r="39" spans="1:10" ht="27">
      <c r="A39" s="28" t="s">
        <v>2992</v>
      </c>
      <c r="B39" s="28"/>
      <c r="C39" s="28"/>
      <c r="D39" s="73" t="s">
        <v>3024</v>
      </c>
      <c r="E39" s="61"/>
      <c r="F39" s="61"/>
      <c r="G39" s="61"/>
      <c r="H39" s="61"/>
      <c r="I39" s="19"/>
      <c r="J39" s="28"/>
    </row>
    <row r="40" spans="1:10" ht="27">
      <c r="A40" s="28" t="s">
        <v>2993</v>
      </c>
      <c r="B40" s="28"/>
      <c r="C40" s="28"/>
      <c r="D40" s="73" t="s">
        <v>3025</v>
      </c>
      <c r="E40" s="61"/>
      <c r="F40" s="61"/>
      <c r="G40" s="61"/>
      <c r="H40" s="61"/>
      <c r="I40" s="19"/>
      <c r="J40" s="28"/>
    </row>
    <row r="41" spans="1:10">
      <c r="A41" s="28" t="s">
        <v>2994</v>
      </c>
      <c r="B41" s="28"/>
      <c r="C41" s="28"/>
      <c r="D41" s="73" t="s">
        <v>3026</v>
      </c>
      <c r="E41" s="61"/>
      <c r="F41" s="61"/>
      <c r="G41" s="61"/>
      <c r="H41" s="61"/>
      <c r="I41" s="19"/>
      <c r="J41" s="28"/>
    </row>
    <row r="42" spans="1:10">
      <c r="A42" s="28" t="s">
        <v>2995</v>
      </c>
      <c r="B42" s="28"/>
      <c r="C42" s="28"/>
      <c r="D42" s="59" t="s">
        <v>3027</v>
      </c>
      <c r="E42" s="58"/>
      <c r="F42" s="58"/>
      <c r="G42" s="58"/>
      <c r="H42" s="58"/>
      <c r="I42" s="19"/>
      <c r="J42" s="28"/>
    </row>
    <row r="43" spans="1:10" ht="27">
      <c r="A43" s="28" t="s">
        <v>2996</v>
      </c>
      <c r="B43" s="28"/>
      <c r="C43" s="28"/>
      <c r="D43" s="72" t="s">
        <v>3028</v>
      </c>
      <c r="E43" s="58"/>
      <c r="F43" s="58"/>
      <c r="G43" s="58"/>
      <c r="H43" s="58"/>
      <c r="I43" s="19"/>
      <c r="J43" s="28"/>
    </row>
    <row r="44" spans="1:10" ht="27">
      <c r="A44" s="28" t="s">
        <v>2997</v>
      </c>
      <c r="B44" s="28"/>
      <c r="C44" s="28"/>
      <c r="D44" s="74" t="s">
        <v>3040</v>
      </c>
      <c r="E44" s="54"/>
      <c r="F44" s="54"/>
      <c r="G44" s="54"/>
      <c r="H44" s="54"/>
      <c r="I44" s="19"/>
      <c r="J44" s="28"/>
    </row>
    <row r="45" spans="1:10" ht="27">
      <c r="A45" s="28" t="s">
        <v>2998</v>
      </c>
      <c r="B45" s="28"/>
      <c r="C45" s="28"/>
      <c r="D45" s="74" t="s">
        <v>3041</v>
      </c>
      <c r="E45" s="54"/>
      <c r="F45" s="54"/>
      <c r="G45" s="54"/>
      <c r="H45" s="54"/>
      <c r="I45" s="19"/>
      <c r="J45" s="28"/>
    </row>
    <row r="46" spans="1:10" ht="27">
      <c r="A46" s="28" t="s">
        <v>2999</v>
      </c>
      <c r="B46" s="28"/>
      <c r="C46" s="28"/>
      <c r="D46" s="72" t="s">
        <v>3029</v>
      </c>
      <c r="E46" s="58"/>
      <c r="F46" s="58"/>
      <c r="G46" s="58"/>
      <c r="H46" s="58"/>
      <c r="I46" s="19"/>
      <c r="J46" s="28"/>
    </row>
    <row r="47" spans="1:10" ht="27">
      <c r="A47" s="28" t="s">
        <v>3000</v>
      </c>
      <c r="B47" s="28"/>
      <c r="C47" s="28"/>
      <c r="D47" s="74" t="s">
        <v>3042</v>
      </c>
      <c r="E47" s="61"/>
      <c r="F47" s="61"/>
      <c r="G47" s="61"/>
      <c r="H47" s="61"/>
      <c r="I47" s="19"/>
      <c r="J47" s="28"/>
    </row>
    <row r="48" spans="1:10">
      <c r="A48" s="28" t="s">
        <v>3001</v>
      </c>
      <c r="B48" s="28"/>
      <c r="C48" s="28"/>
      <c r="D48" s="59" t="s">
        <v>3030</v>
      </c>
      <c r="E48" s="58"/>
      <c r="F48" s="58"/>
      <c r="G48" s="58"/>
      <c r="H48" s="58"/>
      <c r="I48" s="19"/>
      <c r="J48" s="28"/>
    </row>
    <row r="49" spans="1:10">
      <c r="A49" s="28" t="s">
        <v>3002</v>
      </c>
      <c r="B49" s="28"/>
      <c r="C49" s="28"/>
      <c r="D49" s="72" t="s">
        <v>3031</v>
      </c>
      <c r="E49" s="58"/>
      <c r="F49" s="58"/>
      <c r="G49" s="58"/>
      <c r="H49" s="58"/>
      <c r="I49" s="19"/>
      <c r="J49" s="28"/>
    </row>
    <row r="50" spans="1:10" ht="27">
      <c r="A50" s="28" t="s">
        <v>3003</v>
      </c>
      <c r="B50" s="28"/>
      <c r="C50" s="28"/>
      <c r="D50" s="74" t="s">
        <v>3043</v>
      </c>
      <c r="E50" s="54"/>
      <c r="F50" s="54"/>
      <c r="G50" s="54"/>
      <c r="H50" s="54"/>
      <c r="I50" s="19"/>
      <c r="J50" s="28"/>
    </row>
    <row r="51" spans="1:10" ht="27">
      <c r="A51" s="28" t="s">
        <v>3004</v>
      </c>
      <c r="B51" s="28"/>
      <c r="C51" s="28"/>
      <c r="D51" s="74" t="s">
        <v>3044</v>
      </c>
      <c r="E51" s="54"/>
      <c r="F51" s="54"/>
      <c r="G51" s="54"/>
      <c r="H51" s="54"/>
      <c r="I51" s="19"/>
      <c r="J51" s="28"/>
    </row>
    <row r="52" spans="1:10" ht="27">
      <c r="A52" s="28" t="s">
        <v>3005</v>
      </c>
      <c r="B52" s="28"/>
      <c r="C52" s="28"/>
      <c r="D52" s="74" t="s">
        <v>3045</v>
      </c>
      <c r="E52" s="54"/>
      <c r="F52" s="54"/>
      <c r="G52" s="54"/>
      <c r="H52" s="54"/>
      <c r="I52" s="19"/>
      <c r="J52" s="28"/>
    </row>
    <row r="53" spans="1:10" ht="27">
      <c r="A53" s="28" t="s">
        <v>3006</v>
      </c>
      <c r="B53" s="28"/>
      <c r="C53" s="28"/>
      <c r="D53" s="74" t="s">
        <v>3046</v>
      </c>
      <c r="E53" s="54"/>
      <c r="F53" s="54"/>
      <c r="G53" s="54"/>
      <c r="H53" s="54"/>
      <c r="I53" s="19"/>
      <c r="J53" s="28"/>
    </row>
    <row r="54" spans="1:10">
      <c r="A54" s="28" t="s">
        <v>3007</v>
      </c>
      <c r="B54" s="28"/>
      <c r="C54" s="28"/>
      <c r="D54" s="72" t="s">
        <v>3032</v>
      </c>
      <c r="E54" s="58"/>
      <c r="F54" s="58"/>
      <c r="G54" s="58"/>
      <c r="H54" s="58"/>
      <c r="I54" s="19"/>
      <c r="J54" s="28"/>
    </row>
    <row r="55" spans="1:10" ht="27">
      <c r="A55" s="28" t="s">
        <v>3008</v>
      </c>
      <c r="B55" s="28"/>
      <c r="C55" s="28"/>
      <c r="D55" s="74" t="s">
        <v>3047</v>
      </c>
      <c r="E55" s="61"/>
      <c r="F55" s="61"/>
      <c r="G55" s="61"/>
      <c r="H55" s="61"/>
      <c r="I55" s="19"/>
      <c r="J55" s="28"/>
    </row>
    <row r="56" spans="1:10" ht="27">
      <c r="A56" s="28" t="s">
        <v>3009</v>
      </c>
      <c r="B56" s="28"/>
      <c r="C56" s="28"/>
      <c r="D56" s="74" t="s">
        <v>3048</v>
      </c>
      <c r="E56" s="61"/>
      <c r="F56" s="61"/>
      <c r="G56" s="61"/>
      <c r="H56" s="61"/>
      <c r="I56" s="19"/>
      <c r="J56" s="28"/>
    </row>
    <row r="57" spans="1:10" ht="27">
      <c r="A57" s="28" t="s">
        <v>3010</v>
      </c>
      <c r="B57" s="28"/>
      <c r="C57" s="28"/>
      <c r="D57" s="74" t="s">
        <v>3049</v>
      </c>
      <c r="E57" s="61"/>
      <c r="F57" s="61"/>
      <c r="G57" s="61"/>
      <c r="H57" s="61"/>
      <c r="I57" s="19"/>
      <c r="J57" s="28"/>
    </row>
    <row r="58" spans="1:10" ht="27">
      <c r="A58" s="28" t="s">
        <v>3011</v>
      </c>
      <c r="B58" s="28"/>
      <c r="C58" s="28"/>
      <c r="D58" s="74" t="s">
        <v>3050</v>
      </c>
      <c r="E58" s="61"/>
      <c r="F58" s="61"/>
      <c r="G58" s="61"/>
      <c r="H58" s="61"/>
      <c r="I58" s="19"/>
      <c r="J58" s="28"/>
    </row>
    <row r="59" spans="1:10" hidden="1">
      <c r="A59" s="28"/>
      <c r="B59" s="28"/>
      <c r="C59" s="28" t="s">
        <v>509</v>
      </c>
      <c r="D59" s="19"/>
      <c r="E59" s="19"/>
      <c r="F59" s="19"/>
      <c r="G59" s="19"/>
      <c r="H59" s="19"/>
      <c r="I59" s="19"/>
      <c r="J59" s="28"/>
    </row>
    <row r="60" spans="1:10" hidden="1">
      <c r="A60" s="28"/>
      <c r="B60" s="28"/>
      <c r="C60" s="28" t="s">
        <v>512</v>
      </c>
      <c r="D60" s="28"/>
      <c r="E60" s="28"/>
      <c r="F60" s="28"/>
      <c r="G60" s="28"/>
      <c r="H60" s="28"/>
      <c r="I60" s="28"/>
      <c r="J60" s="28" t="s">
        <v>513</v>
      </c>
    </row>
  </sheetData>
  <sheetProtection algorithmName="SHA-1" hashValue="pBvb5lc5EpshE1vmXGsfs68H5ns=" saltValue="CAFHUcP6+lwTNPq5lhksMw==" spinCount="100000" sheet="1" objects="1" scenarios="1" formatColumns="0" formatRows="0"/>
  <dataValidations count="2">
    <dataValidation type="decimal" allowBlank="1" showInputMessage="1" showErrorMessage="1" error="Please enter an integer value only without any decimal point" sqref="E50:H53 E44:H45 E31:H32" xr:uid="{DE67BC66-F84C-4D74-8641-8D9672A9E783}">
      <formula1>-999999999999999</formula1>
      <formula2>999999999999999</formula2>
    </dataValidation>
    <dataValidation type="decimal" allowBlank="1" showInputMessage="1" showErrorMessage="1" error="Please enter a numeric value upto 2 decimal places only" sqref="E55:H58 E47:H47 E34:H41" xr:uid="{44C223E8-8725-4340-9EC3-BDD5CCFB81E3}">
      <formula1>-999999999999999</formula1>
      <formula2>999999999999999</formula2>
    </dataValidation>
  </dataValidations>
  <hyperlinks>
    <hyperlink ref="D20" tooltip="Edit Classes of share capital" display="Edit Classes of share capital" xr:uid="{A1CDA095-B3A6-47AC-889D-AB4D77142DA1}"/>
  </hyperlinks>
  <pageMargins left="0.7" right="0.7" top="0.75" bottom="0.75" header="0.3" footer="0.3"/>
  <drawing r:id="rId1"/>
  <legacyDrawing r:id="rId2"/>
  <controls>
    <mc:AlternateContent xmlns:mc="http://schemas.openxmlformats.org/markup-compatibility/2006">
      <mc:Choice Requires="x14">
        <control shapeId="25672"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5672" r:id="rId3" name="LegendBtn"/>
      </mc:Fallback>
    </mc:AlternateContent>
    <mc:AlternateContent xmlns:mc="http://schemas.openxmlformats.org/markup-compatibility/2006">
      <mc:Choice Requires="x14">
        <control shapeId="25671"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5671" r:id="rId5" name="HelpBtn"/>
      </mc:Fallback>
    </mc:AlternateContent>
    <mc:AlternateContent xmlns:mc="http://schemas.openxmlformats.org/markup-compatibility/2006">
      <mc:Choice Requires="x14">
        <control shapeId="25670"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5670" r:id="rId7" name="ToolboxBtn"/>
      </mc:Fallback>
    </mc:AlternateContent>
    <mc:AlternateContent xmlns:mc="http://schemas.openxmlformats.org/markup-compatibility/2006">
      <mc:Choice Requires="x14">
        <control shapeId="25669"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5669" r:id="rId9" name="HomeBtn"/>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2E42-60E4-4855-9AB1-BBBE7AA3050B}">
  <sheetPr codeName="Sheet20"/>
  <dimension ref="A1:DZ62"/>
  <sheetViews>
    <sheetView showGridLines="0" workbookViewId="0">
      <pane ySplit="2" topLeftCell="A3" activePane="bottomLeft" state="frozen"/>
      <selection pane="bottomLeft" activeCell="A3" sqref="A3"/>
    </sheetView>
  </sheetViews>
  <sheetFormatPr defaultRowHeight="14.5"/>
  <cols>
    <col min="1" max="2" width="0" hidden="1" customWidth="1"/>
    <col min="3" max="3" width="3.7265625" hidden="1" customWidth="1"/>
    <col min="4" max="4" width="50.7265625" customWidth="1"/>
    <col min="5" max="12" width="22.7265625" customWidth="1"/>
  </cols>
  <sheetData>
    <row r="1" spans="1:130" ht="60" customHeight="1">
      <c r="A1" s="26" t="s">
        <v>3052</v>
      </c>
      <c r="B1" s="19"/>
      <c r="C1" s="19"/>
      <c r="D1" s="19"/>
      <c r="E1" s="19"/>
      <c r="F1" s="19"/>
      <c r="G1" s="19"/>
      <c r="H1" s="19"/>
      <c r="I1" s="19"/>
      <c r="J1" s="19"/>
      <c r="K1" s="19"/>
      <c r="L1" s="19"/>
      <c r="M1" s="19"/>
      <c r="N1" s="19"/>
    </row>
    <row r="2" spans="1:130" ht="25.15" customHeight="1">
      <c r="A2" s="39"/>
      <c r="B2" s="39"/>
      <c r="C2" s="39"/>
      <c r="D2" s="41" t="s">
        <v>3133</v>
      </c>
      <c r="E2" s="39"/>
      <c r="F2" s="39"/>
      <c r="G2" s="39"/>
      <c r="H2" s="39"/>
      <c r="I2" s="39"/>
      <c r="J2" s="39"/>
      <c r="K2" s="39"/>
      <c r="L2" s="39"/>
      <c r="M2" s="39"/>
      <c r="N2" s="39"/>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row>
    <row r="3" spans="1:130">
      <c r="A3" s="19"/>
      <c r="B3" s="19"/>
      <c r="C3" s="19"/>
      <c r="D3" s="42" t="s">
        <v>574</v>
      </c>
      <c r="E3" s="19"/>
      <c r="F3" s="19"/>
      <c r="G3" s="19"/>
      <c r="H3" s="19"/>
      <c r="I3" s="19"/>
      <c r="J3" s="19"/>
      <c r="K3" s="19"/>
      <c r="L3" s="19"/>
      <c r="M3" s="19"/>
      <c r="N3" s="19"/>
    </row>
    <row r="4" spans="1:130" hidden="1">
      <c r="A4" s="19"/>
      <c r="B4" s="19"/>
      <c r="C4" s="19"/>
      <c r="D4" s="19"/>
      <c r="E4" s="19"/>
      <c r="F4" s="19"/>
      <c r="G4" s="19"/>
      <c r="H4" s="19"/>
      <c r="I4" s="19"/>
      <c r="J4" s="19"/>
      <c r="K4" s="19"/>
      <c r="L4" s="19"/>
      <c r="M4" s="19"/>
      <c r="N4" s="19"/>
    </row>
    <row r="5" spans="1:130" ht="15" hidden="1" customHeight="1">
      <c r="A5" s="28"/>
      <c r="B5" s="28"/>
      <c r="C5" s="29" t="s">
        <v>3053</v>
      </c>
      <c r="D5" s="28"/>
      <c r="E5" s="28"/>
      <c r="F5" s="28"/>
      <c r="G5" s="28"/>
      <c r="H5" s="19"/>
      <c r="I5" s="19"/>
      <c r="J5" s="19"/>
      <c r="K5" s="19"/>
      <c r="L5" s="19"/>
      <c r="M5" s="19"/>
      <c r="N5" s="19"/>
    </row>
    <row r="6" spans="1:130" hidden="1">
      <c r="A6" s="28"/>
      <c r="B6" s="28"/>
      <c r="C6" s="28"/>
      <c r="D6" s="28"/>
      <c r="E6" s="28"/>
      <c r="F6" s="28"/>
      <c r="G6" s="28"/>
      <c r="H6" s="19"/>
      <c r="I6" s="19"/>
      <c r="J6" s="19"/>
      <c r="K6" s="19"/>
      <c r="L6" s="19"/>
      <c r="M6" s="19"/>
      <c r="N6" s="19"/>
    </row>
    <row r="7" spans="1:130" hidden="1">
      <c r="A7" s="28"/>
      <c r="B7" s="28"/>
      <c r="C7" s="28"/>
      <c r="D7" s="28"/>
      <c r="E7" s="28"/>
      <c r="F7" s="28"/>
      <c r="G7" s="28"/>
      <c r="H7" s="19"/>
      <c r="I7" s="19"/>
      <c r="J7" s="19"/>
      <c r="K7" s="19"/>
      <c r="L7" s="19"/>
      <c r="M7" s="19"/>
      <c r="N7" s="19"/>
    </row>
    <row r="8" spans="1:130" hidden="1">
      <c r="A8" s="28"/>
      <c r="B8" s="28"/>
      <c r="C8" s="28" t="s">
        <v>510</v>
      </c>
      <c r="D8" s="28" t="s">
        <v>508</v>
      </c>
      <c r="E8" s="28"/>
      <c r="F8" s="28" t="s">
        <v>509</v>
      </c>
      <c r="G8" s="28" t="s">
        <v>511</v>
      </c>
      <c r="H8" s="19"/>
      <c r="I8" s="19"/>
      <c r="J8" s="19"/>
      <c r="K8" s="19"/>
      <c r="L8" s="19"/>
      <c r="M8" s="19"/>
      <c r="N8" s="19"/>
    </row>
    <row r="9" spans="1:130">
      <c r="A9" s="28"/>
      <c r="B9" s="28"/>
      <c r="C9" s="28" t="s">
        <v>509</v>
      </c>
      <c r="D9" s="30"/>
      <c r="E9" s="19"/>
      <c r="F9" s="19"/>
      <c r="G9" s="28"/>
      <c r="H9" s="19"/>
      <c r="I9" s="19"/>
      <c r="J9" s="19"/>
      <c r="K9" s="19"/>
      <c r="L9" s="19"/>
      <c r="M9" s="19"/>
      <c r="N9" s="19"/>
    </row>
    <row r="10" spans="1:130">
      <c r="A10" s="28" t="s">
        <v>3054</v>
      </c>
      <c r="B10" s="28"/>
      <c r="C10" s="28"/>
      <c r="D10" s="31" t="s">
        <v>3056</v>
      </c>
      <c r="E10" s="31"/>
      <c r="F10" s="19"/>
      <c r="G10" s="28"/>
      <c r="H10" s="19"/>
      <c r="I10" s="19"/>
      <c r="J10" s="19"/>
      <c r="K10" s="19"/>
      <c r="L10" s="19"/>
      <c r="M10" s="19"/>
      <c r="N10" s="19"/>
    </row>
    <row r="11" spans="1:130">
      <c r="A11" s="28" t="s">
        <v>3055</v>
      </c>
      <c r="B11" s="28"/>
      <c r="C11" s="28"/>
      <c r="D11" s="55" t="s">
        <v>3129</v>
      </c>
      <c r="E11" s="52"/>
      <c r="F11" s="19"/>
      <c r="G11" s="28"/>
      <c r="H11" s="19"/>
      <c r="I11" s="19"/>
      <c r="J11" s="19"/>
      <c r="K11" s="19"/>
      <c r="L11" s="19"/>
      <c r="M11" s="19"/>
      <c r="N11" s="19"/>
    </row>
    <row r="12" spans="1:130" hidden="1">
      <c r="A12" s="28"/>
      <c r="B12" s="28"/>
      <c r="C12" s="28" t="s">
        <v>509</v>
      </c>
      <c r="D12" s="19"/>
      <c r="E12" s="19"/>
      <c r="F12" s="19"/>
      <c r="G12" s="28"/>
      <c r="H12" s="19"/>
      <c r="I12" s="19"/>
      <c r="J12" s="19"/>
      <c r="K12" s="19"/>
      <c r="L12" s="19"/>
      <c r="M12" s="19"/>
      <c r="N12" s="19"/>
    </row>
    <row r="13" spans="1:130" hidden="1">
      <c r="A13" s="28"/>
      <c r="B13" s="28"/>
      <c r="C13" s="28" t="s">
        <v>512</v>
      </c>
      <c r="D13" s="28"/>
      <c r="E13" s="28"/>
      <c r="F13" s="28"/>
      <c r="G13" s="28" t="s">
        <v>513</v>
      </c>
      <c r="H13" s="19"/>
      <c r="I13" s="19"/>
      <c r="J13" s="19"/>
      <c r="K13" s="19"/>
      <c r="L13" s="19"/>
      <c r="M13" s="19"/>
      <c r="N13" s="19"/>
    </row>
    <row r="14" spans="1:130">
      <c r="A14" s="19"/>
      <c r="B14" s="19"/>
      <c r="C14" s="19"/>
      <c r="D14" s="19"/>
      <c r="E14" s="19"/>
      <c r="F14" s="19"/>
      <c r="G14" s="19"/>
      <c r="H14" s="19"/>
      <c r="I14" s="19"/>
      <c r="J14" s="19"/>
      <c r="K14" s="19"/>
      <c r="L14" s="19"/>
      <c r="M14" s="19"/>
      <c r="N14" s="19"/>
    </row>
    <row r="15" spans="1:130">
      <c r="A15" s="19"/>
      <c r="B15" s="19"/>
      <c r="C15" s="19"/>
      <c r="D15" s="19"/>
      <c r="E15" s="19"/>
      <c r="F15" s="19"/>
      <c r="G15" s="19"/>
      <c r="H15" s="19"/>
      <c r="I15" s="19"/>
      <c r="J15" s="19"/>
      <c r="K15" s="19"/>
      <c r="L15" s="19"/>
      <c r="M15" s="19"/>
      <c r="N15" s="19"/>
    </row>
    <row r="16" spans="1:130" ht="15" hidden="1" customHeight="1">
      <c r="A16" s="28"/>
      <c r="B16" s="28"/>
      <c r="C16" s="29" t="s">
        <v>3057</v>
      </c>
      <c r="D16" s="28"/>
      <c r="E16" s="28"/>
      <c r="F16" s="28"/>
      <c r="G16" s="28"/>
      <c r="H16" s="28"/>
      <c r="I16" s="28"/>
      <c r="J16" s="28"/>
      <c r="K16" s="28"/>
      <c r="L16" s="28"/>
      <c r="M16" s="28"/>
      <c r="N16" s="28"/>
    </row>
    <row r="17" spans="1:14" hidden="1">
      <c r="A17" s="28"/>
      <c r="B17" s="28"/>
      <c r="C17" s="28"/>
      <c r="D17" s="28"/>
      <c r="E17" s="28"/>
      <c r="F17" s="28"/>
      <c r="G17" s="28"/>
      <c r="H17" s="28"/>
      <c r="I17" s="28"/>
      <c r="J17" s="28"/>
      <c r="K17" s="28"/>
      <c r="L17" s="28"/>
      <c r="M17" s="28"/>
      <c r="N17" s="28"/>
    </row>
    <row r="18" spans="1:14" hidden="1">
      <c r="A18" s="28"/>
      <c r="B18" s="28"/>
      <c r="C18" s="28"/>
      <c r="D18" s="28"/>
      <c r="E18" s="28" t="s">
        <v>3093</v>
      </c>
      <c r="F18" s="28" t="s">
        <v>3094</v>
      </c>
      <c r="G18" s="28" t="s">
        <v>3095</v>
      </c>
      <c r="H18" s="28" t="s">
        <v>3096</v>
      </c>
      <c r="I18" s="28" t="s">
        <v>3097</v>
      </c>
      <c r="J18" s="28" t="s">
        <v>3098</v>
      </c>
      <c r="K18" s="28" t="s">
        <v>3099</v>
      </c>
      <c r="L18" s="28">
        <v>0</v>
      </c>
      <c r="M18" s="28"/>
      <c r="N18" s="28"/>
    </row>
    <row r="19" spans="1:14" hidden="1">
      <c r="A19" s="28"/>
      <c r="B19" s="28"/>
      <c r="C19" s="28" t="s">
        <v>510</v>
      </c>
      <c r="D19" s="28" t="s">
        <v>508</v>
      </c>
      <c r="E19" s="28"/>
      <c r="F19" s="28"/>
      <c r="G19" s="28"/>
      <c r="H19" s="28"/>
      <c r="I19" s="28"/>
      <c r="J19" s="28"/>
      <c r="K19" s="28"/>
      <c r="L19" s="28"/>
      <c r="M19" s="28" t="s">
        <v>509</v>
      </c>
      <c r="N19" s="28" t="s">
        <v>511</v>
      </c>
    </row>
    <row r="20" spans="1:14" ht="50" customHeight="1">
      <c r="A20" s="28"/>
      <c r="B20" s="28" t="s">
        <v>3128</v>
      </c>
      <c r="C20" s="28" t="s">
        <v>599</v>
      </c>
      <c r="D20" s="84" t="s">
        <v>3127</v>
      </c>
      <c r="E20" s="20" t="s">
        <v>3120</v>
      </c>
      <c r="F20" s="20" t="s">
        <v>3121</v>
      </c>
      <c r="G20" s="20" t="s">
        <v>3122</v>
      </c>
      <c r="H20" s="20" t="s">
        <v>3123</v>
      </c>
      <c r="I20" s="20" t="s">
        <v>3124</v>
      </c>
      <c r="J20" s="20" t="s">
        <v>3125</v>
      </c>
      <c r="K20" s="20" t="s">
        <v>3126</v>
      </c>
      <c r="L20" s="20" t="s">
        <v>2552</v>
      </c>
      <c r="M20" s="19"/>
      <c r="N20" s="28"/>
    </row>
    <row r="21" spans="1:14" ht="27">
      <c r="A21" s="28"/>
      <c r="B21" s="28"/>
      <c r="C21" s="28" t="s">
        <v>577</v>
      </c>
      <c r="D21" s="43"/>
      <c r="E21" s="20" t="str">
        <f t="shared" ref="E21:L21" si="0">TEXT(DATE(MID(E23,7,4),MID(E23,4,2),MID(E23,1,2)),"dd/MM/yyyy")&amp;" - "&amp;TEXT(DATE(MID(E24,7,4),MID(E24,4,2),MID(E24,1,2)),"dd/MM/yyyy")</f>
        <v>01/01/2024 - 31/12/2024</v>
      </c>
      <c r="F21" s="20" t="str">
        <f t="shared" si="0"/>
        <v>01/01/2024 - 31/12/2024</v>
      </c>
      <c r="G21" s="20" t="str">
        <f t="shared" si="0"/>
        <v>01/01/2024 - 31/12/2024</v>
      </c>
      <c r="H21" s="20" t="str">
        <f t="shared" si="0"/>
        <v>01/01/2024 - 31/12/2024</v>
      </c>
      <c r="I21" s="20" t="str">
        <f t="shared" si="0"/>
        <v>01/01/2024 - 31/12/2024</v>
      </c>
      <c r="J21" s="20" t="str">
        <f t="shared" si="0"/>
        <v>01/01/2024 - 31/12/2024</v>
      </c>
      <c r="K21" s="20" t="str">
        <f t="shared" si="0"/>
        <v>01/01/2024 - 31/12/2024</v>
      </c>
      <c r="L21" s="20" t="str">
        <f t="shared" si="0"/>
        <v>01/01/2024 - 31/12/2024</v>
      </c>
      <c r="M21" s="19"/>
      <c r="N21" s="28"/>
    </row>
    <row r="22" spans="1:14" ht="20" customHeight="1">
      <c r="A22" s="28"/>
      <c r="B22" s="28"/>
      <c r="C22" s="28" t="s">
        <v>578</v>
      </c>
      <c r="D22" s="43"/>
      <c r="E22" s="20" t="str">
        <f>StartUp!$E$8</f>
        <v>MYR'000</v>
      </c>
      <c r="F22" s="20" t="str">
        <f>StartUp!$E$8</f>
        <v>MYR'000</v>
      </c>
      <c r="G22" s="20" t="str">
        <f>StartUp!$E$8</f>
        <v>MYR'000</v>
      </c>
      <c r="H22" s="20" t="str">
        <f>StartUp!$E$8</f>
        <v>MYR'000</v>
      </c>
      <c r="I22" s="20" t="str">
        <f>StartUp!$E$8</f>
        <v>MYR'000</v>
      </c>
      <c r="J22" s="20" t="str">
        <f>StartUp!$E$8</f>
        <v>MYR'000</v>
      </c>
      <c r="K22" s="20" t="str">
        <f>StartUp!$E$8</f>
        <v>MYR'000</v>
      </c>
      <c r="L22" s="20" t="str">
        <f>StartUp!$E$8</f>
        <v>MYR'000</v>
      </c>
      <c r="M22" s="19"/>
      <c r="N22" s="28"/>
    </row>
    <row r="23" spans="1:14" ht="20" hidden="1" customHeight="1">
      <c r="A23" s="28"/>
      <c r="B23" s="28"/>
      <c r="C23" s="28" t="s">
        <v>579</v>
      </c>
      <c r="D23" s="43"/>
      <c r="E23" s="44" t="str">
        <f>StartUp!$D$8</f>
        <v>01/01/2024</v>
      </c>
      <c r="F23" s="44" t="str">
        <f>StartUp!$D$8</f>
        <v>01/01/2024</v>
      </c>
      <c r="G23" s="44" t="str">
        <f>StartUp!$D$8</f>
        <v>01/01/2024</v>
      </c>
      <c r="H23" s="44" t="str">
        <f>StartUp!$D$8</f>
        <v>01/01/2024</v>
      </c>
      <c r="I23" s="44" t="str">
        <f>StartUp!$D$8</f>
        <v>01/01/2024</v>
      </c>
      <c r="J23" s="44" t="str">
        <f>StartUp!$D$8</f>
        <v>01/01/2024</v>
      </c>
      <c r="K23" s="44" t="str">
        <f>StartUp!$D$8</f>
        <v>01/01/2024</v>
      </c>
      <c r="L23" s="44" t="str">
        <f>StartUp!$D$8</f>
        <v>01/01/2024</v>
      </c>
      <c r="M23" s="19"/>
      <c r="N23" s="28"/>
    </row>
    <row r="24" spans="1:14" ht="20" hidden="1" customHeight="1">
      <c r="A24" s="28"/>
      <c r="B24" s="28"/>
      <c r="C24" s="28" t="s">
        <v>580</v>
      </c>
      <c r="D24" s="43"/>
      <c r="E24" s="44" t="str">
        <f>StartUp!$D$9</f>
        <v>31/12/2024</v>
      </c>
      <c r="F24" s="44" t="str">
        <f>StartUp!$D$9</f>
        <v>31/12/2024</v>
      </c>
      <c r="G24" s="44" t="str">
        <f>StartUp!$D$9</f>
        <v>31/12/2024</v>
      </c>
      <c r="H24" s="44" t="str">
        <f>StartUp!$D$9</f>
        <v>31/12/2024</v>
      </c>
      <c r="I24" s="44" t="str">
        <f>StartUp!$D$9</f>
        <v>31/12/2024</v>
      </c>
      <c r="J24" s="44" t="str">
        <f>StartUp!$D$9</f>
        <v>31/12/2024</v>
      </c>
      <c r="K24" s="44" t="str">
        <f>StartUp!$D$9</f>
        <v>31/12/2024</v>
      </c>
      <c r="L24" s="44" t="str">
        <f>StartUp!$D$9</f>
        <v>31/12/2024</v>
      </c>
      <c r="M24" s="19"/>
      <c r="N24" s="28"/>
    </row>
    <row r="25" spans="1:14">
      <c r="A25" s="28"/>
      <c r="B25" s="28"/>
      <c r="C25" s="28" t="s">
        <v>509</v>
      </c>
      <c r="D25" s="30"/>
      <c r="E25" s="19"/>
      <c r="F25" s="19"/>
      <c r="G25" s="19"/>
      <c r="H25" s="19"/>
      <c r="I25" s="19"/>
      <c r="J25" s="19"/>
      <c r="K25" s="19"/>
      <c r="L25" s="19"/>
      <c r="M25" s="19"/>
      <c r="N25" s="28"/>
    </row>
    <row r="26" spans="1:14" ht="27">
      <c r="A26" s="28" t="s">
        <v>3058</v>
      </c>
      <c r="B26" s="28"/>
      <c r="C26" s="28"/>
      <c r="D26" s="31" t="s">
        <v>3100</v>
      </c>
      <c r="E26" s="31"/>
      <c r="F26" s="31"/>
      <c r="G26" s="31"/>
      <c r="H26" s="31"/>
      <c r="I26" s="31"/>
      <c r="J26" s="31"/>
      <c r="K26" s="31"/>
      <c r="L26" s="31"/>
      <c r="M26" s="19"/>
      <c r="N26" s="28"/>
    </row>
    <row r="27" spans="1:14" ht="27">
      <c r="A27" s="28" t="s">
        <v>3059</v>
      </c>
      <c r="B27" s="28"/>
      <c r="C27" s="28"/>
      <c r="D27" s="32" t="s">
        <v>3100</v>
      </c>
      <c r="E27" s="31"/>
      <c r="F27" s="31"/>
      <c r="G27" s="31"/>
      <c r="H27" s="31"/>
      <c r="I27" s="31"/>
      <c r="J27" s="31"/>
      <c r="K27" s="31"/>
      <c r="L27" s="31"/>
      <c r="M27" s="19"/>
      <c r="N27" s="28"/>
    </row>
    <row r="28" spans="1:14">
      <c r="A28" s="28" t="s">
        <v>3060</v>
      </c>
      <c r="B28" s="28"/>
      <c r="C28" s="28"/>
      <c r="D28" s="57" t="s">
        <v>3101</v>
      </c>
      <c r="E28" s="58"/>
      <c r="F28" s="58"/>
      <c r="G28" s="58"/>
      <c r="H28" s="58"/>
      <c r="I28" s="58"/>
      <c r="J28" s="58"/>
      <c r="K28" s="58"/>
      <c r="L28" s="58"/>
      <c r="M28" s="19"/>
      <c r="N28" s="28"/>
    </row>
    <row r="29" spans="1:14">
      <c r="A29" s="28" t="s">
        <v>3061</v>
      </c>
      <c r="B29" s="28"/>
      <c r="C29" s="28"/>
      <c r="D29" s="38" t="s">
        <v>3102</v>
      </c>
      <c r="E29" s="61"/>
      <c r="F29" s="61"/>
      <c r="G29" s="61"/>
      <c r="H29" s="61"/>
      <c r="I29" s="61"/>
      <c r="J29" s="61"/>
      <c r="K29" s="61"/>
      <c r="L29" s="61"/>
      <c r="M29" s="19"/>
      <c r="N29" s="28"/>
    </row>
    <row r="30" spans="1:14">
      <c r="A30" s="28" t="s">
        <v>3062</v>
      </c>
      <c r="B30" s="28"/>
      <c r="C30" s="28"/>
      <c r="D30" s="38" t="s">
        <v>3103</v>
      </c>
      <c r="E30" s="61"/>
      <c r="F30" s="61"/>
      <c r="G30" s="61"/>
      <c r="H30" s="61"/>
      <c r="I30" s="61"/>
      <c r="J30" s="61"/>
      <c r="K30" s="61"/>
      <c r="L30" s="61"/>
      <c r="M30" s="19"/>
      <c r="N30" s="28"/>
    </row>
    <row r="31" spans="1:14">
      <c r="A31" s="28" t="s">
        <v>3063</v>
      </c>
      <c r="B31" s="28"/>
      <c r="C31" s="28"/>
      <c r="D31" s="38" t="s">
        <v>2030</v>
      </c>
      <c r="E31" s="61"/>
      <c r="F31" s="61"/>
      <c r="G31" s="61"/>
      <c r="H31" s="61"/>
      <c r="I31" s="61"/>
      <c r="J31" s="61"/>
      <c r="K31" s="61"/>
      <c r="L31" s="61"/>
      <c r="M31" s="19"/>
      <c r="N31" s="28"/>
    </row>
    <row r="32" spans="1:14">
      <c r="A32" s="28" t="s">
        <v>3064</v>
      </c>
      <c r="B32" s="28"/>
      <c r="C32" s="28"/>
      <c r="D32" s="38" t="s">
        <v>2022</v>
      </c>
      <c r="E32" s="61"/>
      <c r="F32" s="61"/>
      <c r="G32" s="61"/>
      <c r="H32" s="61"/>
      <c r="I32" s="61"/>
      <c r="J32" s="61"/>
      <c r="K32" s="61"/>
      <c r="L32" s="61"/>
      <c r="M32" s="19"/>
      <c r="N32" s="28"/>
    </row>
    <row r="33" spans="1:14">
      <c r="A33" s="28" t="s">
        <v>3065</v>
      </c>
      <c r="B33" s="28"/>
      <c r="C33" s="28"/>
      <c r="D33" s="38" t="s">
        <v>3104</v>
      </c>
      <c r="E33" s="61"/>
      <c r="F33" s="61"/>
      <c r="G33" s="61"/>
      <c r="H33" s="61"/>
      <c r="I33" s="61"/>
      <c r="J33" s="61"/>
      <c r="K33" s="61"/>
      <c r="L33" s="61"/>
      <c r="M33" s="19"/>
      <c r="N33" s="28"/>
    </row>
    <row r="34" spans="1:14">
      <c r="A34" s="28" t="s">
        <v>3066</v>
      </c>
      <c r="B34" s="28"/>
      <c r="C34" s="28"/>
      <c r="D34" s="38" t="s">
        <v>3105</v>
      </c>
      <c r="E34" s="61"/>
      <c r="F34" s="61"/>
      <c r="G34" s="61"/>
      <c r="H34" s="61"/>
      <c r="I34" s="61"/>
      <c r="J34" s="61"/>
      <c r="K34" s="61"/>
      <c r="L34" s="61"/>
      <c r="M34" s="19"/>
      <c r="N34" s="28"/>
    </row>
    <row r="35" spans="1:14">
      <c r="A35" s="28" t="s">
        <v>3067</v>
      </c>
      <c r="B35" s="28"/>
      <c r="C35" s="28"/>
      <c r="D35" s="38" t="s">
        <v>3106</v>
      </c>
      <c r="E35" s="61"/>
      <c r="F35" s="61"/>
      <c r="G35" s="61"/>
      <c r="H35" s="61"/>
      <c r="I35" s="61"/>
      <c r="J35" s="61"/>
      <c r="K35" s="61"/>
      <c r="L35" s="61"/>
      <c r="M35" s="19"/>
      <c r="N35" s="28"/>
    </row>
    <row r="36" spans="1:14">
      <c r="A36" s="28" t="s">
        <v>3068</v>
      </c>
      <c r="B36" s="28"/>
      <c r="C36" s="28"/>
      <c r="D36" s="38" t="s">
        <v>2071</v>
      </c>
      <c r="E36" s="61"/>
      <c r="F36" s="61"/>
      <c r="G36" s="61"/>
      <c r="H36" s="61"/>
      <c r="I36" s="61"/>
      <c r="J36" s="61"/>
      <c r="K36" s="61"/>
      <c r="L36" s="61"/>
      <c r="M36" s="19"/>
      <c r="N36" s="28"/>
    </row>
    <row r="37" spans="1:14">
      <c r="A37" s="28" t="s">
        <v>3069</v>
      </c>
      <c r="B37" s="28"/>
      <c r="C37" s="28"/>
      <c r="D37" s="38" t="s">
        <v>2079</v>
      </c>
      <c r="E37" s="61"/>
      <c r="F37" s="61"/>
      <c r="G37" s="61"/>
      <c r="H37" s="61"/>
      <c r="I37" s="61"/>
      <c r="J37" s="61"/>
      <c r="K37" s="61"/>
      <c r="L37" s="61"/>
      <c r="M37" s="19"/>
      <c r="N37" s="28"/>
    </row>
    <row r="38" spans="1:14">
      <c r="A38" s="28" t="s">
        <v>3070</v>
      </c>
      <c r="B38" s="28"/>
      <c r="C38" s="28"/>
      <c r="D38" s="38" t="s">
        <v>3107</v>
      </c>
      <c r="E38" s="61"/>
      <c r="F38" s="61"/>
      <c r="G38" s="61"/>
      <c r="H38" s="61"/>
      <c r="I38" s="61"/>
      <c r="J38" s="61"/>
      <c r="K38" s="61"/>
      <c r="L38" s="61"/>
      <c r="M38" s="19"/>
      <c r="N38" s="28"/>
    </row>
    <row r="39" spans="1:14">
      <c r="A39" s="28" t="s">
        <v>3071</v>
      </c>
      <c r="B39" s="28"/>
      <c r="C39" s="28"/>
      <c r="D39" s="38" t="s">
        <v>2033</v>
      </c>
      <c r="E39" s="61"/>
      <c r="F39" s="61"/>
      <c r="G39" s="61"/>
      <c r="H39" s="61"/>
      <c r="I39" s="61"/>
      <c r="J39" s="61"/>
      <c r="K39" s="61"/>
      <c r="L39" s="61"/>
      <c r="M39" s="19"/>
      <c r="N39" s="28"/>
    </row>
    <row r="40" spans="1:14" ht="27">
      <c r="A40" s="28" t="s">
        <v>3072</v>
      </c>
      <c r="B40" s="28"/>
      <c r="C40" s="28"/>
      <c r="D40" s="38" t="s">
        <v>3108</v>
      </c>
      <c r="E40" s="61"/>
      <c r="F40" s="61"/>
      <c r="G40" s="61"/>
      <c r="H40" s="61"/>
      <c r="I40" s="61"/>
      <c r="J40" s="61"/>
      <c r="K40" s="61"/>
      <c r="L40" s="61"/>
      <c r="M40" s="19"/>
      <c r="N40" s="28"/>
    </row>
    <row r="41" spans="1:14" ht="27">
      <c r="A41" s="28" t="s">
        <v>3073</v>
      </c>
      <c r="B41" s="28"/>
      <c r="C41" s="28"/>
      <c r="D41" s="38" t="s">
        <v>3109</v>
      </c>
      <c r="E41" s="61"/>
      <c r="F41" s="61"/>
      <c r="G41" s="61"/>
      <c r="H41" s="61"/>
      <c r="I41" s="61"/>
      <c r="J41" s="61"/>
      <c r="K41" s="61"/>
      <c r="L41" s="61"/>
      <c r="M41" s="19"/>
      <c r="N41" s="28"/>
    </row>
    <row r="42" spans="1:14">
      <c r="A42" s="28" t="s">
        <v>3074</v>
      </c>
      <c r="B42" s="28"/>
      <c r="C42" s="28"/>
      <c r="D42" s="38" t="s">
        <v>3110</v>
      </c>
      <c r="E42" s="61"/>
      <c r="F42" s="61"/>
      <c r="G42" s="61"/>
      <c r="H42" s="61"/>
      <c r="I42" s="61"/>
      <c r="J42" s="61"/>
      <c r="K42" s="61"/>
      <c r="L42" s="61"/>
      <c r="M42" s="19"/>
      <c r="N42" s="28"/>
    </row>
    <row r="43" spans="1:14">
      <c r="A43" s="28" t="s">
        <v>3075</v>
      </c>
      <c r="B43" s="28"/>
      <c r="C43" s="28"/>
      <c r="D43" s="38" t="s">
        <v>3111</v>
      </c>
      <c r="E43" s="61"/>
      <c r="F43" s="61"/>
      <c r="G43" s="61"/>
      <c r="H43" s="61"/>
      <c r="I43" s="61"/>
      <c r="J43" s="61"/>
      <c r="K43" s="61"/>
      <c r="L43" s="61"/>
      <c r="M43" s="19"/>
      <c r="N43" s="28"/>
    </row>
    <row r="44" spans="1:14">
      <c r="A44" s="28" t="s">
        <v>3076</v>
      </c>
      <c r="B44" s="28"/>
      <c r="C44" s="28"/>
      <c r="D44" s="38" t="s">
        <v>2096</v>
      </c>
      <c r="E44" s="61"/>
      <c r="F44" s="61"/>
      <c r="G44" s="61"/>
      <c r="H44" s="61"/>
      <c r="I44" s="61"/>
      <c r="J44" s="61"/>
      <c r="K44" s="61"/>
      <c r="L44" s="61"/>
      <c r="M44" s="19"/>
      <c r="N44" s="28"/>
    </row>
    <row r="45" spans="1:14">
      <c r="A45" s="28" t="s">
        <v>3077</v>
      </c>
      <c r="B45" s="28"/>
      <c r="C45" s="28"/>
      <c r="D45" s="38" t="s">
        <v>2031</v>
      </c>
      <c r="E45" s="61"/>
      <c r="F45" s="61"/>
      <c r="G45" s="61"/>
      <c r="H45" s="61"/>
      <c r="I45" s="61"/>
      <c r="J45" s="61"/>
      <c r="K45" s="61"/>
      <c r="L45" s="61"/>
      <c r="M45" s="19"/>
      <c r="N45" s="28"/>
    </row>
    <row r="46" spans="1:14">
      <c r="A46" s="28" t="s">
        <v>3078</v>
      </c>
      <c r="B46" s="28"/>
      <c r="C46" s="28"/>
      <c r="D46" s="38" t="s">
        <v>2002</v>
      </c>
      <c r="E46" s="61"/>
      <c r="F46" s="61"/>
      <c r="G46" s="61"/>
      <c r="H46" s="61"/>
      <c r="I46" s="61"/>
      <c r="J46" s="61"/>
      <c r="K46" s="61"/>
      <c r="L46" s="61"/>
      <c r="M46" s="19"/>
      <c r="N46" s="28"/>
    </row>
    <row r="47" spans="1:14">
      <c r="A47" s="28" t="s">
        <v>3079</v>
      </c>
      <c r="B47" s="28"/>
      <c r="C47" s="28"/>
      <c r="D47" s="38" t="s">
        <v>2012</v>
      </c>
      <c r="E47" s="61"/>
      <c r="F47" s="61"/>
      <c r="G47" s="61"/>
      <c r="H47" s="61"/>
      <c r="I47" s="61"/>
      <c r="J47" s="61"/>
      <c r="K47" s="61"/>
      <c r="L47" s="61"/>
      <c r="M47" s="19"/>
      <c r="N47" s="28"/>
    </row>
    <row r="48" spans="1:14">
      <c r="A48" s="28" t="s">
        <v>3080</v>
      </c>
      <c r="B48" s="28"/>
      <c r="C48" s="28"/>
      <c r="D48" s="38" t="s">
        <v>2097</v>
      </c>
      <c r="E48" s="61"/>
      <c r="F48" s="61"/>
      <c r="G48" s="61"/>
      <c r="H48" s="61"/>
      <c r="I48" s="61"/>
      <c r="J48" s="61"/>
      <c r="K48" s="61"/>
      <c r="L48" s="61"/>
      <c r="M48" s="19"/>
      <c r="N48" s="28"/>
    </row>
    <row r="49" spans="1:14">
      <c r="A49" s="28" t="s">
        <v>3081</v>
      </c>
      <c r="B49" s="28"/>
      <c r="C49" s="28"/>
      <c r="D49" s="38" t="s">
        <v>2032</v>
      </c>
      <c r="E49" s="61"/>
      <c r="F49" s="61"/>
      <c r="G49" s="61"/>
      <c r="H49" s="61"/>
      <c r="I49" s="61"/>
      <c r="J49" s="61"/>
      <c r="K49" s="61"/>
      <c r="L49" s="61"/>
      <c r="M49" s="19"/>
      <c r="N49" s="28"/>
    </row>
    <row r="50" spans="1:14">
      <c r="A50" s="28" t="s">
        <v>3082</v>
      </c>
      <c r="B50" s="28"/>
      <c r="C50" s="28"/>
      <c r="D50" s="38" t="s">
        <v>3112</v>
      </c>
      <c r="E50" s="61"/>
      <c r="F50" s="61"/>
      <c r="G50" s="61"/>
      <c r="H50" s="61"/>
      <c r="I50" s="61"/>
      <c r="J50" s="61"/>
      <c r="K50" s="61"/>
      <c r="L50" s="61"/>
      <c r="M50" s="19"/>
      <c r="N50" s="28"/>
    </row>
    <row r="51" spans="1:14">
      <c r="A51" s="28" t="s">
        <v>3083</v>
      </c>
      <c r="B51" s="28"/>
      <c r="C51" s="28"/>
      <c r="D51" s="38" t="s">
        <v>3113</v>
      </c>
      <c r="E51" s="61"/>
      <c r="F51" s="61"/>
      <c r="G51" s="61"/>
      <c r="H51" s="61"/>
      <c r="I51" s="61"/>
      <c r="J51" s="61"/>
      <c r="K51" s="61"/>
      <c r="L51" s="61"/>
      <c r="M51" s="19"/>
      <c r="N51" s="28"/>
    </row>
    <row r="52" spans="1:14">
      <c r="A52" s="28" t="s">
        <v>3084</v>
      </c>
      <c r="B52" s="28"/>
      <c r="C52" s="28"/>
      <c r="D52" s="38" t="s">
        <v>3114</v>
      </c>
      <c r="E52" s="61"/>
      <c r="F52" s="61"/>
      <c r="G52" s="61"/>
      <c r="H52" s="61"/>
      <c r="I52" s="61"/>
      <c r="J52" s="61"/>
      <c r="K52" s="61"/>
      <c r="L52" s="61"/>
      <c r="M52" s="19"/>
      <c r="N52" s="28"/>
    </row>
    <row r="53" spans="1:14">
      <c r="A53" s="28" t="s">
        <v>3085</v>
      </c>
      <c r="B53" s="28"/>
      <c r="C53" s="28"/>
      <c r="D53" s="38" t="s">
        <v>3115</v>
      </c>
      <c r="E53" s="61"/>
      <c r="F53" s="61"/>
      <c r="G53" s="61"/>
      <c r="H53" s="61"/>
      <c r="I53" s="61"/>
      <c r="J53" s="61"/>
      <c r="K53" s="61"/>
      <c r="L53" s="61"/>
      <c r="M53" s="19"/>
      <c r="N53" s="28"/>
    </row>
    <row r="54" spans="1:14" ht="27">
      <c r="A54" s="28" t="s">
        <v>3086</v>
      </c>
      <c r="B54" s="28"/>
      <c r="C54" s="28"/>
      <c r="D54" s="38" t="s">
        <v>3116</v>
      </c>
      <c r="E54" s="61"/>
      <c r="F54" s="61"/>
      <c r="G54" s="61"/>
      <c r="H54" s="61"/>
      <c r="I54" s="61"/>
      <c r="J54" s="61"/>
      <c r="K54" s="61"/>
      <c r="L54" s="61"/>
      <c r="M54" s="19"/>
      <c r="N54" s="28"/>
    </row>
    <row r="55" spans="1:14" ht="27">
      <c r="A55" s="28" t="s">
        <v>3087</v>
      </c>
      <c r="B55" s="28"/>
      <c r="C55" s="28"/>
      <c r="D55" s="38" t="s">
        <v>3117</v>
      </c>
      <c r="E55" s="61"/>
      <c r="F55" s="61"/>
      <c r="G55" s="61"/>
      <c r="H55" s="61"/>
      <c r="I55" s="61"/>
      <c r="J55" s="61"/>
      <c r="K55" s="61"/>
      <c r="L55" s="61"/>
      <c r="M55" s="19"/>
      <c r="N55" s="28"/>
    </row>
    <row r="56" spans="1:14">
      <c r="A56" s="28" t="s">
        <v>3088</v>
      </c>
      <c r="B56" s="28"/>
      <c r="C56" s="28"/>
      <c r="D56" s="38" t="s">
        <v>3118</v>
      </c>
      <c r="E56" s="61"/>
      <c r="F56" s="61"/>
      <c r="G56" s="61"/>
      <c r="H56" s="61"/>
      <c r="I56" s="61"/>
      <c r="J56" s="61"/>
      <c r="K56" s="61"/>
      <c r="L56" s="61"/>
      <c r="M56" s="19"/>
      <c r="N56" s="28"/>
    </row>
    <row r="57" spans="1:14" ht="27">
      <c r="A57" s="28" t="s">
        <v>3089</v>
      </c>
      <c r="B57" s="28"/>
      <c r="C57" s="28"/>
      <c r="D57" s="57" t="s">
        <v>3119</v>
      </c>
      <c r="E57" s="58"/>
      <c r="F57" s="58"/>
      <c r="G57" s="58"/>
      <c r="H57" s="58"/>
      <c r="I57" s="58"/>
      <c r="J57" s="58"/>
      <c r="K57" s="58"/>
      <c r="L57" s="58"/>
      <c r="M57" s="19"/>
      <c r="N57" s="28"/>
    </row>
    <row r="58" spans="1:14">
      <c r="A58" s="28" t="s">
        <v>3090</v>
      </c>
      <c r="B58" s="28"/>
      <c r="C58" s="28"/>
      <c r="D58" s="80" t="s">
        <v>3130</v>
      </c>
      <c r="E58" s="61"/>
      <c r="F58" s="61"/>
      <c r="G58" s="61"/>
      <c r="H58" s="61"/>
      <c r="I58" s="61"/>
      <c r="J58" s="61"/>
      <c r="K58" s="61"/>
      <c r="L58" s="61"/>
      <c r="M58" s="19"/>
      <c r="N58" s="28"/>
    </row>
    <row r="59" spans="1:14">
      <c r="A59" s="28" t="s">
        <v>3091</v>
      </c>
      <c r="B59" s="28"/>
      <c r="C59" s="28"/>
      <c r="D59" s="80" t="s">
        <v>3131</v>
      </c>
      <c r="E59" s="61"/>
      <c r="F59" s="61"/>
      <c r="G59" s="61"/>
      <c r="H59" s="61"/>
      <c r="I59" s="61"/>
      <c r="J59" s="61"/>
      <c r="K59" s="61"/>
      <c r="L59" s="61"/>
      <c r="M59" s="19"/>
      <c r="N59" s="28"/>
    </row>
    <row r="60" spans="1:14">
      <c r="A60" s="28" t="s">
        <v>3092</v>
      </c>
      <c r="B60" s="28"/>
      <c r="C60" s="28"/>
      <c r="D60" s="80" t="s">
        <v>3132</v>
      </c>
      <c r="E60" s="61"/>
      <c r="F60" s="61"/>
      <c r="G60" s="61"/>
      <c r="H60" s="61"/>
      <c r="I60" s="61"/>
      <c r="J60" s="61"/>
      <c r="K60" s="61"/>
      <c r="L60" s="61"/>
      <c r="M60" s="19"/>
      <c r="N60" s="28"/>
    </row>
    <row r="61" spans="1:14" hidden="1">
      <c r="A61" s="28"/>
      <c r="B61" s="28"/>
      <c r="C61" s="28" t="s">
        <v>509</v>
      </c>
      <c r="D61" s="19"/>
      <c r="E61" s="19"/>
      <c r="F61" s="19"/>
      <c r="G61" s="19"/>
      <c r="H61" s="19"/>
      <c r="I61" s="19"/>
      <c r="J61" s="19"/>
      <c r="K61" s="19"/>
      <c r="L61" s="19"/>
      <c r="M61" s="19"/>
      <c r="N61" s="28"/>
    </row>
    <row r="62" spans="1:14" hidden="1">
      <c r="A62" s="28"/>
      <c r="B62" s="28"/>
      <c r="C62" s="28" t="s">
        <v>512</v>
      </c>
      <c r="D62" s="28"/>
      <c r="E62" s="28"/>
      <c r="F62" s="28"/>
      <c r="G62" s="28"/>
      <c r="H62" s="28"/>
      <c r="I62" s="28"/>
      <c r="J62" s="28"/>
      <c r="K62" s="28"/>
      <c r="L62" s="28"/>
      <c r="M62" s="28"/>
      <c r="N62" s="28" t="s">
        <v>513</v>
      </c>
    </row>
  </sheetData>
  <sheetProtection algorithmName="SHA-1" hashValue="gpR53O0MQjuHBHBeYhUxekHYYnY=" saltValue="gX+99P/VL+ksvdAZ8QERew==" spinCount="100000" sheet="1" objects="1" scenarios="1" formatColumns="0" formatRows="0"/>
  <dataValidations count="1">
    <dataValidation type="decimal" allowBlank="1" showInputMessage="1" showErrorMessage="1" error="Please enter a numeric value upto 2 decimal places only" sqref="E58:L60 E29:L56" xr:uid="{CFB33CD8-84D0-4123-91C1-C4F600ED5E44}">
      <formula1>-999999999999999</formula1>
      <formula2>999999999999999</formula2>
    </dataValidation>
  </dataValidations>
  <hyperlinks>
    <hyperlink ref="D20" tooltip="Edit Categories of related parties" display="Edit Categories of related parties" xr:uid="{CA132311-A332-4570-850B-9E706176A52E}"/>
  </hyperlinks>
  <pageMargins left="0.7" right="0.7" top="0.75" bottom="0.75" header="0.3" footer="0.3"/>
  <drawing r:id="rId1"/>
  <legacyDrawing r:id="rId2"/>
  <controls>
    <mc:AlternateContent xmlns:mc="http://schemas.openxmlformats.org/markup-compatibility/2006">
      <mc:Choice Requires="x14">
        <control shapeId="26712" r:id="rId3" name="LegendBtn">
          <controlPr defaultSize="0" autoLine="0" r:id="rId4">
            <anchor>
              <from>
                <xdr:col>4</xdr:col>
                <xdr:colOff>508000</xdr:colOff>
                <xdr:row>0</xdr:row>
                <xdr:rowOff>127000</xdr:rowOff>
              </from>
              <to>
                <xdr:col>4</xdr:col>
                <xdr:colOff>927100</xdr:colOff>
                <xdr:row>0</xdr:row>
                <xdr:rowOff>660400</xdr:rowOff>
              </to>
            </anchor>
          </controlPr>
        </control>
      </mc:Choice>
      <mc:Fallback>
        <control shapeId="26712" r:id="rId3" name="LegendBtn"/>
      </mc:Fallback>
    </mc:AlternateContent>
    <mc:AlternateContent xmlns:mc="http://schemas.openxmlformats.org/markup-compatibility/2006">
      <mc:Choice Requires="x14">
        <control shapeId="26711" r:id="rId5" name="HelpBtn">
          <controlPr defaultSize="0" autoLine="0" r:id="rId6">
            <anchor>
              <from>
                <xdr:col>3</xdr:col>
                <xdr:colOff>3505200</xdr:colOff>
                <xdr:row>0</xdr:row>
                <xdr:rowOff>127000</xdr:rowOff>
              </from>
              <to>
                <xdr:col>4</xdr:col>
                <xdr:colOff>381000</xdr:colOff>
                <xdr:row>0</xdr:row>
                <xdr:rowOff>660400</xdr:rowOff>
              </to>
            </anchor>
          </controlPr>
        </control>
      </mc:Choice>
      <mc:Fallback>
        <control shapeId="26711" r:id="rId5" name="HelpBtn"/>
      </mc:Fallback>
    </mc:AlternateContent>
    <mc:AlternateContent xmlns:mc="http://schemas.openxmlformats.org/markup-compatibility/2006">
      <mc:Choice Requires="x14">
        <control shapeId="26710" r:id="rId7" name="ToolboxBtn">
          <controlPr defaultSize="0" autoLine="0" r:id="rId8">
            <anchor>
              <from>
                <xdr:col>3</xdr:col>
                <xdr:colOff>2959100</xdr:colOff>
                <xdr:row>0</xdr:row>
                <xdr:rowOff>127000</xdr:rowOff>
              </from>
              <to>
                <xdr:col>3</xdr:col>
                <xdr:colOff>3378200</xdr:colOff>
                <xdr:row>0</xdr:row>
                <xdr:rowOff>660400</xdr:rowOff>
              </to>
            </anchor>
          </controlPr>
        </control>
      </mc:Choice>
      <mc:Fallback>
        <control shapeId="26710" r:id="rId7" name="ToolboxBtn"/>
      </mc:Fallback>
    </mc:AlternateContent>
    <mc:AlternateContent xmlns:mc="http://schemas.openxmlformats.org/markup-compatibility/2006">
      <mc:Choice Requires="x14">
        <control shapeId="26709" r:id="rId9" name="HomeBtn">
          <controlPr defaultSize="0" autoLine="0" r:id="rId10">
            <anchor>
              <from>
                <xdr:col>3</xdr:col>
                <xdr:colOff>2413000</xdr:colOff>
                <xdr:row>0</xdr:row>
                <xdr:rowOff>101600</xdr:rowOff>
              </from>
              <to>
                <xdr:col>3</xdr:col>
                <xdr:colOff>2832100</xdr:colOff>
                <xdr:row>0</xdr:row>
                <xdr:rowOff>635000</xdr:rowOff>
              </to>
            </anchor>
          </controlPr>
        </control>
      </mc:Choice>
      <mc:Fallback>
        <control shapeId="26709" r:id="rId9" name="HomeBtn"/>
      </mc:Fallback>
    </mc:AlternateContent>
  </control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A30"/>
  <sheetViews>
    <sheetView workbookViewId="0">
      <selection activeCell="M34" sqref="M34"/>
    </sheetView>
  </sheetViews>
  <sheetFormatPr defaultRowHeight="14.5"/>
  <cols>
    <col min="2" max="2" width="24" customWidth="1"/>
  </cols>
  <sheetData>
    <row r="1" spans="1:1">
      <c r="A1" s="17"/>
    </row>
    <row r="2" spans="1:1">
      <c r="A2" s="17"/>
    </row>
    <row r="3" spans="1:1">
      <c r="A3" s="18"/>
    </row>
    <row r="4" spans="1:1">
      <c r="A4" s="18"/>
    </row>
    <row r="5" spans="1:1">
      <c r="A5" s="17"/>
    </row>
    <row r="6" spans="1:1">
      <c r="A6" s="17"/>
    </row>
    <row r="7" spans="1:1">
      <c r="A7" s="18"/>
    </row>
    <row r="8" spans="1:1">
      <c r="A8" s="18"/>
    </row>
    <row r="9" spans="1:1">
      <c r="A9" s="17"/>
    </row>
    <row r="10" spans="1:1">
      <c r="A10" s="17"/>
    </row>
    <row r="11" spans="1:1">
      <c r="A11" s="18"/>
    </row>
    <row r="12" spans="1:1">
      <c r="A12" s="18"/>
    </row>
    <row r="13" spans="1:1">
      <c r="A13" s="17"/>
    </row>
    <row r="14" spans="1:1">
      <c r="A14" s="17"/>
    </row>
    <row r="15" spans="1:1">
      <c r="A15" s="18"/>
    </row>
    <row r="16" spans="1:1">
      <c r="A16" s="18"/>
    </row>
    <row r="17" spans="1:1">
      <c r="A17" s="17"/>
    </row>
    <row r="18" spans="1:1">
      <c r="A18" s="17"/>
    </row>
    <row r="19" spans="1:1">
      <c r="A19" s="18"/>
    </row>
    <row r="20" spans="1:1">
      <c r="A20" s="18"/>
    </row>
    <row r="21" spans="1:1">
      <c r="A21" s="17"/>
    </row>
    <row r="22" spans="1:1">
      <c r="A22" s="17"/>
    </row>
    <row r="23" spans="1:1">
      <c r="A23" s="18"/>
    </row>
    <row r="24" spans="1:1">
      <c r="A24" s="18"/>
    </row>
    <row r="25" spans="1:1">
      <c r="A25" s="17"/>
    </row>
    <row r="26" spans="1:1">
      <c r="A26" s="17"/>
    </row>
    <row r="27" spans="1:1">
      <c r="A27" s="18"/>
    </row>
    <row r="28" spans="1:1">
      <c r="A28" s="18"/>
    </row>
    <row r="29" spans="1:1">
      <c r="A29" s="18"/>
    </row>
    <row r="30" spans="1:1">
      <c r="A30" s="1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D1:L43"/>
  <sheetViews>
    <sheetView workbookViewId="0">
      <selection activeCell="E28" sqref="E28"/>
    </sheetView>
  </sheetViews>
  <sheetFormatPr defaultRowHeight="14.5"/>
  <sheetData>
    <row r="1" spans="4:12">
      <c r="K1" t="s">
        <v>428</v>
      </c>
      <c r="L1" s="15" t="s">
        <v>429</v>
      </c>
    </row>
    <row r="2" spans="4:12">
      <c r="K2" t="s">
        <v>430</v>
      </c>
      <c r="L2" s="15" t="s">
        <v>431</v>
      </c>
    </row>
    <row r="3" spans="4:12">
      <c r="K3" t="s">
        <v>432</v>
      </c>
      <c r="L3" s="15" t="s">
        <v>433</v>
      </c>
    </row>
    <row r="4" spans="4:12">
      <c r="K4" t="s">
        <v>434</v>
      </c>
      <c r="L4" s="15" t="s">
        <v>431</v>
      </c>
    </row>
    <row r="5" spans="4:12">
      <c r="K5" t="s">
        <v>435</v>
      </c>
      <c r="L5" s="15" t="s">
        <v>436</v>
      </c>
    </row>
    <row r="6" spans="4:12">
      <c r="D6" t="s">
        <v>469</v>
      </c>
      <c r="E6" t="s">
        <v>469</v>
      </c>
      <c r="K6" t="s">
        <v>437</v>
      </c>
      <c r="L6" s="15" t="s">
        <v>438</v>
      </c>
    </row>
    <row r="7" spans="4:12">
      <c r="D7" t="s">
        <v>472</v>
      </c>
      <c r="E7" t="s">
        <v>472</v>
      </c>
      <c r="K7" t="s">
        <v>439</v>
      </c>
      <c r="L7" s="15" t="s">
        <v>440</v>
      </c>
    </row>
    <row r="8" spans="4:12">
      <c r="D8" s="15" t="s">
        <v>448</v>
      </c>
      <c r="E8" t="s">
        <v>505</v>
      </c>
      <c r="K8" t="s">
        <v>441</v>
      </c>
      <c r="L8" s="15" t="s">
        <v>442</v>
      </c>
    </row>
    <row r="9" spans="4:12">
      <c r="D9" s="15" t="s">
        <v>450</v>
      </c>
      <c r="K9" t="s">
        <v>443</v>
      </c>
      <c r="L9" s="15" t="s">
        <v>431</v>
      </c>
    </row>
    <row r="10" spans="4:12">
      <c r="D10" s="15" t="s">
        <v>452</v>
      </c>
      <c r="K10" t="s">
        <v>444</v>
      </c>
      <c r="L10" s="15" t="s">
        <v>431</v>
      </c>
    </row>
    <row r="11" spans="4:12">
      <c r="D11" s="15" t="s">
        <v>454</v>
      </c>
      <c r="K11" t="s">
        <v>445</v>
      </c>
      <c r="L11" s="15" t="s">
        <v>446</v>
      </c>
    </row>
    <row r="12" spans="4:12">
      <c r="D12">
        <v>197501000529</v>
      </c>
      <c r="K12" t="s">
        <v>447</v>
      </c>
      <c r="L12" s="15" t="s">
        <v>448</v>
      </c>
    </row>
    <row r="13" spans="4:12">
      <c r="K13" t="s">
        <v>449</v>
      </c>
      <c r="L13" s="15" t="s">
        <v>450</v>
      </c>
    </row>
    <row r="14" spans="4:12">
      <c r="D14" s="15" t="s">
        <v>431</v>
      </c>
      <c r="K14" t="s">
        <v>451</v>
      </c>
      <c r="L14" s="15" t="s">
        <v>452</v>
      </c>
    </row>
    <row r="15" spans="4:12">
      <c r="D15" s="15" t="s">
        <v>431</v>
      </c>
      <c r="K15" t="s">
        <v>453</v>
      </c>
      <c r="L15" s="15" t="s">
        <v>454</v>
      </c>
    </row>
    <row r="16" spans="4:12">
      <c r="K16" t="s">
        <v>455</v>
      </c>
      <c r="L16" s="15" t="s">
        <v>456</v>
      </c>
    </row>
    <row r="17" spans="11:12">
      <c r="K17" t="s">
        <v>457</v>
      </c>
      <c r="L17" s="15" t="s">
        <v>458</v>
      </c>
    </row>
    <row r="18" spans="11:12">
      <c r="K18" t="s">
        <v>459</v>
      </c>
      <c r="L18" s="15" t="s">
        <v>431</v>
      </c>
    </row>
    <row r="19" spans="11:12">
      <c r="K19" t="s">
        <v>460</v>
      </c>
      <c r="L19" s="15" t="s">
        <v>461</v>
      </c>
    </row>
    <row r="20" spans="11:12">
      <c r="K20" t="s">
        <v>462</v>
      </c>
      <c r="L20" s="15" t="s">
        <v>431</v>
      </c>
    </row>
    <row r="21" spans="11:12">
      <c r="K21" t="s">
        <v>463</v>
      </c>
      <c r="L21" s="15" t="s">
        <v>464</v>
      </c>
    </row>
    <row r="22" spans="11:12">
      <c r="K22" t="s">
        <v>465</v>
      </c>
      <c r="L22" s="15" t="s">
        <v>466</v>
      </c>
    </row>
    <row r="23" spans="11:12">
      <c r="K23" t="s">
        <v>467</v>
      </c>
      <c r="L23" s="15" t="s">
        <v>466</v>
      </c>
    </row>
    <row r="24" spans="11:12">
      <c r="K24" t="s">
        <v>468</v>
      </c>
      <c r="L24" s="15" t="s">
        <v>469</v>
      </c>
    </row>
    <row r="25" spans="11:12">
      <c r="K25" t="s">
        <v>470</v>
      </c>
      <c r="L25" s="15" t="s">
        <v>431</v>
      </c>
    </row>
    <row r="26" spans="11:12">
      <c r="K26" t="s">
        <v>471</v>
      </c>
      <c r="L26" s="15" t="s">
        <v>472</v>
      </c>
    </row>
    <row r="27" spans="11:12">
      <c r="K27" t="s">
        <v>473</v>
      </c>
      <c r="L27" s="15" t="s">
        <v>474</v>
      </c>
    </row>
    <row r="28" spans="11:12">
      <c r="K28" t="s">
        <v>475</v>
      </c>
      <c r="L28" s="15" t="s">
        <v>476</v>
      </c>
    </row>
    <row r="29" spans="11:12">
      <c r="K29" t="s">
        <v>477</v>
      </c>
      <c r="L29" s="15" t="s">
        <v>478</v>
      </c>
    </row>
    <row r="30" spans="11:12">
      <c r="K30" t="s">
        <v>479</v>
      </c>
      <c r="L30" s="15" t="s">
        <v>480</v>
      </c>
    </row>
    <row r="31" spans="11:12">
      <c r="K31" t="s">
        <v>481</v>
      </c>
      <c r="L31" s="15" t="s">
        <v>482</v>
      </c>
    </row>
    <row r="32" spans="11:12">
      <c r="K32" t="s">
        <v>483</v>
      </c>
      <c r="L32" s="15" t="s">
        <v>484</v>
      </c>
    </row>
    <row r="33" spans="11:12">
      <c r="K33" t="s">
        <v>485</v>
      </c>
      <c r="L33" s="15" t="s">
        <v>486</v>
      </c>
    </row>
    <row r="34" spans="11:12">
      <c r="K34" t="s">
        <v>487</v>
      </c>
      <c r="L34" s="15" t="s">
        <v>488</v>
      </c>
    </row>
    <row r="35" spans="11:12">
      <c r="K35" t="s">
        <v>489</v>
      </c>
      <c r="L35" s="15" t="s">
        <v>431</v>
      </c>
    </row>
    <row r="36" spans="11:12">
      <c r="K36" t="s">
        <v>490</v>
      </c>
      <c r="L36" s="15" t="s">
        <v>491</v>
      </c>
    </row>
    <row r="37" spans="11:12">
      <c r="K37" t="s">
        <v>492</v>
      </c>
      <c r="L37" s="15" t="s">
        <v>482</v>
      </c>
    </row>
    <row r="38" spans="11:12">
      <c r="K38" t="s">
        <v>493</v>
      </c>
      <c r="L38" s="15" t="s">
        <v>494</v>
      </c>
    </row>
    <row r="39" spans="11:12">
      <c r="K39" t="s">
        <v>495</v>
      </c>
      <c r="L39" s="15" t="s">
        <v>496</v>
      </c>
    </row>
    <row r="40" spans="11:12">
      <c r="K40" t="s">
        <v>497</v>
      </c>
      <c r="L40" s="15" t="s">
        <v>498</v>
      </c>
    </row>
    <row r="41" spans="11:12">
      <c r="K41" t="s">
        <v>499</v>
      </c>
      <c r="L41" s="15" t="s">
        <v>500</v>
      </c>
    </row>
    <row r="42" spans="11:12">
      <c r="K42" t="s">
        <v>501</v>
      </c>
      <c r="L42" s="15" t="s">
        <v>502</v>
      </c>
    </row>
    <row r="43" spans="11:12">
      <c r="K43" t="s">
        <v>503</v>
      </c>
      <c r="L43" s="15" t="s">
        <v>504</v>
      </c>
    </row>
  </sheetData>
  <dataConsolidate/>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O1:Q249"/>
  <sheetViews>
    <sheetView workbookViewId="0">
      <selection activeCell="P223" sqref="P223"/>
    </sheetView>
  </sheetViews>
  <sheetFormatPr defaultRowHeight="14.5"/>
  <sheetData>
    <row r="1" spans="15:17">
      <c r="O1" t="s">
        <v>175</v>
      </c>
      <c r="Q1" t="s">
        <v>140</v>
      </c>
    </row>
    <row r="2" spans="15:17">
      <c r="O2" t="s">
        <v>176</v>
      </c>
      <c r="Q2" t="s">
        <v>164</v>
      </c>
    </row>
    <row r="3" spans="15:17">
      <c r="O3" t="s">
        <v>177</v>
      </c>
      <c r="Q3" t="s">
        <v>55</v>
      </c>
    </row>
    <row r="4" spans="15:17">
      <c r="O4" t="s">
        <v>178</v>
      </c>
      <c r="Q4" t="s">
        <v>80</v>
      </c>
    </row>
    <row r="5" spans="15:17">
      <c r="O5" t="s">
        <v>179</v>
      </c>
      <c r="Q5" t="s">
        <v>34</v>
      </c>
    </row>
    <row r="6" spans="15:17">
      <c r="O6" t="s">
        <v>180</v>
      </c>
      <c r="Q6" t="s">
        <v>163</v>
      </c>
    </row>
    <row r="7" spans="15:17">
      <c r="O7" t="s">
        <v>181</v>
      </c>
      <c r="Q7" t="s">
        <v>174</v>
      </c>
    </row>
    <row r="8" spans="15:17">
      <c r="O8" t="s">
        <v>182</v>
      </c>
      <c r="Q8" t="s">
        <v>5</v>
      </c>
    </row>
    <row r="9" spans="15:17">
      <c r="O9" t="s">
        <v>183</v>
      </c>
      <c r="Q9" t="s">
        <v>6</v>
      </c>
    </row>
    <row r="10" spans="15:17">
      <c r="O10" t="s">
        <v>184</v>
      </c>
      <c r="Q10" t="s">
        <v>7</v>
      </c>
    </row>
    <row r="11" spans="15:17">
      <c r="O11" t="s">
        <v>185</v>
      </c>
      <c r="Q11" t="s">
        <v>8</v>
      </c>
    </row>
    <row r="12" spans="15:17">
      <c r="O12" t="s">
        <v>186</v>
      </c>
      <c r="Q12" t="s">
        <v>9</v>
      </c>
    </row>
    <row r="13" spans="15:17">
      <c r="O13" t="s">
        <v>187</v>
      </c>
      <c r="Q13" t="s">
        <v>10</v>
      </c>
    </row>
    <row r="14" spans="15:17">
      <c r="O14" t="s">
        <v>188</v>
      </c>
      <c r="Q14" t="s">
        <v>11</v>
      </c>
    </row>
    <row r="15" spans="15:17">
      <c r="O15" t="s">
        <v>189</v>
      </c>
      <c r="Q15" t="s">
        <v>12</v>
      </c>
    </row>
    <row r="16" spans="15:17">
      <c r="O16" t="s">
        <v>190</v>
      </c>
      <c r="Q16" t="s">
        <v>13</v>
      </c>
    </row>
    <row r="17" spans="15:17">
      <c r="O17" t="s">
        <v>191</v>
      </c>
      <c r="Q17" t="s">
        <v>14</v>
      </c>
    </row>
    <row r="18" spans="15:17">
      <c r="O18" t="s">
        <v>192</v>
      </c>
      <c r="Q18" t="s">
        <v>15</v>
      </c>
    </row>
    <row r="19" spans="15:17">
      <c r="O19" t="s">
        <v>193</v>
      </c>
      <c r="Q19" t="s">
        <v>16</v>
      </c>
    </row>
    <row r="20" spans="15:17">
      <c r="O20" t="s">
        <v>194</v>
      </c>
      <c r="Q20" t="s">
        <v>17</v>
      </c>
    </row>
    <row r="21" spans="15:17">
      <c r="O21" t="s">
        <v>195</v>
      </c>
      <c r="Q21" t="s">
        <v>18</v>
      </c>
    </row>
    <row r="22" spans="15:17">
      <c r="O22" t="s">
        <v>196</v>
      </c>
      <c r="Q22" t="s">
        <v>19</v>
      </c>
    </row>
    <row r="23" spans="15:17">
      <c r="O23" t="s">
        <v>197</v>
      </c>
      <c r="Q23" t="s">
        <v>20</v>
      </c>
    </row>
    <row r="24" spans="15:17">
      <c r="O24" t="s">
        <v>198</v>
      </c>
      <c r="Q24" t="s">
        <v>21</v>
      </c>
    </row>
    <row r="25" spans="15:17">
      <c r="O25" t="s">
        <v>199</v>
      </c>
      <c r="Q25" t="s">
        <v>22</v>
      </c>
    </row>
    <row r="26" spans="15:17">
      <c r="O26" t="s">
        <v>200</v>
      </c>
      <c r="Q26" t="s">
        <v>23</v>
      </c>
    </row>
    <row r="27" spans="15:17">
      <c r="O27" t="s">
        <v>201</v>
      </c>
      <c r="Q27" t="s">
        <v>24</v>
      </c>
    </row>
    <row r="28" spans="15:17">
      <c r="O28" t="s">
        <v>202</v>
      </c>
      <c r="Q28" t="s">
        <v>25</v>
      </c>
    </row>
    <row r="29" spans="15:17">
      <c r="O29" t="s">
        <v>203</v>
      </c>
      <c r="Q29" t="s">
        <v>26</v>
      </c>
    </row>
    <row r="30" spans="15:17">
      <c r="O30" t="s">
        <v>204</v>
      </c>
      <c r="Q30" t="s">
        <v>27</v>
      </c>
    </row>
    <row r="31" spans="15:17">
      <c r="O31" t="s">
        <v>205</v>
      </c>
      <c r="Q31" t="s">
        <v>28</v>
      </c>
    </row>
    <row r="32" spans="15:17">
      <c r="O32" t="s">
        <v>206</v>
      </c>
      <c r="Q32" t="s">
        <v>29</v>
      </c>
    </row>
    <row r="33" spans="15:17">
      <c r="O33" t="s">
        <v>207</v>
      </c>
      <c r="Q33" t="s">
        <v>30</v>
      </c>
    </row>
    <row r="34" spans="15:17">
      <c r="O34" t="s">
        <v>208</v>
      </c>
      <c r="Q34" t="s">
        <v>31</v>
      </c>
    </row>
    <row r="35" spans="15:17">
      <c r="O35" t="s">
        <v>209</v>
      </c>
      <c r="Q35" t="s">
        <v>32</v>
      </c>
    </row>
    <row r="36" spans="15:17">
      <c r="O36" t="s">
        <v>210</v>
      </c>
      <c r="Q36" t="s">
        <v>33</v>
      </c>
    </row>
    <row r="37" spans="15:17">
      <c r="O37" t="s">
        <v>211</v>
      </c>
      <c r="Q37" t="s">
        <v>35</v>
      </c>
    </row>
    <row r="38" spans="15:17">
      <c r="O38" t="s">
        <v>212</v>
      </c>
      <c r="Q38" t="s">
        <v>36</v>
      </c>
    </row>
    <row r="39" spans="15:17">
      <c r="O39" t="s">
        <v>213</v>
      </c>
      <c r="Q39" t="s">
        <v>37</v>
      </c>
    </row>
    <row r="40" spans="15:17">
      <c r="O40" t="s">
        <v>214</v>
      </c>
      <c r="Q40" t="s">
        <v>38</v>
      </c>
    </row>
    <row r="41" spans="15:17">
      <c r="O41" t="s">
        <v>215</v>
      </c>
      <c r="Q41" t="s">
        <v>39</v>
      </c>
    </row>
    <row r="42" spans="15:17">
      <c r="O42" t="s">
        <v>216</v>
      </c>
      <c r="Q42" t="s">
        <v>40</v>
      </c>
    </row>
    <row r="43" spans="15:17">
      <c r="O43" t="s">
        <v>217</v>
      </c>
      <c r="Q43" t="s">
        <v>41</v>
      </c>
    </row>
    <row r="44" spans="15:17">
      <c r="O44" t="s">
        <v>218</v>
      </c>
      <c r="Q44" t="s">
        <v>42</v>
      </c>
    </row>
    <row r="45" spans="15:17">
      <c r="O45" t="s">
        <v>219</v>
      </c>
      <c r="Q45" t="s">
        <v>43</v>
      </c>
    </row>
    <row r="46" spans="15:17">
      <c r="O46" t="s">
        <v>220</v>
      </c>
      <c r="Q46" t="s">
        <v>44</v>
      </c>
    </row>
    <row r="47" spans="15:17">
      <c r="O47" t="s">
        <v>221</v>
      </c>
      <c r="Q47" t="s">
        <v>45</v>
      </c>
    </row>
    <row r="48" spans="15:17">
      <c r="O48" t="s">
        <v>222</v>
      </c>
      <c r="Q48" t="s">
        <v>46</v>
      </c>
    </row>
    <row r="49" spans="15:17">
      <c r="O49" t="s">
        <v>223</v>
      </c>
      <c r="Q49" t="s">
        <v>47</v>
      </c>
    </row>
    <row r="50" spans="15:17">
      <c r="O50" t="s">
        <v>224</v>
      </c>
      <c r="Q50" t="s">
        <v>48</v>
      </c>
    </row>
    <row r="51" spans="15:17">
      <c r="O51" t="s">
        <v>225</v>
      </c>
      <c r="Q51" t="s">
        <v>49</v>
      </c>
    </row>
    <row r="52" spans="15:17">
      <c r="O52" t="s">
        <v>226</v>
      </c>
      <c r="Q52" t="s">
        <v>50</v>
      </c>
    </row>
    <row r="53" spans="15:17">
      <c r="O53" t="s">
        <v>227</v>
      </c>
      <c r="Q53" t="s">
        <v>51</v>
      </c>
    </row>
    <row r="54" spans="15:17">
      <c r="O54" t="s">
        <v>228</v>
      </c>
      <c r="Q54" t="s">
        <v>52</v>
      </c>
    </row>
    <row r="55" spans="15:17">
      <c r="O55" t="s">
        <v>229</v>
      </c>
      <c r="Q55" t="s">
        <v>53</v>
      </c>
    </row>
    <row r="56" spans="15:17">
      <c r="O56" t="s">
        <v>230</v>
      </c>
      <c r="Q56" t="s">
        <v>54</v>
      </c>
    </row>
    <row r="57" spans="15:17">
      <c r="O57" t="s">
        <v>231</v>
      </c>
      <c r="Q57" t="s">
        <v>56</v>
      </c>
    </row>
    <row r="58" spans="15:17">
      <c r="O58" t="s">
        <v>232</v>
      </c>
      <c r="Q58" t="s">
        <v>57</v>
      </c>
    </row>
    <row r="59" spans="15:17">
      <c r="O59" t="s">
        <v>233</v>
      </c>
      <c r="Q59" t="s">
        <v>58</v>
      </c>
    </row>
    <row r="60" spans="15:17">
      <c r="O60" t="s">
        <v>234</v>
      </c>
      <c r="Q60" t="s">
        <v>59</v>
      </c>
    </row>
    <row r="61" spans="15:17">
      <c r="O61" t="s">
        <v>235</v>
      </c>
      <c r="Q61" t="s">
        <v>60</v>
      </c>
    </row>
    <row r="62" spans="15:17">
      <c r="O62" t="s">
        <v>236</v>
      </c>
      <c r="Q62" t="s">
        <v>61</v>
      </c>
    </row>
    <row r="63" spans="15:17">
      <c r="O63" t="s">
        <v>237</v>
      </c>
      <c r="Q63" t="s">
        <v>62</v>
      </c>
    </row>
    <row r="64" spans="15:17">
      <c r="O64" t="s">
        <v>238</v>
      </c>
      <c r="Q64" t="s">
        <v>63</v>
      </c>
    </row>
    <row r="65" spans="15:17">
      <c r="O65" t="s">
        <v>239</v>
      </c>
      <c r="Q65" t="s">
        <v>64</v>
      </c>
    </row>
    <row r="66" spans="15:17">
      <c r="O66" t="s">
        <v>240</v>
      </c>
      <c r="Q66" t="s">
        <v>65</v>
      </c>
    </row>
    <row r="67" spans="15:17">
      <c r="O67" t="s">
        <v>241</v>
      </c>
      <c r="Q67" t="s">
        <v>66</v>
      </c>
    </row>
    <row r="68" spans="15:17">
      <c r="O68" t="s">
        <v>242</v>
      </c>
      <c r="Q68" t="s">
        <v>67</v>
      </c>
    </row>
    <row r="69" spans="15:17">
      <c r="O69" t="s">
        <v>243</v>
      </c>
      <c r="Q69" t="s">
        <v>68</v>
      </c>
    </row>
    <row r="70" spans="15:17">
      <c r="O70" t="s">
        <v>244</v>
      </c>
      <c r="Q70" t="s">
        <v>69</v>
      </c>
    </row>
    <row r="71" spans="15:17">
      <c r="O71" t="s">
        <v>245</v>
      </c>
      <c r="Q71" t="s">
        <v>70</v>
      </c>
    </row>
    <row r="72" spans="15:17">
      <c r="O72" t="s">
        <v>246</v>
      </c>
      <c r="Q72" t="s">
        <v>71</v>
      </c>
    </row>
    <row r="73" spans="15:17">
      <c r="O73" t="s">
        <v>247</v>
      </c>
      <c r="Q73" t="s">
        <v>72</v>
      </c>
    </row>
    <row r="74" spans="15:17">
      <c r="O74" t="s">
        <v>248</v>
      </c>
      <c r="Q74" t="s">
        <v>73</v>
      </c>
    </row>
    <row r="75" spans="15:17">
      <c r="O75" t="s">
        <v>249</v>
      </c>
      <c r="Q75" t="s">
        <v>74</v>
      </c>
    </row>
    <row r="76" spans="15:17">
      <c r="O76" t="s">
        <v>250</v>
      </c>
      <c r="Q76" t="s">
        <v>75</v>
      </c>
    </row>
    <row r="77" spans="15:17">
      <c r="O77" t="s">
        <v>251</v>
      </c>
      <c r="Q77" t="s">
        <v>76</v>
      </c>
    </row>
    <row r="78" spans="15:17">
      <c r="O78" t="s">
        <v>252</v>
      </c>
      <c r="Q78" t="s">
        <v>77</v>
      </c>
    </row>
    <row r="79" spans="15:17">
      <c r="O79" t="s">
        <v>253</v>
      </c>
      <c r="Q79" t="s">
        <v>78</v>
      </c>
    </row>
    <row r="80" spans="15:17">
      <c r="O80" t="s">
        <v>254</v>
      </c>
      <c r="Q80" t="s">
        <v>79</v>
      </c>
    </row>
    <row r="81" spans="15:17">
      <c r="O81" t="s">
        <v>255</v>
      </c>
      <c r="Q81" t="s">
        <v>81</v>
      </c>
    </row>
    <row r="82" spans="15:17">
      <c r="O82" t="s">
        <v>256</v>
      </c>
      <c r="Q82" t="s">
        <v>82</v>
      </c>
    </row>
    <row r="83" spans="15:17">
      <c r="O83" t="s">
        <v>257</v>
      </c>
      <c r="Q83" t="s">
        <v>83</v>
      </c>
    </row>
    <row r="84" spans="15:17">
      <c r="O84" t="s">
        <v>258</v>
      </c>
      <c r="Q84" t="s">
        <v>84</v>
      </c>
    </row>
    <row r="85" spans="15:17">
      <c r="O85" t="s">
        <v>259</v>
      </c>
      <c r="Q85" t="s">
        <v>85</v>
      </c>
    </row>
    <row r="86" spans="15:17">
      <c r="O86" t="s">
        <v>260</v>
      </c>
      <c r="Q86" t="s">
        <v>86</v>
      </c>
    </row>
    <row r="87" spans="15:17">
      <c r="O87" t="s">
        <v>261</v>
      </c>
      <c r="Q87" t="s">
        <v>87</v>
      </c>
    </row>
    <row r="88" spans="15:17">
      <c r="O88" t="s">
        <v>262</v>
      </c>
      <c r="Q88" t="s">
        <v>88</v>
      </c>
    </row>
    <row r="89" spans="15:17">
      <c r="O89" t="s">
        <v>263</v>
      </c>
      <c r="Q89" t="s">
        <v>89</v>
      </c>
    </row>
    <row r="90" spans="15:17">
      <c r="O90" t="s">
        <v>264</v>
      </c>
      <c r="Q90" t="s">
        <v>90</v>
      </c>
    </row>
    <row r="91" spans="15:17">
      <c r="O91" t="s">
        <v>265</v>
      </c>
      <c r="Q91" t="s">
        <v>91</v>
      </c>
    </row>
    <row r="92" spans="15:17">
      <c r="O92" t="s">
        <v>266</v>
      </c>
      <c r="Q92" t="s">
        <v>92</v>
      </c>
    </row>
    <row r="93" spans="15:17">
      <c r="O93" t="s">
        <v>267</v>
      </c>
      <c r="Q93" t="s">
        <v>93</v>
      </c>
    </row>
    <row r="94" spans="15:17">
      <c r="O94" t="s">
        <v>268</v>
      </c>
      <c r="Q94" t="s">
        <v>94</v>
      </c>
    </row>
    <row r="95" spans="15:17">
      <c r="O95" t="s">
        <v>269</v>
      </c>
      <c r="Q95" t="s">
        <v>95</v>
      </c>
    </row>
    <row r="96" spans="15:17">
      <c r="O96" t="s">
        <v>270</v>
      </c>
      <c r="Q96" t="s">
        <v>96</v>
      </c>
    </row>
    <row r="97" spans="15:17">
      <c r="O97" t="s">
        <v>271</v>
      </c>
      <c r="Q97" t="s">
        <v>97</v>
      </c>
    </row>
    <row r="98" spans="15:17">
      <c r="O98" t="s">
        <v>272</v>
      </c>
      <c r="Q98" t="s">
        <v>98</v>
      </c>
    </row>
    <row r="99" spans="15:17">
      <c r="O99" t="s">
        <v>273</v>
      </c>
      <c r="Q99" t="s">
        <v>99</v>
      </c>
    </row>
    <row r="100" spans="15:17">
      <c r="O100" t="s">
        <v>274</v>
      </c>
      <c r="Q100" t="s">
        <v>100</v>
      </c>
    </row>
    <row r="101" spans="15:17">
      <c r="O101" t="s">
        <v>275</v>
      </c>
      <c r="Q101" t="s">
        <v>101</v>
      </c>
    </row>
    <row r="102" spans="15:17">
      <c r="O102" t="s">
        <v>276</v>
      </c>
      <c r="Q102" t="s">
        <v>102</v>
      </c>
    </row>
    <row r="103" spans="15:17">
      <c r="O103" t="s">
        <v>277</v>
      </c>
      <c r="Q103" t="s">
        <v>103</v>
      </c>
    </row>
    <row r="104" spans="15:17">
      <c r="O104" t="s">
        <v>278</v>
      </c>
      <c r="Q104" t="s">
        <v>104</v>
      </c>
    </row>
    <row r="105" spans="15:17">
      <c r="O105" t="s">
        <v>279</v>
      </c>
      <c r="Q105" t="s">
        <v>105</v>
      </c>
    </row>
    <row r="106" spans="15:17">
      <c r="O106" t="s">
        <v>280</v>
      </c>
      <c r="Q106" t="s">
        <v>106</v>
      </c>
    </row>
    <row r="107" spans="15:17">
      <c r="O107" t="s">
        <v>281</v>
      </c>
      <c r="Q107" t="s">
        <v>107</v>
      </c>
    </row>
    <row r="108" spans="15:17">
      <c r="O108" t="s">
        <v>282</v>
      </c>
      <c r="Q108" t="s">
        <v>108</v>
      </c>
    </row>
    <row r="109" spans="15:17">
      <c r="O109" t="s">
        <v>283</v>
      </c>
      <c r="Q109" t="s">
        <v>109</v>
      </c>
    </row>
    <row r="110" spans="15:17">
      <c r="O110" t="s">
        <v>284</v>
      </c>
      <c r="Q110" t="s">
        <v>110</v>
      </c>
    </row>
    <row r="111" spans="15:17">
      <c r="O111" t="s">
        <v>285</v>
      </c>
      <c r="Q111" t="s">
        <v>111</v>
      </c>
    </row>
    <row r="112" spans="15:17">
      <c r="O112" t="s">
        <v>286</v>
      </c>
      <c r="Q112" t="s">
        <v>112</v>
      </c>
    </row>
    <row r="113" spans="15:17">
      <c r="O113" t="s">
        <v>287</v>
      </c>
      <c r="Q113" t="s">
        <v>113</v>
      </c>
    </row>
    <row r="114" spans="15:17">
      <c r="O114" t="s">
        <v>288</v>
      </c>
      <c r="Q114" t="s">
        <v>114</v>
      </c>
    </row>
    <row r="115" spans="15:17">
      <c r="O115" t="s">
        <v>289</v>
      </c>
      <c r="Q115" t="s">
        <v>115</v>
      </c>
    </row>
    <row r="116" spans="15:17">
      <c r="O116" t="s">
        <v>290</v>
      </c>
      <c r="Q116" t="s">
        <v>116</v>
      </c>
    </row>
    <row r="117" spans="15:17">
      <c r="O117" t="s">
        <v>291</v>
      </c>
      <c r="Q117" t="s">
        <v>117</v>
      </c>
    </row>
    <row r="118" spans="15:17">
      <c r="O118" t="s">
        <v>292</v>
      </c>
      <c r="Q118" t="s">
        <v>118</v>
      </c>
    </row>
    <row r="119" spans="15:17">
      <c r="O119" t="s">
        <v>293</v>
      </c>
      <c r="Q119" t="s">
        <v>119</v>
      </c>
    </row>
    <row r="120" spans="15:17">
      <c r="O120" t="s">
        <v>294</v>
      </c>
      <c r="Q120" t="s">
        <v>120</v>
      </c>
    </row>
    <row r="121" spans="15:17">
      <c r="O121" t="s">
        <v>295</v>
      </c>
      <c r="Q121" t="s">
        <v>121</v>
      </c>
    </row>
    <row r="122" spans="15:17">
      <c r="O122" t="s">
        <v>296</v>
      </c>
      <c r="Q122" t="s">
        <v>122</v>
      </c>
    </row>
    <row r="123" spans="15:17">
      <c r="O123" t="s">
        <v>297</v>
      </c>
      <c r="Q123" t="s">
        <v>123</v>
      </c>
    </row>
    <row r="124" spans="15:17">
      <c r="O124" t="s">
        <v>298</v>
      </c>
      <c r="Q124" t="s">
        <v>124</v>
      </c>
    </row>
    <row r="125" spans="15:17">
      <c r="O125" t="s">
        <v>299</v>
      </c>
      <c r="Q125" t="s">
        <v>125</v>
      </c>
    </row>
    <row r="126" spans="15:17">
      <c r="O126" t="s">
        <v>300</v>
      </c>
      <c r="Q126" t="s">
        <v>126</v>
      </c>
    </row>
    <row r="127" spans="15:17">
      <c r="O127" t="s">
        <v>301</v>
      </c>
      <c r="Q127" t="s">
        <v>127</v>
      </c>
    </row>
    <row r="128" spans="15:17">
      <c r="O128" t="s">
        <v>302</v>
      </c>
      <c r="Q128" t="s">
        <v>128</v>
      </c>
    </row>
    <row r="129" spans="15:17">
      <c r="O129" t="s">
        <v>303</v>
      </c>
      <c r="Q129" t="s">
        <v>129</v>
      </c>
    </row>
    <row r="130" spans="15:17">
      <c r="O130" t="s">
        <v>304</v>
      </c>
      <c r="Q130" t="s">
        <v>130</v>
      </c>
    </row>
    <row r="131" spans="15:17">
      <c r="O131" t="s">
        <v>305</v>
      </c>
      <c r="Q131" t="s">
        <v>131</v>
      </c>
    </row>
    <row r="132" spans="15:17">
      <c r="O132" t="s">
        <v>306</v>
      </c>
      <c r="Q132" t="s">
        <v>132</v>
      </c>
    </row>
    <row r="133" spans="15:17">
      <c r="O133" t="s">
        <v>307</v>
      </c>
      <c r="Q133" t="s">
        <v>133</v>
      </c>
    </row>
    <row r="134" spans="15:17">
      <c r="O134" t="s">
        <v>308</v>
      </c>
      <c r="Q134" t="s">
        <v>134</v>
      </c>
    </row>
    <row r="135" spans="15:17">
      <c r="O135" t="s">
        <v>309</v>
      </c>
      <c r="Q135" t="s">
        <v>135</v>
      </c>
    </row>
    <row r="136" spans="15:17">
      <c r="O136" t="s">
        <v>310</v>
      </c>
      <c r="Q136" t="s">
        <v>136</v>
      </c>
    </row>
    <row r="137" spans="15:17">
      <c r="O137" t="s">
        <v>311</v>
      </c>
      <c r="Q137" t="s">
        <v>137</v>
      </c>
    </row>
    <row r="138" spans="15:17">
      <c r="O138" t="s">
        <v>312</v>
      </c>
      <c r="Q138" t="s">
        <v>138</v>
      </c>
    </row>
    <row r="139" spans="15:17">
      <c r="O139" t="s">
        <v>313</v>
      </c>
      <c r="Q139" t="s">
        <v>139</v>
      </c>
    </row>
    <row r="140" spans="15:17">
      <c r="O140" t="s">
        <v>314</v>
      </c>
      <c r="Q140" t="s">
        <v>140</v>
      </c>
    </row>
    <row r="141" spans="15:17">
      <c r="O141" t="s">
        <v>315</v>
      </c>
      <c r="Q141" t="s">
        <v>141</v>
      </c>
    </row>
    <row r="142" spans="15:17">
      <c r="O142" t="s">
        <v>316</v>
      </c>
      <c r="Q142" t="s">
        <v>142</v>
      </c>
    </row>
    <row r="143" spans="15:17">
      <c r="O143" t="s">
        <v>317</v>
      </c>
      <c r="Q143" t="s">
        <v>143</v>
      </c>
    </row>
    <row r="144" spans="15:17">
      <c r="O144" t="s">
        <v>318</v>
      </c>
      <c r="Q144" t="s">
        <v>144</v>
      </c>
    </row>
    <row r="145" spans="15:17">
      <c r="O145" t="s">
        <v>319</v>
      </c>
      <c r="Q145" t="s">
        <v>145</v>
      </c>
    </row>
    <row r="146" spans="15:17">
      <c r="O146" t="s">
        <v>320</v>
      </c>
      <c r="Q146" t="s">
        <v>146</v>
      </c>
    </row>
    <row r="147" spans="15:17">
      <c r="O147" t="s">
        <v>321</v>
      </c>
      <c r="Q147" t="s">
        <v>147</v>
      </c>
    </row>
    <row r="148" spans="15:17">
      <c r="O148" t="s">
        <v>322</v>
      </c>
      <c r="Q148" t="s">
        <v>148</v>
      </c>
    </row>
    <row r="149" spans="15:17">
      <c r="O149" t="s">
        <v>323</v>
      </c>
      <c r="Q149" t="s">
        <v>149</v>
      </c>
    </row>
    <row r="150" spans="15:17">
      <c r="O150" t="s">
        <v>324</v>
      </c>
      <c r="Q150" t="s">
        <v>150</v>
      </c>
    </row>
    <row r="151" spans="15:17">
      <c r="O151" t="s">
        <v>325</v>
      </c>
      <c r="Q151" t="s">
        <v>151</v>
      </c>
    </row>
    <row r="152" spans="15:17">
      <c r="O152" t="s">
        <v>326</v>
      </c>
      <c r="Q152" t="s">
        <v>152</v>
      </c>
    </row>
    <row r="153" spans="15:17">
      <c r="O153" t="s">
        <v>327</v>
      </c>
      <c r="Q153" t="s">
        <v>153</v>
      </c>
    </row>
    <row r="154" spans="15:17">
      <c r="O154" t="s">
        <v>328</v>
      </c>
      <c r="Q154" t="s">
        <v>154</v>
      </c>
    </row>
    <row r="155" spans="15:17">
      <c r="O155" t="s">
        <v>329</v>
      </c>
      <c r="Q155" t="s">
        <v>155</v>
      </c>
    </row>
    <row r="156" spans="15:17">
      <c r="O156" t="s">
        <v>330</v>
      </c>
      <c r="Q156" t="s">
        <v>156</v>
      </c>
    </row>
    <row r="157" spans="15:17">
      <c r="O157" t="s">
        <v>331</v>
      </c>
      <c r="Q157" t="s">
        <v>157</v>
      </c>
    </row>
    <row r="158" spans="15:17">
      <c r="O158" t="s">
        <v>332</v>
      </c>
      <c r="Q158" t="s">
        <v>158</v>
      </c>
    </row>
    <row r="159" spans="15:17">
      <c r="O159" t="s">
        <v>333</v>
      </c>
      <c r="Q159" t="s">
        <v>159</v>
      </c>
    </row>
    <row r="160" spans="15:17">
      <c r="O160" t="s">
        <v>334</v>
      </c>
      <c r="Q160" t="s">
        <v>160</v>
      </c>
    </row>
    <row r="161" spans="15:17">
      <c r="O161" t="s">
        <v>335</v>
      </c>
      <c r="Q161" t="s">
        <v>161</v>
      </c>
    </row>
    <row r="162" spans="15:17">
      <c r="O162" t="s">
        <v>336</v>
      </c>
      <c r="Q162" t="s">
        <v>162</v>
      </c>
    </row>
    <row r="163" spans="15:17">
      <c r="O163" t="s">
        <v>337</v>
      </c>
      <c r="Q163" t="s">
        <v>163</v>
      </c>
    </row>
    <row r="164" spans="15:17">
      <c r="O164" t="s">
        <v>338</v>
      </c>
      <c r="Q164" t="s">
        <v>165</v>
      </c>
    </row>
    <row r="165" spans="15:17">
      <c r="O165" t="s">
        <v>339</v>
      </c>
      <c r="Q165" t="s">
        <v>166</v>
      </c>
    </row>
    <row r="166" spans="15:17">
      <c r="O166" t="s">
        <v>340</v>
      </c>
      <c r="Q166" t="s">
        <v>167</v>
      </c>
    </row>
    <row r="167" spans="15:17">
      <c r="O167" t="s">
        <v>341</v>
      </c>
      <c r="Q167" t="s">
        <v>168</v>
      </c>
    </row>
    <row r="168" spans="15:17">
      <c r="O168" t="s">
        <v>342</v>
      </c>
      <c r="Q168" t="s">
        <v>169</v>
      </c>
    </row>
    <row r="169" spans="15:17">
      <c r="O169" t="s">
        <v>343</v>
      </c>
      <c r="Q169" t="s">
        <v>170</v>
      </c>
    </row>
    <row r="170" spans="15:17">
      <c r="O170" t="s">
        <v>344</v>
      </c>
      <c r="Q170" t="s">
        <v>171</v>
      </c>
    </row>
    <row r="171" spans="15:17">
      <c r="O171" t="s">
        <v>345</v>
      </c>
      <c r="Q171" t="s">
        <v>172</v>
      </c>
    </row>
    <row r="172" spans="15:17">
      <c r="O172" t="s">
        <v>346</v>
      </c>
      <c r="Q172" t="s">
        <v>173</v>
      </c>
    </row>
    <row r="173" spans="15:17">
      <c r="O173" t="s">
        <v>347</v>
      </c>
    </row>
    <row r="174" spans="15:17">
      <c r="O174" t="s">
        <v>348</v>
      </c>
    </row>
    <row r="175" spans="15:17">
      <c r="O175" t="s">
        <v>349</v>
      </c>
    </row>
    <row r="176" spans="15:17">
      <c r="O176" t="s">
        <v>350</v>
      </c>
    </row>
    <row r="177" spans="15:15">
      <c r="O177" t="s">
        <v>351</v>
      </c>
    </row>
    <row r="178" spans="15:15">
      <c r="O178" t="s">
        <v>352</v>
      </c>
    </row>
    <row r="179" spans="15:15">
      <c r="O179" t="s">
        <v>353</v>
      </c>
    </row>
    <row r="180" spans="15:15">
      <c r="O180" t="s">
        <v>354</v>
      </c>
    </row>
    <row r="181" spans="15:15">
      <c r="O181" t="s">
        <v>355</v>
      </c>
    </row>
    <row r="182" spans="15:15">
      <c r="O182" t="s">
        <v>356</v>
      </c>
    </row>
    <row r="183" spans="15:15">
      <c r="O183" t="s">
        <v>357</v>
      </c>
    </row>
    <row r="184" spans="15:15">
      <c r="O184" t="s">
        <v>358</v>
      </c>
    </row>
    <row r="185" spans="15:15">
      <c r="O185" t="s">
        <v>359</v>
      </c>
    </row>
    <row r="186" spans="15:15">
      <c r="O186" t="s">
        <v>360</v>
      </c>
    </row>
    <row r="187" spans="15:15">
      <c r="O187" t="s">
        <v>361</v>
      </c>
    </row>
    <row r="188" spans="15:15">
      <c r="O188" t="s">
        <v>362</v>
      </c>
    </row>
    <row r="189" spans="15:15">
      <c r="O189" t="s">
        <v>363</v>
      </c>
    </row>
    <row r="190" spans="15:15">
      <c r="O190" t="s">
        <v>364</v>
      </c>
    </row>
    <row r="191" spans="15:15">
      <c r="O191" t="s">
        <v>365</v>
      </c>
    </row>
    <row r="192" spans="15:15">
      <c r="O192" t="s">
        <v>366</v>
      </c>
    </row>
    <row r="193" spans="15:15">
      <c r="O193" t="s">
        <v>367</v>
      </c>
    </row>
    <row r="194" spans="15:15">
      <c r="O194" t="s">
        <v>368</v>
      </c>
    </row>
    <row r="195" spans="15:15">
      <c r="O195" t="s">
        <v>369</v>
      </c>
    </row>
    <row r="196" spans="15:15">
      <c r="O196" t="s">
        <v>370</v>
      </c>
    </row>
    <row r="197" spans="15:15">
      <c r="O197" t="s">
        <v>371</v>
      </c>
    </row>
    <row r="198" spans="15:15">
      <c r="O198" t="s">
        <v>372</v>
      </c>
    </row>
    <row r="199" spans="15:15">
      <c r="O199" t="s">
        <v>373</v>
      </c>
    </row>
    <row r="200" spans="15:15">
      <c r="O200" t="s">
        <v>374</v>
      </c>
    </row>
    <row r="201" spans="15:15">
      <c r="O201" t="s">
        <v>375</v>
      </c>
    </row>
    <row r="202" spans="15:15">
      <c r="O202" t="s">
        <v>376</v>
      </c>
    </row>
    <row r="203" spans="15:15">
      <c r="O203" t="s">
        <v>377</v>
      </c>
    </row>
    <row r="204" spans="15:15">
      <c r="O204" t="s">
        <v>378</v>
      </c>
    </row>
    <row r="205" spans="15:15">
      <c r="O205" t="s">
        <v>379</v>
      </c>
    </row>
    <row r="206" spans="15:15">
      <c r="O206" t="s">
        <v>380</v>
      </c>
    </row>
    <row r="207" spans="15:15">
      <c r="O207" t="s">
        <v>381</v>
      </c>
    </row>
    <row r="208" spans="15:15">
      <c r="O208" t="s">
        <v>382</v>
      </c>
    </row>
    <row r="209" spans="15:15">
      <c r="O209" t="s">
        <v>383</v>
      </c>
    </row>
    <row r="210" spans="15:15">
      <c r="O210" t="s">
        <v>384</v>
      </c>
    </row>
    <row r="211" spans="15:15">
      <c r="O211" t="s">
        <v>385</v>
      </c>
    </row>
    <row r="212" spans="15:15">
      <c r="O212" t="s">
        <v>386</v>
      </c>
    </row>
    <row r="213" spans="15:15">
      <c r="O213" t="s">
        <v>387</v>
      </c>
    </row>
    <row r="214" spans="15:15">
      <c r="O214" t="s">
        <v>388</v>
      </c>
    </row>
    <row r="215" spans="15:15">
      <c r="O215" t="s">
        <v>389</v>
      </c>
    </row>
    <row r="216" spans="15:15">
      <c r="O216" t="s">
        <v>390</v>
      </c>
    </row>
    <row r="217" spans="15:15">
      <c r="O217" t="s">
        <v>391</v>
      </c>
    </row>
    <row r="218" spans="15:15">
      <c r="O218" t="s">
        <v>392</v>
      </c>
    </row>
    <row r="219" spans="15:15">
      <c r="O219" t="s">
        <v>393</v>
      </c>
    </row>
    <row r="220" spans="15:15">
      <c r="O220" t="s">
        <v>394</v>
      </c>
    </row>
    <row r="221" spans="15:15">
      <c r="O221" t="s">
        <v>395</v>
      </c>
    </row>
    <row r="222" spans="15:15">
      <c r="O222" t="s">
        <v>396</v>
      </c>
    </row>
    <row r="223" spans="15:15">
      <c r="O223" t="s">
        <v>397</v>
      </c>
    </row>
    <row r="224" spans="15:15">
      <c r="O224" t="s">
        <v>398</v>
      </c>
    </row>
    <row r="225" spans="15:15">
      <c r="O225" t="s">
        <v>399</v>
      </c>
    </row>
    <row r="226" spans="15:15">
      <c r="O226" t="s">
        <v>400</v>
      </c>
    </row>
    <row r="227" spans="15:15">
      <c r="O227" t="s">
        <v>401</v>
      </c>
    </row>
    <row r="228" spans="15:15">
      <c r="O228" t="s">
        <v>402</v>
      </c>
    </row>
    <row r="229" spans="15:15">
      <c r="O229" t="s">
        <v>403</v>
      </c>
    </row>
    <row r="230" spans="15:15">
      <c r="O230" t="s">
        <v>404</v>
      </c>
    </row>
    <row r="231" spans="15:15">
      <c r="O231" t="s">
        <v>405</v>
      </c>
    </row>
    <row r="232" spans="15:15">
      <c r="O232" t="s">
        <v>406</v>
      </c>
    </row>
    <row r="233" spans="15:15">
      <c r="O233" t="s">
        <v>407</v>
      </c>
    </row>
    <row r="234" spans="15:15">
      <c r="O234" t="s">
        <v>408</v>
      </c>
    </row>
    <row r="235" spans="15:15">
      <c r="O235" t="s">
        <v>409</v>
      </c>
    </row>
    <row r="236" spans="15:15">
      <c r="O236" t="s">
        <v>410</v>
      </c>
    </row>
    <row r="237" spans="15:15">
      <c r="O237" t="s">
        <v>411</v>
      </c>
    </row>
    <row r="238" spans="15:15">
      <c r="O238" t="s">
        <v>412</v>
      </c>
    </row>
    <row r="239" spans="15:15">
      <c r="O239" t="s">
        <v>413</v>
      </c>
    </row>
    <row r="240" spans="15:15">
      <c r="O240" t="s">
        <v>414</v>
      </c>
    </row>
    <row r="241" spans="15:15">
      <c r="O241" t="s">
        <v>415</v>
      </c>
    </row>
    <row r="242" spans="15:15">
      <c r="O242" t="s">
        <v>416</v>
      </c>
    </row>
    <row r="243" spans="15:15">
      <c r="O243" t="s">
        <v>417</v>
      </c>
    </row>
    <row r="244" spans="15:15">
      <c r="O244" t="s">
        <v>418</v>
      </c>
    </row>
    <row r="245" spans="15:15">
      <c r="O245" t="s">
        <v>419</v>
      </c>
    </row>
    <row r="246" spans="15:15">
      <c r="O246" t="s">
        <v>420</v>
      </c>
    </row>
    <row r="247" spans="15:15">
      <c r="O247" t="s">
        <v>421</v>
      </c>
    </row>
    <row r="248" spans="15:15">
      <c r="O248" t="s">
        <v>422</v>
      </c>
    </row>
    <row r="249" spans="15:15">
      <c r="O249" t="s">
        <v>423</v>
      </c>
    </row>
  </sheetData>
  <dataConsolidate/>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2169-979B-4DBF-A9A7-305BC67C0C87}">
  <dimension ref="A1"/>
  <sheetViews>
    <sheetView workbookViewId="0"/>
  </sheetViews>
  <sheetFormatPr defaultRowHeight="1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588C-9193-4112-A510-2E746740C755}">
  <dimension ref="A1"/>
  <sheetViews>
    <sheetView workbookViewId="0"/>
  </sheetViews>
  <sheetFormatPr defaultRowHeight="14.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B195-793C-4018-BAFE-1828096BD041}">
  <dimension ref="A1"/>
  <sheetViews>
    <sheetView workbookViewId="0"/>
  </sheetViews>
  <sheetFormatPr defaultRowHeight="14.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1AAC-0746-4EA3-AFC2-C5E54E221BDF}">
  <dimension ref="A1"/>
  <sheetViews>
    <sheetView workbookViewId="0"/>
  </sheetViews>
  <sheetFormatPr defaultRowHeight="14.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BFAD-96CA-432D-A2B1-EF2F2A3429D8}">
  <dimension ref="A1"/>
  <sheetViews>
    <sheetView workbookViewId="0"/>
  </sheetViews>
  <sheetFormatPr defaultRowHeight="14.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
  <sheetViews>
    <sheetView workbookViewId="0">
      <selection activeCell="E19" sqref="E19"/>
    </sheetView>
  </sheetViews>
  <sheetFormatPr defaultRowHeight="14.5"/>
  <sheetData/>
  <dataConsolidate/>
  <phoneticPr fontId="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
  <sheetViews>
    <sheetView workbookViewId="0">
      <selection activeCell="D9" sqref="D9"/>
    </sheetView>
  </sheetViews>
  <sheetFormatPr defaultRowHeight="14.5"/>
  <sheetData/>
  <dataConsolidate/>
  <phoneticPr fontId="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A23"/>
  <sheetViews>
    <sheetView topLeftCell="A13" workbookViewId="0">
      <selection activeCell="C23" sqref="C23"/>
    </sheetView>
  </sheetViews>
  <sheetFormatPr defaultRowHeight="14.5"/>
  <cols>
    <col min="1" max="1" width="80.08984375" customWidth="1"/>
    <col min="3" max="3" width="25.7265625" customWidth="1"/>
    <col min="4" max="4" width="25.7265625" style="15" customWidth="1"/>
    <col min="5" max="7" width="9.08984375" style="15"/>
  </cols>
  <sheetData>
    <row r="1" spans="1:27" ht="248.25" customHeight="1">
      <c r="A1" s="1" t="s">
        <v>3160</v>
      </c>
      <c r="B1" s="2"/>
      <c r="C1" s="2"/>
      <c r="D1" s="13" t="s">
        <v>0</v>
      </c>
      <c r="E1" s="14"/>
      <c r="F1" s="13" t="s">
        <v>1</v>
      </c>
      <c r="G1" s="14"/>
      <c r="H1" s="2"/>
      <c r="I1" s="2"/>
      <c r="J1" s="2"/>
      <c r="K1" s="2"/>
      <c r="L1" s="2"/>
      <c r="M1" s="2"/>
      <c r="N1" s="2"/>
      <c r="O1" s="2"/>
      <c r="P1" s="2"/>
      <c r="Q1" s="2"/>
      <c r="R1" s="2"/>
      <c r="S1" s="2"/>
      <c r="T1" s="2"/>
      <c r="U1" s="2"/>
      <c r="V1" s="2"/>
      <c r="W1" s="2"/>
      <c r="X1" s="2">
        <v>1</v>
      </c>
      <c r="Y1" s="2" t="s">
        <v>3161</v>
      </c>
      <c r="Z1" s="2" t="s">
        <v>2</v>
      </c>
    </row>
    <row r="2" spans="1:27">
      <c r="A2" s="2"/>
      <c r="B2" s="2"/>
      <c r="C2" s="2"/>
      <c r="D2" s="14"/>
      <c r="E2" s="14"/>
      <c r="F2" s="14"/>
      <c r="G2" s="14"/>
      <c r="H2" s="2"/>
      <c r="I2" s="2"/>
      <c r="J2" s="2"/>
      <c r="K2" s="2"/>
      <c r="L2" s="2"/>
      <c r="M2" s="2"/>
      <c r="N2" s="2"/>
      <c r="O2" s="2"/>
      <c r="P2" s="2"/>
      <c r="Q2" s="2"/>
      <c r="R2" s="2"/>
      <c r="S2" s="2"/>
      <c r="T2" s="2"/>
      <c r="U2" s="2"/>
      <c r="V2" s="2"/>
      <c r="W2" s="2"/>
      <c r="X2" s="2"/>
      <c r="Y2" s="2"/>
      <c r="Z2" s="2"/>
      <c r="AA2" s="2"/>
    </row>
    <row r="3" spans="1:27">
      <c r="A3" s="2"/>
      <c r="B3" s="2"/>
      <c r="C3" s="2"/>
      <c r="D3" s="14"/>
      <c r="E3" s="14"/>
      <c r="F3" s="14"/>
      <c r="G3" s="14"/>
      <c r="H3" s="2"/>
      <c r="I3" s="2"/>
      <c r="J3" s="2"/>
      <c r="K3" s="2"/>
      <c r="L3" s="2"/>
      <c r="M3" s="2"/>
      <c r="N3" s="2"/>
      <c r="O3" s="2"/>
      <c r="P3" s="2"/>
      <c r="Q3" s="2"/>
      <c r="R3" s="2"/>
      <c r="S3" s="2"/>
      <c r="T3" s="2"/>
      <c r="U3" s="2"/>
      <c r="V3" s="2"/>
      <c r="W3" s="2"/>
      <c r="X3" s="2"/>
      <c r="Y3" s="2"/>
      <c r="Z3" s="2"/>
      <c r="AA3" s="2"/>
    </row>
    <row r="4" spans="1:27">
      <c r="A4" s="2"/>
      <c r="B4" s="2"/>
      <c r="C4" s="2"/>
      <c r="D4" s="14"/>
      <c r="E4" s="14"/>
      <c r="F4" s="14"/>
      <c r="G4" s="14"/>
      <c r="H4" s="2"/>
      <c r="I4" s="2"/>
      <c r="J4" s="2"/>
      <c r="K4" s="2"/>
      <c r="L4" s="2"/>
      <c r="M4" s="2"/>
      <c r="N4" s="2"/>
      <c r="O4" s="2"/>
      <c r="P4" s="2"/>
      <c r="Q4" s="2"/>
      <c r="R4" s="2"/>
      <c r="S4" s="2"/>
      <c r="T4" s="2"/>
      <c r="U4" s="2"/>
      <c r="V4" s="2"/>
      <c r="W4" s="2"/>
      <c r="X4" s="2"/>
      <c r="Y4" s="2"/>
      <c r="Z4" s="2"/>
      <c r="AA4" s="2"/>
    </row>
    <row r="5" spans="1:27">
      <c r="A5" s="2"/>
      <c r="B5" s="2"/>
      <c r="C5" s="2"/>
      <c r="D5" s="14"/>
      <c r="E5" s="14"/>
      <c r="F5" s="14"/>
      <c r="G5" s="14"/>
      <c r="H5" s="2"/>
      <c r="I5" s="2"/>
      <c r="J5" s="2"/>
      <c r="K5" s="2"/>
      <c r="L5" s="2"/>
      <c r="M5" s="2"/>
      <c r="N5" s="2"/>
      <c r="O5" s="2"/>
      <c r="P5" s="2"/>
      <c r="Q5" s="2"/>
      <c r="R5" s="2"/>
      <c r="S5" s="2"/>
      <c r="T5" s="2"/>
      <c r="U5" s="2"/>
      <c r="V5" s="2"/>
      <c r="W5" s="2"/>
      <c r="X5" s="2"/>
      <c r="Y5" s="2"/>
      <c r="Z5" s="2"/>
      <c r="AA5" s="2"/>
    </row>
    <row r="6" spans="1:27" ht="87">
      <c r="A6" s="1" t="s">
        <v>3</v>
      </c>
      <c r="B6" s="2"/>
      <c r="C6" s="2"/>
      <c r="D6" s="14"/>
      <c r="E6" s="14"/>
      <c r="F6" s="14"/>
      <c r="G6" s="14"/>
      <c r="H6" s="2"/>
      <c r="I6" s="2"/>
      <c r="J6" s="2"/>
      <c r="K6" s="2"/>
      <c r="L6" s="2"/>
      <c r="M6" s="2"/>
      <c r="N6" s="2"/>
      <c r="O6" s="2"/>
      <c r="P6" s="2"/>
      <c r="Q6" s="2"/>
      <c r="R6" s="2"/>
      <c r="S6" s="2"/>
      <c r="T6" s="2"/>
      <c r="U6" s="2"/>
      <c r="V6" s="2"/>
      <c r="W6" s="2"/>
      <c r="X6" s="2"/>
      <c r="Y6" s="2"/>
      <c r="Z6" s="2"/>
      <c r="AA6" s="2"/>
    </row>
    <row r="7" spans="1:27">
      <c r="A7" s="2"/>
      <c r="B7" s="2"/>
      <c r="C7" s="2"/>
      <c r="D7" s="14"/>
      <c r="E7" s="14"/>
      <c r="F7" s="14"/>
      <c r="G7" s="14"/>
      <c r="H7" s="2"/>
      <c r="I7" s="2"/>
      <c r="J7" s="2"/>
      <c r="K7" s="2"/>
      <c r="L7" s="2"/>
      <c r="M7" s="2"/>
      <c r="N7" s="2"/>
      <c r="O7" s="2"/>
      <c r="P7" s="2"/>
      <c r="Q7" s="2"/>
      <c r="R7" s="2"/>
      <c r="S7" s="2"/>
      <c r="T7" s="2"/>
      <c r="U7" s="2"/>
      <c r="V7" s="2"/>
      <c r="W7" s="2"/>
      <c r="X7" s="2"/>
      <c r="Y7" s="2"/>
      <c r="Z7" s="2"/>
      <c r="AA7" s="2"/>
    </row>
    <row r="8" spans="1:27">
      <c r="A8" s="2"/>
      <c r="B8" s="2"/>
      <c r="C8" s="2"/>
      <c r="D8" s="14"/>
      <c r="E8" s="14"/>
      <c r="F8" s="14"/>
      <c r="G8" s="14"/>
      <c r="H8" s="2"/>
      <c r="I8" s="2"/>
      <c r="J8" s="2"/>
      <c r="K8" s="2"/>
      <c r="L8" s="2"/>
      <c r="M8" s="2"/>
      <c r="N8" s="2"/>
      <c r="O8" s="2"/>
      <c r="P8" s="2"/>
      <c r="Q8" s="2"/>
      <c r="R8" s="2"/>
      <c r="S8" s="2"/>
      <c r="T8" s="2"/>
      <c r="U8" s="2"/>
      <c r="V8" s="2"/>
      <c r="W8" s="2"/>
      <c r="X8" s="2"/>
      <c r="Y8" s="2"/>
      <c r="Z8" s="2"/>
      <c r="AA8" s="2"/>
    </row>
    <row r="9" spans="1:27">
      <c r="A9" s="1"/>
      <c r="B9" s="2"/>
      <c r="C9" s="2"/>
      <c r="D9" s="14"/>
      <c r="E9" s="14"/>
      <c r="F9" s="14"/>
      <c r="G9" s="14"/>
      <c r="H9" s="2"/>
      <c r="I9" s="2"/>
      <c r="J9" s="2"/>
      <c r="K9" s="2"/>
      <c r="L9" s="2"/>
      <c r="M9" s="2"/>
      <c r="N9" s="2"/>
      <c r="O9" s="2"/>
      <c r="P9" s="2"/>
      <c r="Q9" s="2"/>
      <c r="R9" s="2"/>
      <c r="S9" s="2"/>
      <c r="T9" s="2"/>
      <c r="U9" s="2"/>
      <c r="V9" s="2"/>
      <c r="W9" s="2"/>
      <c r="X9" s="2"/>
      <c r="Y9" s="2"/>
      <c r="Z9" s="2"/>
      <c r="AA9" s="2"/>
    </row>
    <row r="10" spans="1:27" ht="406">
      <c r="A10" s="1" t="s">
        <v>4</v>
      </c>
      <c r="B10" s="2"/>
      <c r="C10" s="2"/>
      <c r="D10" s="14"/>
      <c r="E10" s="14"/>
      <c r="F10" s="14"/>
      <c r="G10" s="14"/>
      <c r="H10" s="2"/>
      <c r="I10" s="2"/>
      <c r="J10" s="2"/>
      <c r="K10" s="2"/>
      <c r="L10" s="2"/>
      <c r="M10" s="2"/>
      <c r="N10" s="2"/>
      <c r="O10" s="2"/>
      <c r="P10" s="2"/>
      <c r="Q10" s="2"/>
      <c r="R10" s="2"/>
      <c r="S10" s="2"/>
      <c r="T10" s="2"/>
      <c r="U10" s="2"/>
      <c r="V10" s="2"/>
      <c r="W10" s="2"/>
      <c r="X10" s="2"/>
      <c r="Y10" s="2"/>
      <c r="Z10" s="2"/>
      <c r="AA10" s="2"/>
    </row>
    <row r="11" spans="1:27">
      <c r="A11" s="2"/>
      <c r="B11" s="2"/>
      <c r="C11" s="2"/>
      <c r="D11" s="14"/>
      <c r="E11" s="14"/>
      <c r="F11" s="14"/>
      <c r="G11" s="14"/>
      <c r="H11" s="2"/>
      <c r="I11" s="2"/>
      <c r="J11" s="2"/>
      <c r="K11" s="2"/>
      <c r="L11" s="2"/>
      <c r="M11" s="2"/>
      <c r="N11" s="2"/>
      <c r="O11" s="2"/>
      <c r="P11" s="2"/>
      <c r="Q11" s="2"/>
      <c r="R11" s="2"/>
      <c r="S11" s="2"/>
      <c r="T11" s="2"/>
      <c r="U11" s="2"/>
      <c r="V11" s="2"/>
      <c r="W11" s="2"/>
      <c r="X11" s="2"/>
      <c r="Y11" s="2"/>
      <c r="Z11" s="2"/>
      <c r="AA11" s="2"/>
    </row>
    <row r="12" spans="1:27">
      <c r="A12" s="2"/>
      <c r="B12" s="2"/>
      <c r="C12" s="2"/>
      <c r="D12" s="14"/>
      <c r="E12" s="14"/>
      <c r="F12" s="14"/>
      <c r="G12" s="14"/>
      <c r="H12" s="2"/>
      <c r="I12" s="2"/>
      <c r="J12" s="2"/>
      <c r="K12" s="2"/>
      <c r="L12" s="2"/>
      <c r="M12" s="2"/>
      <c r="N12" s="2"/>
      <c r="O12" s="2"/>
      <c r="P12" s="2"/>
      <c r="Q12" s="2"/>
      <c r="R12" s="2"/>
      <c r="S12" s="2"/>
      <c r="T12" s="2"/>
      <c r="U12" s="2"/>
      <c r="V12" s="2"/>
      <c r="W12" s="2"/>
      <c r="X12" s="2"/>
      <c r="Y12" s="2"/>
      <c r="Z12" s="2"/>
      <c r="AA12" s="2"/>
    </row>
    <row r="13" spans="1:27">
      <c r="A13" s="2"/>
      <c r="B13" s="2"/>
      <c r="C13" s="2"/>
      <c r="D13" s="14"/>
      <c r="E13" s="14"/>
      <c r="F13" s="14"/>
      <c r="G13" s="14"/>
      <c r="H13" s="2"/>
      <c r="I13" s="2"/>
      <c r="J13" s="2"/>
      <c r="K13" s="2"/>
      <c r="L13" s="2"/>
      <c r="M13" s="2"/>
      <c r="N13" s="2"/>
      <c r="O13" s="2"/>
      <c r="P13" s="2"/>
      <c r="Q13" s="2"/>
      <c r="R13" s="2"/>
      <c r="S13" s="2"/>
      <c r="T13" s="2"/>
      <c r="U13" s="2"/>
      <c r="V13" s="2"/>
      <c r="W13" s="2"/>
      <c r="X13" s="2"/>
      <c r="Y13" s="2"/>
      <c r="Z13" s="2"/>
      <c r="AA13" s="2"/>
    </row>
    <row r="14" spans="1:27">
      <c r="A14" s="2"/>
      <c r="B14" s="2"/>
      <c r="C14" s="2"/>
      <c r="D14" s="14"/>
      <c r="E14" s="14"/>
      <c r="F14" s="14"/>
      <c r="G14" s="14"/>
      <c r="H14" s="2"/>
      <c r="I14" s="2"/>
      <c r="J14" s="2"/>
      <c r="K14" s="2"/>
      <c r="L14" s="2"/>
      <c r="M14" s="2"/>
      <c r="N14" s="2"/>
      <c r="O14" s="2"/>
      <c r="P14" s="2"/>
      <c r="Q14" s="2"/>
      <c r="R14" s="2"/>
      <c r="S14" s="2"/>
      <c r="T14" s="2"/>
      <c r="U14" s="2"/>
      <c r="V14" s="2"/>
      <c r="W14" s="2"/>
      <c r="X14" s="2"/>
      <c r="Y14" s="2"/>
      <c r="Z14" s="2"/>
      <c r="AA14" s="2"/>
    </row>
    <row r="15" spans="1:27">
      <c r="A15" s="2"/>
      <c r="B15" s="2"/>
      <c r="C15" s="2"/>
      <c r="D15" s="14"/>
      <c r="E15" s="14"/>
      <c r="F15" s="14"/>
      <c r="G15" s="14"/>
      <c r="H15" s="2"/>
      <c r="I15" s="2"/>
      <c r="J15" s="2"/>
      <c r="K15" s="2"/>
      <c r="L15" s="2"/>
      <c r="M15" s="2"/>
      <c r="N15" s="2"/>
      <c r="O15" s="2"/>
      <c r="P15" s="2"/>
      <c r="Q15" s="2"/>
      <c r="R15" s="2"/>
      <c r="S15" s="2"/>
      <c r="T15" s="2"/>
      <c r="U15" s="2"/>
      <c r="V15" s="2"/>
      <c r="W15" s="2"/>
      <c r="X15" s="2"/>
      <c r="Y15" s="2"/>
      <c r="Z15" s="2"/>
      <c r="AA15" s="2"/>
    </row>
    <row r="16" spans="1:27">
      <c r="A16" s="2"/>
      <c r="B16" s="2"/>
      <c r="C16" s="23"/>
      <c r="D16" s="23"/>
      <c r="E16" s="14"/>
      <c r="F16" s="14"/>
      <c r="G16" s="14"/>
      <c r="H16" s="2"/>
      <c r="I16" s="2"/>
      <c r="J16" s="2"/>
      <c r="K16" s="2"/>
      <c r="L16" s="2"/>
      <c r="M16" s="2"/>
      <c r="N16" s="2"/>
      <c r="O16" s="2"/>
      <c r="P16" s="2"/>
      <c r="Q16" s="2"/>
      <c r="R16" s="2"/>
      <c r="S16" s="2"/>
      <c r="T16" s="2"/>
      <c r="U16" s="2"/>
      <c r="V16" s="2"/>
      <c r="W16" s="2"/>
      <c r="X16" s="2"/>
      <c r="Y16" s="2"/>
      <c r="Z16" s="2"/>
      <c r="AA16" s="2"/>
    </row>
    <row r="17" spans="1:27" ht="68">
      <c r="A17" s="2"/>
      <c r="B17" s="2"/>
      <c r="C17" s="25" t="s">
        <v>424</v>
      </c>
      <c r="D17" s="25" t="s">
        <v>425</v>
      </c>
      <c r="E17" s="14"/>
      <c r="F17" s="14"/>
      <c r="G17" s="14"/>
      <c r="H17" s="2"/>
      <c r="I17" s="2"/>
      <c r="J17" s="2"/>
      <c r="K17" s="2"/>
      <c r="L17" s="2"/>
      <c r="M17" s="2"/>
      <c r="N17" s="2"/>
      <c r="O17" s="2"/>
      <c r="P17" s="2"/>
      <c r="Q17" s="2"/>
      <c r="R17" s="2"/>
      <c r="S17" s="2"/>
      <c r="T17" s="2"/>
      <c r="U17" s="2"/>
      <c r="V17" s="2"/>
      <c r="W17" s="2"/>
      <c r="X17" s="2"/>
      <c r="Y17" s="2"/>
      <c r="Z17" s="2"/>
      <c r="AA17" s="2"/>
    </row>
    <row r="18" spans="1:27">
      <c r="A18" s="2"/>
      <c r="B18" s="2"/>
      <c r="C18" s="19"/>
      <c r="D18" s="19"/>
      <c r="E18" s="14"/>
      <c r="F18" s="14"/>
      <c r="G18" s="14"/>
      <c r="H18" s="2"/>
      <c r="I18" s="2"/>
      <c r="J18" s="2"/>
      <c r="K18" s="2"/>
      <c r="L18" s="2"/>
      <c r="M18" s="2"/>
      <c r="N18" s="2"/>
      <c r="O18" s="2"/>
      <c r="P18" s="2"/>
      <c r="Q18" s="2"/>
      <c r="R18" s="2"/>
      <c r="S18" s="2"/>
      <c r="T18" s="2"/>
      <c r="U18" s="2"/>
      <c r="V18" s="2"/>
      <c r="W18" s="2"/>
      <c r="X18" s="2"/>
      <c r="Y18" s="2"/>
      <c r="Z18" s="2"/>
      <c r="AA18" s="2"/>
    </row>
    <row r="19" spans="1:27">
      <c r="C19" s="21"/>
      <c r="D19" s="21"/>
    </row>
    <row r="20" spans="1:27" ht="40.5">
      <c r="C20" s="20" t="s">
        <v>426</v>
      </c>
      <c r="D20" s="20" t="s">
        <v>427</v>
      </c>
    </row>
    <row r="21" spans="1:27">
      <c r="D21"/>
    </row>
    <row r="22" spans="1:27">
      <c r="C22" s="24"/>
      <c r="D22" s="24"/>
    </row>
    <row r="23" spans="1:27">
      <c r="C23" s="22"/>
      <c r="D23" s="22"/>
    </row>
  </sheetData>
  <phoneticPr fontId="6" type="noConversion"/>
  <dataValidations count="1">
    <dataValidation type="decimal" allowBlank="1" showInputMessage="1" showErrorMessage="1" sqref="C23:D23" xr:uid="{00000000-0002-0000-0600-000000000000}">
      <formula1>-999999999999999</formula1>
      <formula2>999999999999999</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7930F-0E13-4EB5-AED9-4B7494F7AB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vt:i4>
      </vt:variant>
    </vt:vector>
  </HeadingPairs>
  <TitlesOfParts>
    <vt:vector size="23" baseType="lpstr">
      <vt:lpstr>Content Page</vt:lpstr>
      <vt:lpstr>FilingInfo</vt:lpstr>
      <vt:lpstr>SOF</vt:lpstr>
      <vt:lpstr>DirectorsRep</vt:lpstr>
      <vt:lpstr>DirectorsBussRev</vt:lpstr>
      <vt:lpstr>StatOfDirectors</vt:lpstr>
      <vt:lpstr>InvolInSE</vt:lpstr>
      <vt:lpstr>AuditReport</vt:lpstr>
      <vt:lpstr>SOFP-CuNonCu</vt:lpstr>
      <vt:lpstr>SOFP-Sub-CuNonCu</vt:lpstr>
      <vt:lpstr>SOPL-Function</vt:lpstr>
      <vt:lpstr>SOPL-Analysis-Function</vt:lpstr>
      <vt:lpstr>SOCI-BeforeOfTax</vt:lpstr>
      <vt:lpstr>SOCF-Indirect</vt:lpstr>
      <vt:lpstr>SOCIE</vt:lpstr>
      <vt:lpstr>Notes-CI</vt:lpstr>
      <vt:lpstr>Notes-SummaryofAccPol</vt:lpstr>
      <vt:lpstr>Notes-Listofnotes</vt:lpstr>
      <vt:lpstr>Notes-Issuedcapital</vt:lpstr>
      <vt:lpstr>Notes-RelatedPartytran</vt:lpstr>
      <vt:lpstr>CountryList</vt:lpstr>
      <vt:lpstr>CurrencyList</vt:lpstr>
      <vt:lpstr>NewCurrencyList</vt:lpstr>
    </vt:vector>
  </TitlesOfParts>
  <Company>IRIS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Madieha Mazlan (MY)</dc:creator>
  <cp:lastModifiedBy>William Chen (MY)</cp:lastModifiedBy>
  <dcterms:created xsi:type="dcterms:W3CDTF">2012-04-27T10:07:35Z</dcterms:created>
  <dcterms:modified xsi:type="dcterms:W3CDTF">2026-02-24T05:20:28Z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file:///C:/SSM XBRL Preparation Tool/iFile.vsto|0bd574fe-b872-47b8-a114-87ac1bb1c904|vstolocal</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