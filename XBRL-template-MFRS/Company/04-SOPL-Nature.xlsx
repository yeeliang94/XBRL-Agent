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  <fill>
      <patternFill patternType="solid">
        <fgColor rgb="00F8FAFC"/>
        <bgColor rgb="00F8FAFC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top style="thin">
        <color rgb="001F3864"/>
      </top>
      <bottom style="thin">
        <color rgb="001F3864"/>
      </bottom>
    </border>
    <border>
      <bottom style="thin">
        <color rgb="00D9DEE5"/>
      </bottom>
    </border>
    <border>
      <top style="thin">
        <color rgb="001F3864"/>
      </top>
      <bottom/>
    </border>
    <border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4" fillId="7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0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7" borderId="4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164" fontId="14" fillId="7" borderId="6" applyAlignment="1" pivotButton="0" quotePrefix="0" xfId="0">
      <alignment horizontal="right" vertical="center"/>
    </xf>
    <xf numFmtId="0" fontId="17" fillId="7" borderId="6" applyAlignment="1" pivotButton="0" quotePrefix="0" xfId="0">
      <alignment horizontal="left" vertical="center" wrapText="1"/>
    </xf>
    <xf numFmtId="164" fontId="15" fillId="8" borderId="7" applyAlignment="1" pivotButton="0" quotePrefix="0" xfId="0">
      <alignment horizontal="right" vertical="center"/>
    </xf>
    <xf numFmtId="0" fontId="17" fillId="0" borderId="7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2"/>
    <row r="3" ht="24" customHeight="1" s="10">
      <c r="A3" s="24" t="inlineStr">
        <is>
          <t>Statement of profit or loss, by nature of expense</t>
        </is>
      </c>
      <c r="D3" s="24" t="n"/>
    </row>
    <row r="4" ht="18" customHeight="1" s="10">
      <c r="A4" s="25" t="inlineStr">
        <is>
          <t>Statement of Profit or Loss [abstract]</t>
        </is>
      </c>
      <c r="B4" s="26" t="n"/>
      <c r="C4" s="26" t="n"/>
      <c r="D4" s="32" t="n"/>
    </row>
    <row r="5" ht="18" customHeight="1" s="10">
      <c r="A5" s="25" t="inlineStr">
        <is>
          <t>Statement of profit or loss [line items]</t>
        </is>
      </c>
      <c r="B5" s="26" t="n"/>
      <c r="C5" s="26" t="n"/>
      <c r="D5" s="32" t="n"/>
    </row>
    <row r="6" ht="18" customHeight="1" s="10">
      <c r="A6" s="25" t="inlineStr">
        <is>
          <t>Continuing operations [abstract]</t>
        </is>
      </c>
      <c r="B6" s="26" t="n"/>
      <c r="C6" s="26" t="n"/>
      <c r="D6" s="32" t="n"/>
    </row>
    <row r="7" ht="18" customHeight="1" s="10">
      <c r="A7" s="27" t="inlineStr">
        <is>
          <t>Total revenue</t>
        </is>
      </c>
      <c r="B7" s="28">
        <f>'SOPL-Analysis-Nature'!B40</f>
        <v/>
      </c>
      <c r="C7" s="28">
        <f>'SOPL-Analysis-Nature'!C40</f>
        <v/>
      </c>
      <c r="D7" s="33" t="n"/>
    </row>
    <row r="8" ht="18" customHeight="1" s="10">
      <c r="A8" s="29" t="inlineStr">
        <is>
          <t>Other income</t>
        </is>
      </c>
      <c r="B8" s="30">
        <f>'SOPL-Analysis-Nature'!B83</f>
        <v/>
      </c>
      <c r="C8" s="30">
        <f>'SOPL-Analysis-Nature'!C83</f>
        <v/>
      </c>
      <c r="D8" s="34" t="n"/>
    </row>
    <row r="9" ht="18" customHeight="1" s="10">
      <c r="A9" s="29" t="inlineStr">
        <is>
          <t>Decrease (increase) in inventories of finished goods and work in progress</t>
        </is>
      </c>
      <c r="B9" s="30" t="n"/>
      <c r="C9" s="30" t="n"/>
      <c r="D9" s="34" t="n"/>
    </row>
    <row r="10" ht="18" customHeight="1" s="10">
      <c r="A10" s="29" t="inlineStr">
        <is>
          <t>Other work performed by entity and capitalised</t>
        </is>
      </c>
      <c r="B10" s="30" t="n"/>
      <c r="C10" s="30" t="n"/>
      <c r="D10" s="34" t="n"/>
    </row>
    <row r="11" ht="18" customHeight="1" s="10">
      <c r="A11" s="29" t="inlineStr">
        <is>
          <t>Raw materials and consumables used</t>
        </is>
      </c>
      <c r="B11" s="30" t="n"/>
      <c r="C11" s="30" t="n"/>
      <c r="D11" s="34" t="n"/>
    </row>
    <row r="12" ht="18" customHeight="1" s="10">
      <c r="A12" s="27" t="inlineStr">
        <is>
          <t>Total depreciation, amortisation and impairment loss (reversal of impairment loss) recognised in profit or loss</t>
        </is>
      </c>
      <c r="B12" s="28" t="n"/>
      <c r="C12" s="28" t="n"/>
      <c r="D12" s="33" t="n"/>
    </row>
    <row r="13" ht="18" customHeight="1" s="10">
      <c r="A13" s="27" t="inlineStr">
        <is>
          <t>Total employee benefits expense, by nature</t>
        </is>
      </c>
      <c r="B13" s="28">
        <f>'SOPL-Analysis-Nature'!B95</f>
        <v/>
      </c>
      <c r="C13" s="28">
        <f>'SOPL-Analysis-Nature'!C95</f>
        <v/>
      </c>
      <c r="D13" s="33" t="n"/>
    </row>
    <row r="14" ht="18" customHeight="1" s="10">
      <c r="A14" s="29" t="inlineStr">
        <is>
          <t>Other expenses, by nature</t>
        </is>
      </c>
      <c r="B14" s="30">
        <f>'SOPL-Analysis-Nature'!B128</f>
        <v/>
      </c>
      <c r="C14" s="30">
        <f>'SOPL-Analysis-Nature'!C128</f>
        <v/>
      </c>
      <c r="D14" s="34" t="n"/>
    </row>
    <row r="15" ht="18" customHeight="1" s="10">
      <c r="A15" s="27" t="inlineStr">
        <is>
          <t>Profit (loss) from operating activities</t>
        </is>
      </c>
      <c r="B15" s="28">
        <f>1*B7+1*B8+-1*B9+1*B10+-1*B11+-1*B12+-1*B13+-1*B14</f>
        <v/>
      </c>
      <c r="C15" s="28">
        <f>1*C7+1*C8+-1*C9+1*C10+-1*C11+-1*C12+-1*C13+-1*C14</f>
        <v/>
      </c>
      <c r="D15" s="33" t="n"/>
    </row>
    <row r="16" ht="18" customHeight="1" s="10">
      <c r="A16" s="29" t="inlineStr">
        <is>
          <t>Finance income</t>
        </is>
      </c>
      <c r="B16" s="30">
        <f>'SOPL-Analysis-Nature'!B132</f>
        <v/>
      </c>
      <c r="C16" s="30">
        <f>'SOPL-Analysis-Nature'!C132</f>
        <v/>
      </c>
      <c r="D16" s="34" t="n"/>
    </row>
    <row r="17" ht="18" customHeight="1" s="10">
      <c r="A17" s="29" t="inlineStr">
        <is>
          <t>Finance costs</t>
        </is>
      </c>
      <c r="B17" s="30" t="n"/>
      <c r="C17" s="30" t="n"/>
      <c r="D17" s="34" t="n"/>
    </row>
    <row r="18" ht="18" customHeight="1" s="10">
      <c r="A18" s="27" t="inlineStr">
        <is>
          <t>Total share of profit (loss) of associates and joint ventures accounted for using equity method</t>
        </is>
      </c>
      <c r="B18" s="28" t="n"/>
      <c r="C18" s="28" t="n"/>
      <c r="D18" s="33" t="n"/>
    </row>
    <row r="19" ht="18" customHeight="1" s="10">
      <c r="A19" s="27" t="inlineStr">
        <is>
          <t>Profit (loss) before tax</t>
        </is>
      </c>
      <c r="B19" s="28">
        <f>1*B7+1*B8+-1*B9+1*B10+-1*B11+-1*B12+-1*B13+-1*B14+1*B16+-1*B17+1*B18</f>
        <v/>
      </c>
      <c r="C19" s="28">
        <f>1*C7+1*C8+-1*C9+1*C10+-1*C11+-1*C12+-1*C13+-1*C14+1*C16+-1*C17+1*C18</f>
        <v/>
      </c>
      <c r="D19" s="33" t="n"/>
    </row>
    <row r="20" ht="18" customHeight="1" s="10">
      <c r="A20" s="27" t="inlineStr">
        <is>
          <t>Total tax expense (income)</t>
        </is>
      </c>
      <c r="B20" s="28" t="n"/>
      <c r="C20" s="28" t="n"/>
      <c r="D20" s="33" t="n"/>
    </row>
    <row r="21" ht="18" customHeight="1" s="10">
      <c r="A21" s="29" t="inlineStr">
        <is>
          <t>Contribution of zakat</t>
        </is>
      </c>
      <c r="B21" s="30" t="n"/>
      <c r="C21" s="30" t="n"/>
      <c r="D21" s="34" t="n"/>
    </row>
    <row r="22" ht="18" customHeight="1" s="10">
      <c r="A22" s="27" t="inlineStr">
        <is>
          <t>Profit (loss) from continuing operations</t>
        </is>
      </c>
      <c r="B22" s="35">
        <f>1*B19+-1*B20+-1*B21</f>
        <v/>
      </c>
      <c r="C22" s="35">
        <f>1*C19+-1*C20+-1*C21</f>
        <v/>
      </c>
      <c r="D22" s="36" t="n"/>
    </row>
    <row r="23" ht="18" customHeight="1" s="10">
      <c r="A23" s="25" t="inlineStr">
        <is>
          <t>Discontinued operations [abstract]</t>
        </is>
      </c>
      <c r="B23" s="26" t="n"/>
      <c r="C23" s="26" t="n"/>
      <c r="D23" s="32" t="n"/>
    </row>
    <row r="24" ht="18" customHeight="1" s="10">
      <c r="A24" s="29" t="inlineStr">
        <is>
          <t>Profit (loss) from discontinued operations</t>
        </is>
      </c>
      <c r="B24" s="30" t="n"/>
      <c r="C24" s="30" t="n"/>
      <c r="D24" s="34" t="n"/>
    </row>
    <row r="25" ht="18" customHeight="1" s="10">
      <c r="A25" s="29" t="inlineStr">
        <is>
          <t>Profit (loss)</t>
        </is>
      </c>
      <c r="B25" s="37">
        <f>1*B22+1*B24</f>
        <v/>
      </c>
      <c r="C25" s="37">
        <f>1*C22+1*C24</f>
        <v/>
      </c>
      <c r="D25" s="38" t="n"/>
    </row>
    <row r="26" ht="18" customHeight="1" s="10">
      <c r="A26" s="25" t="inlineStr">
        <is>
          <t>Profit (loss), attributable to [abstract]</t>
        </is>
      </c>
      <c r="B26" s="26" t="n"/>
      <c r="C26" s="26" t="n"/>
      <c r="D26" s="32" t="n"/>
    </row>
    <row r="27" ht="18" customHeight="1" s="10">
      <c r="A27" s="29" t="inlineStr">
        <is>
          <t>Profit (loss), attributable to owners of parent</t>
        </is>
      </c>
      <c r="B27" s="30" t="n"/>
      <c r="C27" s="30" t="n"/>
      <c r="D27" s="34" t="n"/>
    </row>
    <row r="28" ht="18" customHeight="1" s="10">
      <c r="A28" s="29" t="inlineStr">
        <is>
          <t>Profit (loss) attributable to equity other components</t>
        </is>
      </c>
      <c r="B28" s="30" t="n"/>
      <c r="C28" s="30" t="n"/>
      <c r="D28" s="34" t="n"/>
    </row>
    <row r="29" ht="18" customHeight="1" s="10">
      <c r="A29" s="29" t="inlineStr">
        <is>
          <t>Profit (loss), attributable to non-controlling interests</t>
        </is>
      </c>
      <c r="B29" s="30" t="n"/>
      <c r="C29" s="30" t="n"/>
      <c r="D29" s="34" t="n"/>
    </row>
    <row r="30" ht="18" customHeight="1" s="10">
      <c r="A30" s="29" t="inlineStr">
        <is>
          <t>Profit (loss)</t>
        </is>
      </c>
      <c r="B30" s="37">
        <f>1*B27+1*B28+1*B29</f>
        <v/>
      </c>
      <c r="C30" s="37">
        <f>1*C27+1*C28+1*C29</f>
        <v/>
      </c>
      <c r="D30" s="38" t="n"/>
    </row>
    <row r="31" ht="18" customHeight="1" s="10">
      <c r="A31" s="25" t="inlineStr">
        <is>
          <t>Earnings per share [abstract]</t>
        </is>
      </c>
      <c r="B31" s="26" t="n"/>
      <c r="C31" s="26" t="n"/>
      <c r="D31" s="32" t="n"/>
    </row>
    <row r="32" ht="18" customHeight="1" s="10">
      <c r="A32" s="25" t="inlineStr">
        <is>
          <t>Basic earnings per share [abstract]</t>
        </is>
      </c>
      <c r="B32" s="26" t="n"/>
      <c r="C32" s="26" t="n"/>
      <c r="D32" s="32" t="n"/>
    </row>
    <row r="33" ht="18" customHeight="1" s="10">
      <c r="A33" s="29" t="inlineStr">
        <is>
          <t>Basic earnings (loss) per share from continuing operations</t>
        </is>
      </c>
      <c r="B33" s="30" t="n"/>
      <c r="C33" s="30" t="n"/>
      <c r="D33" s="34" t="n"/>
    </row>
    <row r="34" ht="18" customHeight="1" s="10">
      <c r="A34" s="29" t="inlineStr">
        <is>
          <t>Basic earnings (loss) per share from discontinued operations</t>
        </is>
      </c>
      <c r="B34" s="30" t="n"/>
      <c r="C34" s="30" t="n"/>
      <c r="D34" s="34" t="n"/>
    </row>
    <row r="35" ht="18" customHeight="1" s="10">
      <c r="A35" s="27" t="inlineStr">
        <is>
          <t>Total basic earnings (loss) per share</t>
        </is>
      </c>
      <c r="B35" s="35">
        <f>1*B33+1*B34</f>
        <v/>
      </c>
      <c r="C35" s="35">
        <f>1*C33+1*C34</f>
        <v/>
      </c>
      <c r="D35" s="36" t="n"/>
    </row>
    <row r="36" ht="18" customHeight="1" s="10">
      <c r="A36" s="25" t="inlineStr">
        <is>
          <t>Diluted earnings per share [abstract]</t>
        </is>
      </c>
      <c r="B36" s="26" t="n"/>
      <c r="C36" s="26" t="n"/>
      <c r="D36" s="32" t="n"/>
    </row>
    <row r="37" ht="18" customHeight="1" s="10">
      <c r="A37" s="29" t="inlineStr">
        <is>
          <t>Diluted earnings (loss) per share from continuing operations</t>
        </is>
      </c>
      <c r="B37" s="30" t="n"/>
      <c r="C37" s="30" t="n"/>
      <c r="D37" s="34" t="n"/>
    </row>
    <row r="38" ht="18" customHeight="1" s="10">
      <c r="A38" s="29" t="inlineStr">
        <is>
          <t>Diluted earnings (loss) per share from discontinued operations</t>
        </is>
      </c>
      <c r="B38" s="30" t="n"/>
      <c r="C38" s="30" t="n"/>
      <c r="D38" s="34" t="n"/>
    </row>
    <row r="39" ht="18" customHeight="1" s="10">
      <c r="A39" s="27" t="inlineStr">
        <is>
          <t>Total diluted earnings (loss) per share</t>
        </is>
      </c>
      <c r="B39" s="28">
        <f>1*B37+1*B38</f>
        <v/>
      </c>
      <c r="C39" s="28">
        <f>1*C37+1*C38</f>
        <v/>
      </c>
      <c r="D39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2"/>
    <row r="3" ht="24" customHeight="1" s="10">
      <c r="A3" s="24" t="inlineStr">
        <is>
          <t>Analysis of profit or loss, by nature of expense</t>
        </is>
      </c>
      <c r="D3" s="24" t="n"/>
    </row>
    <row r="4" ht="18" customHeight="1" s="10">
      <c r="A4" s="25" t="inlineStr">
        <is>
          <t>Analysis of profit or loss [abstract]</t>
        </is>
      </c>
      <c r="B4" s="26" t="n"/>
      <c r="C4" s="26" t="n"/>
      <c r="D4" s="32" t="n"/>
    </row>
    <row r="5" ht="18" customHeight="1" s="10">
      <c r="A5" s="25" t="inlineStr">
        <is>
          <t>Statement of profit or loss [line items]</t>
        </is>
      </c>
      <c r="B5" s="26" t="n"/>
      <c r="C5" s="26" t="n"/>
      <c r="D5" s="32" t="n"/>
    </row>
    <row r="6" ht="18" customHeight="1" s="10">
      <c r="A6" s="25" t="inlineStr">
        <is>
          <t>Revenue [abstract]</t>
        </is>
      </c>
      <c r="B6" s="26" t="n"/>
      <c r="C6" s="26" t="n"/>
      <c r="D6" s="32" t="n"/>
    </row>
    <row r="7" ht="18" customHeight="1" s="10">
      <c r="A7" s="25" t="inlineStr">
        <is>
          <t>Revenue from sale of goods [abstract]</t>
        </is>
      </c>
      <c r="B7" s="26" t="n"/>
      <c r="C7" s="26" t="n"/>
      <c r="D7" s="32" t="n"/>
    </row>
    <row r="8" ht="18" customHeight="1" s="10">
      <c r="A8" s="29" t="inlineStr">
        <is>
          <t>Revenue from sale of telecommunication equipment</t>
        </is>
      </c>
      <c r="B8" s="30" t="n"/>
      <c r="C8" s="30" t="n"/>
      <c r="D8" s="34" t="n"/>
    </row>
    <row r="9" ht="18" customHeight="1" s="10">
      <c r="A9" s="29" t="inlineStr">
        <is>
          <t>Revenue from sale of property</t>
        </is>
      </c>
      <c r="B9" s="30" t="n"/>
      <c r="C9" s="30" t="n"/>
      <c r="D9" s="34" t="n"/>
    </row>
    <row r="10" ht="18" customHeight="1" s="10">
      <c r="A10" s="29" t="inlineStr">
        <is>
          <t>Revenue from sale of construction contracts</t>
        </is>
      </c>
      <c r="B10" s="30" t="n"/>
      <c r="C10" s="30" t="n"/>
      <c r="D10" s="34" t="n"/>
    </row>
    <row r="11" ht="18" customHeight="1" s="10">
      <c r="A11" s="29" t="inlineStr">
        <is>
          <t>Revenue from sale of clean water, treatment and disposal of waste water</t>
        </is>
      </c>
      <c r="B11" s="30" t="n"/>
      <c r="C11" s="30" t="n"/>
      <c r="D11" s="34" t="n"/>
    </row>
    <row r="12" ht="18" customHeight="1" s="10">
      <c r="A12" s="29" t="inlineStr">
        <is>
          <t>Revenue from sale of food and beverage</t>
        </is>
      </c>
      <c r="B12" s="30" t="n"/>
      <c r="C12" s="30" t="n"/>
      <c r="D12" s="34" t="n"/>
    </row>
    <row r="13" ht="18" customHeight="1" s="10">
      <c r="A13" s="29" t="inlineStr">
        <is>
          <t>Revenue from sale of agricultural produce</t>
        </is>
      </c>
      <c r="B13" s="30" t="n"/>
      <c r="C13" s="30" t="n"/>
      <c r="D13" s="34" t="n"/>
    </row>
    <row r="14" ht="18" customHeight="1" s="10">
      <c r="A14" s="29" t="inlineStr">
        <is>
          <t>Revenue from sale of oil and gas products</t>
        </is>
      </c>
      <c r="B14" s="30" t="n"/>
      <c r="C14" s="30" t="n"/>
      <c r="D14" s="34" t="n"/>
    </row>
    <row r="15" ht="18" customHeight="1" s="10">
      <c r="A15" s="29" t="inlineStr">
        <is>
          <t>Revenue from sale of other goods</t>
        </is>
      </c>
      <c r="B15" s="30" t="n"/>
      <c r="C15" s="30" t="n"/>
      <c r="D15" s="34" t="n"/>
    </row>
    <row r="16" ht="18" customHeight="1" s="10">
      <c r="A16" s="29" t="inlineStr">
        <is>
          <t>Revenue from sale of goods</t>
        </is>
      </c>
      <c r="B16" s="37">
        <f>1*B8+1*B9+1*B10+1*B11+1*B12+1*B13+1*B14+1*B15</f>
        <v/>
      </c>
      <c r="C16" s="37">
        <f>1*C8+1*C9+1*C10+1*C11+1*C12+1*C13+1*C14+1*C15</f>
        <v/>
      </c>
      <c r="D16" s="38" t="n"/>
    </row>
    <row r="17" ht="18" customHeight="1" s="10">
      <c r="A17" s="25" t="inlineStr">
        <is>
          <t>Revenue from rendering of services [abstract]</t>
        </is>
      </c>
      <c r="B17" s="26" t="n"/>
      <c r="C17" s="26" t="n"/>
      <c r="D17" s="32" t="n"/>
    </row>
    <row r="18" ht="18" customHeight="1" s="10">
      <c r="A18" s="29" t="inlineStr">
        <is>
          <t>Revenue from rendering of entertainment services</t>
        </is>
      </c>
      <c r="B18" s="30" t="n"/>
      <c r="C18" s="30" t="n"/>
      <c r="D18" s="34" t="n"/>
    </row>
    <row r="19" ht="18" customHeight="1" s="10">
      <c r="A19" s="27" t="inlineStr">
        <is>
          <t>Total revenue from rendering of telecommunication services</t>
        </is>
      </c>
      <c r="B19" s="28" t="n"/>
      <c r="C19" s="28" t="n"/>
      <c r="D19" s="33" t="n"/>
    </row>
    <row r="20" ht="18" customHeight="1" s="10">
      <c r="A20" s="29" t="inlineStr">
        <is>
          <t>Revenue from rendering of transport services</t>
        </is>
      </c>
      <c r="B20" s="30" t="n"/>
      <c r="C20" s="30" t="n"/>
      <c r="D20" s="34" t="n"/>
    </row>
    <row r="21" ht="18" customHeight="1" s="10">
      <c r="A21" s="29" t="inlineStr">
        <is>
          <t>Revenue from rendering of information technology services</t>
        </is>
      </c>
      <c r="B21" s="30" t="n"/>
      <c r="C21" s="30" t="n"/>
      <c r="D21" s="34" t="n"/>
    </row>
    <row r="22" ht="18" customHeight="1" s="10">
      <c r="A22" s="29" t="inlineStr">
        <is>
          <t>Revenue from rendering of educational services</t>
        </is>
      </c>
      <c r="B22" s="30" t="n"/>
      <c r="C22" s="30" t="n"/>
      <c r="D22" s="34" t="n"/>
    </row>
    <row r="23" ht="18" customHeight="1" s="10">
      <c r="A23" s="29" t="inlineStr">
        <is>
          <t>Revenue from rendering of healthcare services</t>
        </is>
      </c>
      <c r="B23" s="30" t="n"/>
      <c r="C23" s="30" t="n"/>
      <c r="D23" s="34" t="n"/>
    </row>
    <row r="24" ht="18" customHeight="1" s="10">
      <c r="A24" s="29" t="inlineStr">
        <is>
          <t>Revenue from rendering of cargo and mail transport services</t>
        </is>
      </c>
      <c r="B24" s="30" t="n"/>
      <c r="C24" s="30" t="n"/>
      <c r="D24" s="34" t="n"/>
    </row>
    <row r="25" ht="18" customHeight="1" s="10">
      <c r="A25" s="29" t="inlineStr">
        <is>
          <t>Revenue from rendering of other services</t>
        </is>
      </c>
      <c r="B25" s="30" t="n"/>
      <c r="C25" s="30" t="n"/>
      <c r="D25" s="34" t="n"/>
    </row>
    <row r="26" ht="18" customHeight="1" s="10">
      <c r="A26" s="29" t="inlineStr">
        <is>
          <t>Revenue from rendering of services</t>
        </is>
      </c>
      <c r="B26" s="37">
        <f>1*B18+1*B19+1*B20+1*B21+1*B22+1*B23+1*B24+1*B25</f>
        <v/>
      </c>
      <c r="C26" s="37">
        <f>1*C18+1*C19+1*C20+1*C21+1*C22+1*C23+1*C24+1*C25</f>
        <v/>
      </c>
      <c r="D26" s="38" t="n"/>
    </row>
    <row r="27" ht="18" customHeight="1" s="10">
      <c r="A27" s="25" t="inlineStr">
        <is>
          <t>Interest income [abstract]</t>
        </is>
      </c>
      <c r="B27" s="26" t="n"/>
      <c r="C27" s="26" t="n"/>
      <c r="D27" s="32" t="n"/>
    </row>
    <row r="28" ht="18" customHeight="1" s="10">
      <c r="A28" s="29" t="inlineStr">
        <is>
          <t>Interest income on loans and receivables</t>
        </is>
      </c>
      <c r="B28" s="30" t="n"/>
      <c r="C28" s="30" t="n"/>
      <c r="D28" s="34" t="n"/>
    </row>
    <row r="29" ht="18" customHeight="1" s="10">
      <c r="A29" s="29" t="inlineStr">
        <is>
          <t>Interest income on other financial assets</t>
        </is>
      </c>
      <c r="B29" s="30" t="n"/>
      <c r="C29" s="30" t="n"/>
      <c r="D29" s="34" t="n"/>
    </row>
    <row r="30" ht="18" customHeight="1" s="10">
      <c r="A30" s="29" t="inlineStr">
        <is>
          <t>Interest income</t>
        </is>
      </c>
      <c r="B30" s="37">
        <f>1*B28+1*B29</f>
        <v/>
      </c>
      <c r="C30" s="37">
        <f>1*C28+1*C29</f>
        <v/>
      </c>
      <c r="D30" s="38" t="n"/>
    </row>
    <row r="31" ht="18" customHeight="1" s="10">
      <c r="A31" s="25" t="inlineStr">
        <is>
          <t>Fee and commission income [abstract]</t>
        </is>
      </c>
      <c r="B31" s="26" t="n"/>
      <c r="C31" s="26" t="n"/>
      <c r="D31" s="32" t="n"/>
    </row>
    <row r="32" ht="18" customHeight="1" s="10">
      <c r="A32" s="29" t="inlineStr">
        <is>
          <t>Brokerage fee income</t>
        </is>
      </c>
      <c r="B32" s="30" t="n"/>
      <c r="C32" s="30" t="n"/>
      <c r="D32" s="34" t="n"/>
    </row>
    <row r="33" ht="18" customHeight="1" s="10">
      <c r="A33" s="29" t="inlineStr">
        <is>
          <t>Portfolio and other management fee income</t>
        </is>
      </c>
      <c r="B33" s="30" t="n"/>
      <c r="C33" s="30" t="n"/>
      <c r="D33" s="34" t="n"/>
    </row>
    <row r="34" ht="18" customHeight="1" s="10">
      <c r="A34" s="29" t="inlineStr">
        <is>
          <t>Other fee and commission income</t>
        </is>
      </c>
      <c r="B34" s="30" t="n"/>
      <c r="C34" s="30" t="n"/>
      <c r="D34" s="34" t="n"/>
    </row>
    <row r="35" ht="18" customHeight="1" s="10">
      <c r="A35" s="27" t="inlineStr">
        <is>
          <t>Total fee and commission income</t>
        </is>
      </c>
      <c r="B35" s="28">
        <f>1*B32+1*B33+1*B34</f>
        <v/>
      </c>
      <c r="C35" s="28">
        <f>1*C32+1*C33+1*C34</f>
        <v/>
      </c>
      <c r="D35" s="33" t="n"/>
    </row>
    <row r="36" ht="18" customHeight="1" s="10">
      <c r="A36" s="29" t="inlineStr">
        <is>
          <t>Dividend income</t>
        </is>
      </c>
      <c r="B36" s="30" t="n"/>
      <c r="C36" s="30" t="n"/>
      <c r="D36" s="34" t="n"/>
    </row>
    <row r="37" ht="18" customHeight="1" s="10">
      <c r="A37" s="29" t="inlineStr">
        <is>
          <t>Rental income</t>
        </is>
      </c>
      <c r="B37" s="30" t="n"/>
      <c r="C37" s="30" t="n"/>
      <c r="D37" s="34" t="n"/>
    </row>
    <row r="38" ht="18" customHeight="1" s="10">
      <c r="A38" s="29" t="inlineStr">
        <is>
          <t>Royalty income</t>
        </is>
      </c>
      <c r="B38" s="30" t="n"/>
      <c r="C38" s="30" t="n"/>
      <c r="D38" s="34" t="n"/>
    </row>
    <row r="39" ht="18" customHeight="1" s="10">
      <c r="A39" s="29" t="inlineStr">
        <is>
          <t>Other revenue</t>
        </is>
      </c>
      <c r="B39" s="30" t="n"/>
      <c r="C39" s="30" t="n"/>
      <c r="D39" s="34" t="n"/>
    </row>
    <row r="40" ht="18" customHeight="1" s="10">
      <c r="A40" s="27" t="inlineStr">
        <is>
          <t>Total revenue</t>
        </is>
      </c>
      <c r="B40" s="35">
        <f>1*B16+1*B26+1*B30+1*B35+1*B36+1*B37+1*B38+1*B39</f>
        <v/>
      </c>
      <c r="C40" s="35">
        <f>1*C16+1*C26+1*C30+1*C35+1*C36+1*C37+1*C38+1*C39</f>
        <v/>
      </c>
      <c r="D40" s="36" t="n"/>
    </row>
    <row r="41" ht="18" customHeight="1" s="10">
      <c r="A41" s="25" t="inlineStr">
        <is>
          <t>Other income [abstract]</t>
        </is>
      </c>
      <c r="B41" s="26" t="n"/>
      <c r="C41" s="26" t="n"/>
      <c r="D41" s="32" t="n"/>
    </row>
    <row r="42" ht="18" customHeight="1" s="10">
      <c r="A42" s="29" t="inlineStr">
        <is>
          <t>Deferred income</t>
        </is>
      </c>
      <c r="B42" s="30" t="n"/>
      <c r="C42" s="30" t="n"/>
      <c r="D42" s="34" t="n"/>
    </row>
    <row r="43" ht="18" customHeight="1" s="10">
      <c r="A43" s="29" t="inlineStr">
        <is>
          <t>Bad debts recovered</t>
        </is>
      </c>
      <c r="B43" s="30" t="n"/>
      <c r="C43" s="30" t="n"/>
      <c r="D43" s="34" t="n"/>
    </row>
    <row r="44" ht="18" customHeight="1" s="10">
      <c r="A44" s="29" t="inlineStr">
        <is>
          <t>Other income dividend</t>
        </is>
      </c>
      <c r="B44" s="30" t="n"/>
      <c r="C44" s="30" t="n"/>
      <c r="D44" s="34" t="n"/>
    </row>
    <row r="45" ht="18" customHeight="1" s="10">
      <c r="A45" s="29" t="inlineStr">
        <is>
          <t>Other income royalty and franchise</t>
        </is>
      </c>
      <c r="B45" s="30" t="n"/>
      <c r="C45" s="30" t="n"/>
      <c r="D45" s="34" t="n"/>
    </row>
    <row r="46" ht="18" customHeight="1" s="10">
      <c r="A46" s="29" t="inlineStr">
        <is>
          <t>Write back of fuel cost</t>
        </is>
      </c>
      <c r="B46" s="30" t="n"/>
      <c r="C46" s="30" t="n"/>
      <c r="D46" s="34" t="n"/>
    </row>
    <row r="47" ht="18" customHeight="1" s="10">
      <c r="A47" s="29" t="inlineStr">
        <is>
          <t>Income from reimbursements under insurance policies</t>
        </is>
      </c>
      <c r="B47" s="30" t="n"/>
      <c r="C47" s="30" t="n"/>
      <c r="D47" s="34" t="n"/>
    </row>
    <row r="48" ht="18" customHeight="1" s="10">
      <c r="A48" s="29" t="inlineStr">
        <is>
          <t>Grant or incentives by Malaysian government or it's agencies</t>
        </is>
      </c>
      <c r="B48" s="30" t="n"/>
      <c r="C48" s="30" t="n"/>
      <c r="D48" s="34" t="n"/>
    </row>
    <row r="49" ht="18" customHeight="1" s="10">
      <c r="A49" s="29" t="inlineStr">
        <is>
          <t>Grant or incentives by foreign government or it's agencies</t>
        </is>
      </c>
      <c r="B49" s="30" t="n"/>
      <c r="C49" s="30" t="n"/>
      <c r="D49" s="34" t="n"/>
    </row>
    <row r="50" ht="18" customHeight="1" s="10">
      <c r="A50" s="29" t="inlineStr">
        <is>
          <t>Contributions by local contributor</t>
        </is>
      </c>
      <c r="B50" s="30" t="n"/>
      <c r="C50" s="30" t="n"/>
      <c r="D50" s="34" t="n"/>
    </row>
    <row r="51" ht="18" customHeight="1" s="10">
      <c r="A51" s="29" t="inlineStr">
        <is>
          <t>Contributions by foreign contributor</t>
        </is>
      </c>
      <c r="B51" s="30" t="n"/>
      <c r="C51" s="30" t="n"/>
      <c r="D51" s="34" t="n"/>
    </row>
    <row r="52" ht="18" customHeight="1" s="10">
      <c r="A52" s="29" t="inlineStr">
        <is>
          <t>Contributions by unknown contributor</t>
        </is>
      </c>
      <c r="B52" s="37" t="n"/>
      <c r="C52" s="37" t="n"/>
      <c r="D52" s="38" t="n"/>
    </row>
    <row r="53" ht="18" customHeight="1" s="10">
      <c r="A53" s="25" t="inlineStr">
        <is>
          <t>Foreign exchange gain [abstract]</t>
        </is>
      </c>
      <c r="B53" s="26" t="n"/>
      <c r="C53" s="26" t="n"/>
      <c r="D53" s="32" t="n"/>
    </row>
    <row r="54" ht="18" customHeight="1" s="10">
      <c r="A54" s="29" t="inlineStr">
        <is>
          <t>Realised gain on foreign exchange</t>
        </is>
      </c>
      <c r="B54" s="30" t="n"/>
      <c r="C54" s="30" t="n"/>
      <c r="D54" s="34" t="n"/>
    </row>
    <row r="55" ht="18" customHeight="1" s="10">
      <c r="A55" s="29" t="inlineStr">
        <is>
          <t>Unrealised gain on foreign exchange</t>
        </is>
      </c>
      <c r="B55" s="30" t="n"/>
      <c r="C55" s="30" t="n"/>
      <c r="D55" s="34" t="n"/>
    </row>
    <row r="56" ht="18" customHeight="1" s="10">
      <c r="A56" s="29" t="inlineStr">
        <is>
          <t>Gains on foreign exchange</t>
        </is>
      </c>
      <c r="B56" s="37">
        <f>1*B54+1*B55</f>
        <v/>
      </c>
      <c r="C56" s="37">
        <f>1*C54+1*C55</f>
        <v/>
      </c>
      <c r="D56" s="38" t="n"/>
    </row>
    <row r="57" ht="18" customHeight="1" s="10">
      <c r="A57" s="25" t="inlineStr">
        <is>
          <t>Gain on disposal of subsidiaries, associates and joint ventures [abstract]</t>
        </is>
      </c>
      <c r="B57" s="26" t="n"/>
      <c r="C57" s="26" t="n"/>
      <c r="D57" s="32" t="n"/>
    </row>
    <row r="58" ht="18" customHeight="1" s="10">
      <c r="A58" s="29" t="inlineStr">
        <is>
          <t>Gain on disposal of subsidiaries</t>
        </is>
      </c>
      <c r="B58" s="30" t="n"/>
      <c r="C58" s="30" t="n"/>
      <c r="D58" s="34" t="n"/>
    </row>
    <row r="59" ht="18" customHeight="1" s="10">
      <c r="A59" s="29" t="inlineStr">
        <is>
          <t>Gain on disposal of associates</t>
        </is>
      </c>
      <c r="B59" s="30" t="n"/>
      <c r="C59" s="30" t="n"/>
      <c r="D59" s="34" t="n"/>
    </row>
    <row r="60" ht="18" customHeight="1" s="10">
      <c r="A60" s="29" t="inlineStr">
        <is>
          <t>Gain on disposal of joint ventures</t>
        </is>
      </c>
      <c r="B60" s="30" t="n"/>
      <c r="C60" s="30" t="n"/>
      <c r="D60" s="34" t="n"/>
    </row>
    <row r="61" ht="18" customHeight="1" s="10">
      <c r="A61" s="29" t="inlineStr">
        <is>
          <t>Gain from disposal of a subsidiary, joint ventures and associates</t>
        </is>
      </c>
      <c r="B61" s="30">
        <f>1*B58+1*B59+1*B60</f>
        <v/>
      </c>
      <c r="C61" s="30">
        <f>1*C58+1*C59+1*C60</f>
        <v/>
      </c>
      <c r="D61" s="34" t="n"/>
    </row>
    <row r="62" ht="18" customHeight="1" s="10">
      <c r="A62" s="29" t="inlineStr">
        <is>
          <t>Gain on disposal from other investments</t>
        </is>
      </c>
      <c r="B62" s="30" t="n"/>
      <c r="C62" s="30" t="n"/>
      <c r="D62" s="34" t="n"/>
    </row>
    <row r="63" ht="18" customHeight="1" s="10">
      <c r="A63" s="29" t="inlineStr">
        <is>
          <t>Gains on disposals of property, plant and equipment</t>
        </is>
      </c>
      <c r="B63" s="30" t="n"/>
      <c r="C63" s="30" t="n"/>
      <c r="D63" s="34" t="n"/>
    </row>
    <row r="64" ht="18" customHeight="1" s="10">
      <c r="A64" s="29" t="inlineStr">
        <is>
          <t>Gains on disposals of non-current assets</t>
        </is>
      </c>
      <c r="B64" s="30" t="n"/>
      <c r="C64" s="30" t="n"/>
      <c r="D64" s="34" t="n"/>
    </row>
    <row r="65" ht="18" customHeight="1" s="10">
      <c r="A65" s="29" t="inlineStr">
        <is>
          <t>Other gains recognised in profit or loss, fair value measurement, assets</t>
        </is>
      </c>
      <c r="B65" s="37" t="n"/>
      <c r="C65" s="37" t="n"/>
      <c r="D65" s="38" t="n"/>
    </row>
    <row r="66" ht="18" customHeight="1" s="10">
      <c r="A66" s="25" t="inlineStr">
        <is>
          <t>Reversal of impairment loss recognised in profit or loss [abstract]</t>
        </is>
      </c>
      <c r="B66" s="26" t="n"/>
      <c r="C66" s="26" t="n"/>
      <c r="D66" s="32" t="n"/>
    </row>
    <row r="67" ht="18" customHeight="1" s="10">
      <c r="A67" s="29" t="inlineStr">
        <is>
          <t>Reversal of impairment loss recognised in profit or loss, loans and advances</t>
        </is>
      </c>
      <c r="B67" s="30" t="n"/>
      <c r="C67" s="30" t="n"/>
      <c r="D67" s="34" t="n"/>
    </row>
    <row r="68" ht="18" customHeight="1" s="10">
      <c r="A68" s="29" t="inlineStr">
        <is>
          <t>Reversal of impairment loss recognised in profit or loss, investment property</t>
        </is>
      </c>
      <c r="B68" s="30" t="n"/>
      <c r="C68" s="30" t="n"/>
      <c r="D68" s="34" t="n"/>
    </row>
    <row r="69" ht="18" customHeight="1" s="10">
      <c r="A69" s="29" t="inlineStr">
        <is>
          <t>Reversal of impairment in land held for development</t>
        </is>
      </c>
      <c r="B69" s="30" t="n"/>
      <c r="C69" s="30" t="n"/>
      <c r="D69" s="34" t="n"/>
    </row>
    <row r="70" ht="18" customHeight="1" s="10">
      <c r="A70" s="29" t="inlineStr">
        <is>
          <t>Reversal of impairment loss recognised in profit or loss, property, plant and equipment</t>
        </is>
      </c>
      <c r="B70" s="30" t="n"/>
      <c r="C70" s="30" t="n"/>
      <c r="D70" s="34" t="n"/>
    </row>
    <row r="71" ht="18" customHeight="1" s="10">
      <c r="A71" s="29" t="inlineStr">
        <is>
          <t>Reversal of impairment in other assets</t>
        </is>
      </c>
      <c r="B71" s="30" t="n"/>
      <c r="C71" s="30" t="n"/>
      <c r="D71" s="34" t="n"/>
    </row>
    <row r="72" ht="18" customHeight="1" s="10">
      <c r="A72" s="29" t="inlineStr">
        <is>
          <t>Reversal of impairment loss recognised in profit or loss</t>
        </is>
      </c>
      <c r="B72" s="30">
        <f>1*B67+1*B68+1*B69+1*B70+1*B71</f>
        <v/>
      </c>
      <c r="C72" s="30">
        <f>1*C67+1*C68+1*C69+1*C70+1*C71</f>
        <v/>
      </c>
      <c r="D72" s="34" t="n"/>
    </row>
    <row r="73" ht="18" customHeight="1" s="10">
      <c r="A73" s="29" t="inlineStr">
        <is>
          <t>Reversal of inventory write-down</t>
        </is>
      </c>
      <c r="B73" s="30" t="n"/>
      <c r="C73" s="30" t="n"/>
      <c r="D73" s="34" t="n"/>
    </row>
    <row r="74" ht="18" customHeight="1" s="10">
      <c r="A74" s="29" t="inlineStr">
        <is>
          <t>Other interest income</t>
        </is>
      </c>
      <c r="B74" s="30" t="n"/>
      <c r="C74" s="30" t="n"/>
      <c r="D74" s="34" t="n"/>
    </row>
    <row r="75" ht="18" customHeight="1" s="10">
      <c r="A75" s="29" t="inlineStr">
        <is>
          <t>Income from management fees</t>
        </is>
      </c>
      <c r="B75" s="30" t="n"/>
      <c r="C75" s="30" t="n"/>
      <c r="D75" s="34" t="n"/>
    </row>
    <row r="76" ht="18" customHeight="1" s="10">
      <c r="A76" s="29" t="inlineStr">
        <is>
          <t>Net deposits recognised</t>
        </is>
      </c>
      <c r="B76" s="30" t="n"/>
      <c r="C76" s="30" t="n"/>
      <c r="D76" s="34" t="n"/>
    </row>
    <row r="77" ht="18" customHeight="1" s="10">
      <c r="A77" s="29" t="inlineStr">
        <is>
          <t>Gains on change in fair value of derivatives</t>
        </is>
      </c>
      <c r="B77" s="30" t="n"/>
      <c r="C77" s="30" t="n"/>
      <c r="D77" s="34" t="n"/>
    </row>
    <row r="78" ht="18" customHeight="1" s="10">
      <c r="A78" s="29" t="inlineStr">
        <is>
          <t>Fair value gain on recycle of forex reserve upon disposal of subsidiaries</t>
        </is>
      </c>
      <c r="B78" s="30" t="n"/>
      <c r="C78" s="30" t="n"/>
      <c r="D78" s="34" t="n"/>
    </row>
    <row r="79" ht="18" customHeight="1" s="10">
      <c r="A79" s="29" t="inlineStr">
        <is>
          <t>Other fees and commission income</t>
        </is>
      </c>
      <c r="B79" s="30" t="n"/>
      <c r="C79" s="30" t="n"/>
      <c r="D79" s="34" t="n"/>
    </row>
    <row r="80" ht="18" customHeight="1" s="10">
      <c r="A80" s="29" t="inlineStr">
        <is>
          <t>Other rental income</t>
        </is>
      </c>
      <c r="B80" s="30" t="n"/>
      <c r="C80" s="30" t="n"/>
      <c r="D80" s="34" t="n"/>
    </row>
    <row r="81" ht="18" customHeight="1" s="10">
      <c r="A81" s="29" t="inlineStr">
        <is>
          <t>Other rental income on land and buildings</t>
        </is>
      </c>
      <c r="B81" s="30" t="n"/>
      <c r="C81" s="30" t="n"/>
      <c r="D81" s="34" t="n"/>
    </row>
    <row r="82" ht="18" customHeight="1" s="10">
      <c r="A82" s="29" t="inlineStr">
        <is>
          <t>Miscellaneous other operating income</t>
        </is>
      </c>
      <c r="B82" s="30" t="n"/>
      <c r="C82" s="30" t="n"/>
      <c r="D82" s="34" t="n"/>
    </row>
    <row r="83" ht="18" customHeight="1" s="10">
      <c r="A83" s="29" t="inlineStr">
        <is>
          <t>Other income</t>
        </is>
      </c>
      <c r="B83" s="37">
        <f>1*B42+1*B43+1*B44+1*B45+1*B46+1*B47+1*B48+1*B49+1*B50+1*B51+1*B52+1*B56+1*B61+1*B62+1*B63+1*B64+1*B65+1*B72+1*B73+1*B74+1*B75+1*B76+1*B77+1*B78+1*B79+1*B80+1*B81+1*B82</f>
        <v/>
      </c>
      <c r="C83" s="37">
        <f>1*C42+1*C43+1*C44+1*C45+1*C46+1*C47+1*C48+1*C49+1*C50+1*C51+1*C52+1*C56+1*C61+1*C62+1*C63+1*C64+1*C65+1*C72+1*C73+1*C74+1*C75+1*C76+1*C77+1*C78+1*C79+1*C80+1*C81+1*C82</f>
        <v/>
      </c>
      <c r="D83" s="38" t="n"/>
    </row>
    <row r="84" ht="18" customHeight="1" s="10">
      <c r="A84" s="25" t="inlineStr">
        <is>
          <t>Employee benefits expense [abstract]</t>
        </is>
      </c>
      <c r="B84" s="26" t="n"/>
      <c r="C84" s="26" t="n"/>
      <c r="D84" s="32" t="n"/>
    </row>
    <row r="85" ht="18" customHeight="1" s="10">
      <c r="A85" s="29" t="inlineStr">
        <is>
          <t>Wages and salaries</t>
        </is>
      </c>
      <c r="B85" s="30" t="n"/>
      <c r="C85" s="30" t="n"/>
      <c r="D85" s="34" t="n"/>
    </row>
    <row r="86" ht="18" customHeight="1" s="10">
      <c r="A86" s="29" t="inlineStr">
        <is>
          <t>Bonus</t>
        </is>
      </c>
      <c r="B86" s="30" t="n"/>
      <c r="C86" s="30" t="n"/>
      <c r="D86" s="34" t="n"/>
    </row>
    <row r="87" ht="18" customHeight="1" s="10">
      <c r="A87" s="29" t="inlineStr">
        <is>
          <t>Expense from share-based payment transactions with employees</t>
        </is>
      </c>
      <c r="B87" s="30" t="n"/>
      <c r="C87" s="30" t="n"/>
      <c r="D87" s="34" t="n"/>
    </row>
    <row r="88" ht="18" customHeight="1" s="10">
      <c r="A88" s="29" t="inlineStr">
        <is>
          <t>Employee share-based payment</t>
        </is>
      </c>
      <c r="B88" s="30" t="n"/>
      <c r="C88" s="30" t="n"/>
      <c r="D88" s="34" t="n"/>
    </row>
    <row r="89" ht="18" customHeight="1" s="10">
      <c r="A89" s="29" t="inlineStr">
        <is>
          <t>Social security contributions</t>
        </is>
      </c>
      <c r="B89" s="30" t="n"/>
      <c r="C89" s="30" t="n"/>
      <c r="D89" s="34" t="n"/>
    </row>
    <row r="90" ht="18" customHeight="1" s="10">
      <c r="A90" s="27" t="inlineStr">
        <is>
          <t>Total post-employment benefit expense in profit or loss, defined benefit plans</t>
        </is>
      </c>
      <c r="B90" s="28" t="n"/>
      <c r="C90" s="28" t="n"/>
      <c r="D90" s="33" t="n"/>
    </row>
    <row r="91" ht="18" customHeight="1" s="10">
      <c r="A91" s="29" t="inlineStr">
        <is>
          <t>Post-employment benefit expense, defined contribution plans</t>
        </is>
      </c>
      <c r="B91" s="30" t="n"/>
      <c r="C91" s="30" t="n"/>
      <c r="D91" s="34" t="n"/>
    </row>
    <row r="92" ht="18" customHeight="1" s="10">
      <c r="A92" s="29" t="inlineStr">
        <is>
          <t>Other long-term employee benefits</t>
        </is>
      </c>
      <c r="B92" s="30" t="n"/>
      <c r="C92" s="30" t="n"/>
      <c r="D92" s="34" t="n"/>
    </row>
    <row r="93" ht="18" customHeight="1" s="10">
      <c r="A93" s="29" t="inlineStr">
        <is>
          <t>Other short-term employee benefits</t>
        </is>
      </c>
      <c r="B93" s="30" t="n"/>
      <c r="C93" s="30" t="n"/>
      <c r="D93" s="34" t="n"/>
    </row>
    <row r="94" ht="18" customHeight="1" s="10">
      <c r="A94" s="29" t="inlineStr">
        <is>
          <t>Other employee expense</t>
        </is>
      </c>
      <c r="B94" s="30" t="n"/>
      <c r="C94" s="30" t="n"/>
      <c r="D94" s="34" t="n"/>
    </row>
    <row r="95" ht="18" customHeight="1" s="10">
      <c r="A95" s="27" t="inlineStr">
        <is>
          <t>Total employee benefits expense, by nature</t>
        </is>
      </c>
      <c r="B95" s="35">
        <f>1*B85+1*B86+1*B87+1*B88+1*B89+1*B90+1*B91+1*B92+1*B93+1*B94</f>
        <v/>
      </c>
      <c r="C95" s="35">
        <f>1*C85+1*C86+1*C87+1*C88+1*C89+1*C90+1*C91+1*C92+1*C93+1*C94</f>
        <v/>
      </c>
      <c r="D95" s="36" t="n"/>
    </row>
    <row r="96" ht="18" customHeight="1" s="10">
      <c r="A96" s="25" t="inlineStr">
        <is>
          <t>Other expenses [abstract]</t>
        </is>
      </c>
      <c r="B96" s="26" t="n"/>
      <c r="C96" s="26" t="n"/>
      <c r="D96" s="32" t="n"/>
    </row>
    <row r="97" ht="18" customHeight="1" s="10">
      <c r="A97" s="25" t="inlineStr">
        <is>
          <t>Auditor's remuneration [abstract]</t>
        </is>
      </c>
      <c r="B97" s="26" t="n"/>
      <c r="C97" s="26" t="n"/>
      <c r="D97" s="32" t="n"/>
    </row>
    <row r="98" ht="18" customHeight="1" s="10">
      <c r="A98" s="29" t="inlineStr">
        <is>
          <t>Auditor's remuneration for audit services</t>
        </is>
      </c>
      <c r="B98" s="30" t="n"/>
      <c r="C98" s="30" t="n"/>
      <c r="D98" s="34" t="n"/>
    </row>
    <row r="99" ht="18" customHeight="1" s="10">
      <c r="A99" s="29" t="inlineStr">
        <is>
          <t>Auditor's remuneration for other services</t>
        </is>
      </c>
      <c r="B99" s="30" t="n"/>
      <c r="C99" s="30" t="n"/>
      <c r="D99" s="34" t="n"/>
    </row>
    <row r="100" ht="18" customHeight="1" s="10">
      <c r="A100" s="27" t="inlineStr">
        <is>
          <t>Total auditor's remuneration</t>
        </is>
      </c>
      <c r="B100" s="28">
        <f>1*B98+1*B99</f>
        <v/>
      </c>
      <c r="C100" s="28">
        <f>1*C98+1*C99</f>
        <v/>
      </c>
      <c r="D100" s="33" t="n"/>
    </row>
    <row r="101" ht="18" customHeight="1" s="10">
      <c r="A101" s="29" t="inlineStr">
        <is>
          <t>Amortisation expense</t>
        </is>
      </c>
      <c r="B101" s="30" t="n"/>
      <c r="C101" s="30" t="n"/>
      <c r="D101" s="34" t="n"/>
    </row>
    <row r="102" ht="18" customHeight="1" s="10">
      <c r="A102" s="29" t="inlineStr">
        <is>
          <t>Depreciation, property, plant and equipment</t>
        </is>
      </c>
      <c r="B102" s="30" t="n"/>
      <c r="C102" s="30" t="n"/>
      <c r="D102" s="34" t="n"/>
    </row>
    <row r="103" ht="18" customHeight="1" s="10">
      <c r="A103" s="29" t="inlineStr">
        <is>
          <t>Natural disaster related expenses</t>
        </is>
      </c>
      <c r="B103" s="37" t="n"/>
      <c r="C103" s="37" t="n"/>
      <c r="D103" s="38" t="n"/>
    </row>
    <row r="104" ht="18" customHeight="1" s="10">
      <c r="A104" s="25" t="inlineStr">
        <is>
          <t>Loss on disposal of subsidiaries, associates and joint ventures [abstract]</t>
        </is>
      </c>
      <c r="B104" s="26" t="n"/>
      <c r="C104" s="26" t="n"/>
      <c r="D104" s="32" t="n"/>
    </row>
    <row r="105" ht="18" customHeight="1" s="10">
      <c r="A105" s="29" t="inlineStr">
        <is>
          <t>Loss on disposal of subsidiaries</t>
        </is>
      </c>
      <c r="B105" s="30" t="n"/>
      <c r="C105" s="30" t="n"/>
      <c r="D105" s="34" t="n"/>
    </row>
    <row r="106" ht="18" customHeight="1" s="10">
      <c r="A106" s="29" t="inlineStr">
        <is>
          <t>Loss on disposal of associates</t>
        </is>
      </c>
      <c r="B106" s="30" t="n"/>
      <c r="C106" s="30" t="n"/>
      <c r="D106" s="34" t="n"/>
    </row>
    <row r="107" ht="18" customHeight="1" s="10">
      <c r="A107" s="29" t="inlineStr">
        <is>
          <t>Loss on disposal of joint ventures</t>
        </is>
      </c>
      <c r="B107" s="30" t="n"/>
      <c r="C107" s="30" t="n"/>
      <c r="D107" s="34" t="n"/>
    </row>
    <row r="108" ht="18" customHeight="1" s="10">
      <c r="A108" s="29" t="inlineStr">
        <is>
          <t>Loss on disposal of subsidiaries, joint ventures and associates</t>
        </is>
      </c>
      <c r="B108" s="30">
        <f>1*B105+1*B106+1*B107</f>
        <v/>
      </c>
      <c r="C108" s="30">
        <f>1*C105+1*C106+1*C107</f>
        <v/>
      </c>
      <c r="D108" s="34" t="n"/>
    </row>
    <row r="109" ht="18" customHeight="1" s="10">
      <c r="A109" s="29" t="inlineStr">
        <is>
          <t>Losses on disposals of investments</t>
        </is>
      </c>
      <c r="B109" s="30" t="n"/>
      <c r="C109" s="30" t="n"/>
      <c r="D109" s="34" t="n"/>
    </row>
    <row r="110" ht="18" customHeight="1" s="10">
      <c r="A110" s="29" t="inlineStr">
        <is>
          <t>Losses on disposals of property, plant and equipment</t>
        </is>
      </c>
      <c r="B110" s="30" t="n"/>
      <c r="C110" s="30" t="n"/>
      <c r="D110" s="34" t="n"/>
    </row>
    <row r="111" ht="18" customHeight="1" s="10">
      <c r="A111" s="29" t="inlineStr">
        <is>
          <t>Losses on disposals of non-current assets</t>
        </is>
      </c>
      <c r="B111" s="30" t="n"/>
      <c r="C111" s="30" t="n"/>
      <c r="D111" s="34" t="n"/>
    </row>
    <row r="112" ht="18" customHeight="1" s="10">
      <c r="A112" s="29" t="inlineStr">
        <is>
          <t>Other losses recognised in profit or loss, fair value measurement, assets</t>
        </is>
      </c>
      <c r="B112" s="30" t="n"/>
      <c r="C112" s="30" t="n"/>
      <c r="D112" s="34" t="n"/>
    </row>
    <row r="113" ht="18" customHeight="1" s="10">
      <c r="A113" s="29" t="inlineStr">
        <is>
          <t>Rental expense</t>
        </is>
      </c>
      <c r="B113" s="30" t="n"/>
      <c r="C113" s="30" t="n"/>
      <c r="D113" s="34" t="n"/>
    </row>
    <row r="114" ht="18" customHeight="1" s="10">
      <c r="A114" s="29" t="inlineStr">
        <is>
          <t>Research and development expenses, nature</t>
        </is>
      </c>
      <c r="B114" s="30" t="n"/>
      <c r="C114" s="30" t="n"/>
      <c r="D114" s="34" t="n"/>
    </row>
    <row r="115" ht="18" customHeight="1" s="10">
      <c r="A115" s="29" t="inlineStr">
        <is>
          <t>Royalty expense</t>
        </is>
      </c>
      <c r="B115" s="37" t="n"/>
      <c r="C115" s="37" t="n"/>
      <c r="D115" s="38" t="n"/>
    </row>
    <row r="116" ht="18" customHeight="1" s="10">
      <c r="A116" s="25" t="inlineStr">
        <is>
          <t>Director's remuneration [abstract]</t>
        </is>
      </c>
      <c r="B116" s="26" t="n"/>
      <c r="C116" s="26" t="n"/>
      <c r="D116" s="32" t="n"/>
    </row>
    <row r="117" ht="18" customHeight="1" s="10">
      <c r="A117" s="29" t="inlineStr">
        <is>
          <t>Salaries and other emoluments</t>
        </is>
      </c>
      <c r="B117" s="30" t="n"/>
      <c r="C117" s="30" t="n"/>
      <c r="D117" s="34" t="n"/>
    </row>
    <row r="118" ht="18" customHeight="1" s="10">
      <c r="A118" s="29" t="inlineStr">
        <is>
          <t>Bonus</t>
        </is>
      </c>
      <c r="B118" s="30" t="n"/>
      <c r="C118" s="30" t="n"/>
      <c r="D118" s="34" t="n"/>
    </row>
    <row r="119" ht="18" customHeight="1" s="10">
      <c r="A119" s="29" t="inlineStr">
        <is>
          <t>Benefits-in-kind</t>
        </is>
      </c>
      <c r="B119" s="30" t="n"/>
      <c r="C119" s="30" t="n"/>
      <c r="D119" s="34" t="n"/>
    </row>
    <row r="120" ht="18" customHeight="1" s="10">
      <c r="A120" s="29" t="inlineStr">
        <is>
          <t>Fees</t>
        </is>
      </c>
      <c r="B120" s="30" t="n"/>
      <c r="C120" s="30" t="n"/>
      <c r="D120" s="34" t="n"/>
    </row>
    <row r="121" ht="18" customHeight="1" s="10">
      <c r="A121" s="29" t="inlineStr">
        <is>
          <t>Performance incentives</t>
        </is>
      </c>
      <c r="B121" s="30" t="n"/>
      <c r="C121" s="30" t="n"/>
      <c r="D121" s="34" t="n"/>
    </row>
    <row r="122" ht="18" customHeight="1" s="10">
      <c r="A122" s="29" t="inlineStr">
        <is>
          <t>Retirement benefts - defined benefit plans</t>
        </is>
      </c>
      <c r="B122" s="30" t="n"/>
      <c r="C122" s="30" t="n"/>
      <c r="D122" s="34" t="n"/>
    </row>
    <row r="123" ht="18" customHeight="1" s="10">
      <c r="A123" s="29" t="inlineStr">
        <is>
          <t>Retirement benefits - defined contribution plans</t>
        </is>
      </c>
      <c r="B123" s="30" t="n"/>
      <c r="C123" s="30" t="n"/>
      <c r="D123" s="34" t="n"/>
    </row>
    <row r="124" ht="18" customHeight="1" s="10">
      <c r="A124" s="29" t="inlineStr">
        <is>
          <t>Key management personnel compensation, share-based payment</t>
        </is>
      </c>
      <c r="B124" s="30" t="n"/>
      <c r="C124" s="30" t="n"/>
      <c r="D124" s="34" t="n"/>
    </row>
    <row r="125" ht="18" customHeight="1" s="10">
      <c r="A125" s="29" t="inlineStr">
        <is>
          <t>Other emoluments</t>
        </is>
      </c>
      <c r="B125" s="30" t="n"/>
      <c r="C125" s="30" t="n"/>
      <c r="D125" s="34" t="n"/>
    </row>
    <row r="126" ht="18" customHeight="1" s="10">
      <c r="A126" s="29" t="inlineStr">
        <is>
          <t>Director's remuneration</t>
        </is>
      </c>
      <c r="B126" s="30">
        <f>1*B117+1*B118+1*B119+1*B120+1*B121+1*B122+1*B123+1*B124+1*B125</f>
        <v/>
      </c>
      <c r="C126" s="30">
        <f>1*C117+1*C118+1*C119+1*C120+1*C121+1*C122+1*C123+1*C124+1*C125</f>
        <v/>
      </c>
      <c r="D126" s="34" t="n"/>
    </row>
    <row r="127" ht="18" customHeight="1" s="10">
      <c r="A127" s="29" t="inlineStr">
        <is>
          <t>Other miscellaneous expenses</t>
        </is>
      </c>
      <c r="B127" s="30" t="n"/>
      <c r="C127" s="30" t="n"/>
      <c r="D127" s="34" t="n"/>
    </row>
    <row r="128" ht="18" customHeight="1" s="10">
      <c r="A128" s="29" t="inlineStr">
        <is>
          <t>Other expenses, by nature</t>
        </is>
      </c>
      <c r="B128" s="37">
        <f>1*B100+1*B101+1*B102+1*B103+1*B108+1*B109+1*B110+1*B111+1*B112+1*B113+1*B114+1*B115+1*B126+1*B127</f>
        <v/>
      </c>
      <c r="C128" s="37">
        <f>1*C100+1*C101+1*C102+1*C103+1*C108+1*C109+1*C110+1*C111+1*C112+1*C113+1*C114+1*C115+1*C126+1*C127</f>
        <v/>
      </c>
      <c r="D128" s="38" t="n"/>
    </row>
    <row r="129" ht="18" customHeight="1" s="10">
      <c r="A129" s="25" t="inlineStr">
        <is>
          <t>Finance income [abstract]</t>
        </is>
      </c>
      <c r="B129" s="26" t="n"/>
      <c r="C129" s="26" t="n"/>
      <c r="D129" s="32" t="n"/>
    </row>
    <row r="130" ht="18" customHeight="1" s="10">
      <c r="A130" s="29" t="inlineStr">
        <is>
          <t>Interest income due from related parties</t>
        </is>
      </c>
      <c r="B130" s="30" t="n"/>
      <c r="C130" s="30" t="n"/>
      <c r="D130" s="34" t="n"/>
    </row>
    <row r="131" ht="18" customHeight="1" s="10">
      <c r="A131" s="29" t="inlineStr">
        <is>
          <t>Other finance income</t>
        </is>
      </c>
      <c r="B131" s="30" t="n"/>
      <c r="C131" s="30" t="n"/>
      <c r="D131" s="34" t="n"/>
    </row>
    <row r="132" ht="18" customHeight="1" s="10">
      <c r="A132" s="29" t="inlineStr">
        <is>
          <t>Finance income</t>
        </is>
      </c>
      <c r="B132" s="30">
        <f>1*B130+1*B131</f>
        <v/>
      </c>
      <c r="C132" s="30">
        <f>1*C130+1*C131</f>
        <v/>
      </c>
      <c r="D132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