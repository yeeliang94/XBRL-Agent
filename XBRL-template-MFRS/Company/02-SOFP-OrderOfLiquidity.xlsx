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EEF2F8"/>
        <bgColor rgb="00EEF2F8"/>
      </patternFill>
    </fill>
    <fill>
      <patternFill patternType="solid">
        <fgColor rgb="00F8FAFC"/>
        <bgColor rgb="00F8FAFC"/>
      </patternFill>
    </fill>
  </fills>
  <borders count="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top style="thin">
        <color rgb="001F3864"/>
      </top>
      <bottom style="thin">
        <color rgb="001F3864"/>
      </bottom>
    </border>
    <border>
      <bottom style="thin">
        <color rgb="00D9DEE5"/>
      </bottom>
    </border>
    <border>
      <top style="thin">
        <color rgb="001F3864"/>
      </top>
      <bottom/>
    </border>
    <border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4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0" fontId="14" fillId="7" borderId="4" applyAlignment="1" pivotButton="0" quotePrefix="0" xfId="0">
      <alignment horizontal="left" vertical="center"/>
    </xf>
    <xf numFmtId="164" fontId="14" fillId="7" borderId="4" applyAlignment="1" pivotButton="0" quotePrefix="0" xfId="0">
      <alignment horizontal="right" vertical="center"/>
    </xf>
    <xf numFmtId="0" fontId="15" fillId="0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7" borderId="4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164" fontId="14" fillId="7" borderId="6" applyAlignment="1" pivotButton="0" quotePrefix="0" xfId="0">
      <alignment horizontal="right" vertical="center"/>
    </xf>
    <xf numFmtId="0" fontId="17" fillId="7" borderId="6" applyAlignment="1" pivotButton="0" quotePrefix="0" xfId="0">
      <alignment horizontal="left" vertical="center" wrapText="1"/>
    </xf>
    <xf numFmtId="164" fontId="15" fillId="8" borderId="7" applyAlignment="1" pivotButton="0" quotePrefix="0" xfId="0">
      <alignment horizontal="right" vertical="center"/>
    </xf>
    <xf numFmtId="0" fontId="17" fillId="0" borderId="7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3" t="inlineStr">
        <is>
          <t>01/01/YYYY - 31/12/YYYY</t>
        </is>
      </c>
      <c r="C1" s="23" t="inlineStr">
        <is>
          <t>01/01/YYYY - 31/12/YYYY</t>
        </is>
      </c>
      <c r="D1" s="31" t="inlineStr">
        <is>
          <t>Source</t>
        </is>
      </c>
    </row>
    <row r="2"/>
    <row r="3" ht="24" customHeight="1" s="10">
      <c r="A3" s="24" t="inlineStr">
        <is>
          <t>Statement of financial position, order of liquidity</t>
        </is>
      </c>
      <c r="D3" s="24" t="n"/>
    </row>
    <row r="4" ht="18" customHeight="1" s="10">
      <c r="A4" s="25" t="inlineStr">
        <is>
          <t>Statement of financial position [abstract]</t>
        </is>
      </c>
      <c r="B4" s="26" t="n"/>
      <c r="C4" s="26" t="n"/>
      <c r="D4" s="32" t="n"/>
    </row>
    <row r="5" ht="18" customHeight="1" s="10">
      <c r="A5" s="25" t="inlineStr">
        <is>
          <t>Statement of financial position [line items]</t>
        </is>
      </c>
      <c r="B5" s="26" t="n"/>
      <c r="C5" s="26" t="n"/>
      <c r="D5" s="32" t="n"/>
    </row>
    <row r="6" ht="18" customHeight="1" s="10">
      <c r="A6" s="25" t="inlineStr">
        <is>
          <t>Assets [abstract]</t>
        </is>
      </c>
      <c r="B6" s="26" t="n"/>
      <c r="C6" s="26" t="n"/>
      <c r="D6" s="32" t="n"/>
    </row>
    <row r="7" ht="18" customHeight="1" s="10">
      <c r="A7" s="27" t="inlineStr">
        <is>
          <t>Total property, plant and equipment</t>
        </is>
      </c>
      <c r="B7" s="28">
        <f>'SOFP-Sub-OrdOfLiq'!B38</f>
        <v/>
      </c>
      <c r="C7" s="28">
        <f>'SOFP-Sub-OrdOfLiq'!C38</f>
        <v/>
      </c>
      <c r="D7" s="33" t="n"/>
    </row>
    <row r="8" ht="18" customHeight="1" s="10">
      <c r="A8" s="27" t="inlineStr">
        <is>
          <t>Total investment property</t>
        </is>
      </c>
      <c r="B8" s="28">
        <f>'SOFP-Sub-OrdOfLiq'!B48</f>
        <v/>
      </c>
      <c r="C8" s="28">
        <f>'SOFP-Sub-OrdOfLiq'!C48</f>
        <v/>
      </c>
      <c r="D8" s="33" t="n"/>
    </row>
    <row r="9" ht="18" customHeight="1" s="10">
      <c r="A9" s="29" t="inlineStr">
        <is>
          <t>Biological assets</t>
        </is>
      </c>
      <c r="B9" s="30">
        <f>'SOFP-Sub-OrdOfLiq'!B52</f>
        <v/>
      </c>
      <c r="C9" s="30">
        <f>'SOFP-Sub-OrdOfLiq'!C52</f>
        <v/>
      </c>
      <c r="D9" s="34" t="n"/>
    </row>
    <row r="10" ht="18" customHeight="1" s="10">
      <c r="A10" s="29" t="inlineStr">
        <is>
          <t>Right-of-use assets</t>
        </is>
      </c>
      <c r="B10" s="30" t="n"/>
      <c r="C10" s="30" t="n"/>
      <c r="D10" s="34" t="n"/>
    </row>
    <row r="11" ht="18" customHeight="1" s="10">
      <c r="A11" s="29" t="inlineStr">
        <is>
          <t>Service concession assets</t>
        </is>
      </c>
      <c r="B11" s="30" t="n"/>
      <c r="C11" s="30" t="n"/>
      <c r="D11" s="34" t="n"/>
    </row>
    <row r="12" ht="18" customHeight="1" s="10">
      <c r="A12" s="27" t="inlineStr">
        <is>
          <t>Total intangible assets and goodwill</t>
        </is>
      </c>
      <c r="B12" s="28">
        <f>'SOFP-Sub-OrdOfLiq'!B68</f>
        <v/>
      </c>
      <c r="C12" s="28">
        <f>'SOFP-Sub-OrdOfLiq'!C68</f>
        <v/>
      </c>
      <c r="D12" s="33" t="n"/>
    </row>
    <row r="13" ht="18" customHeight="1" s="10">
      <c r="A13" s="29" t="inlineStr">
        <is>
          <t>Investments in subsidiaries reported in separate financial statements</t>
        </is>
      </c>
      <c r="B13" s="30">
        <f>'SOFP-Sub-OrdOfLiq'!B76</f>
        <v/>
      </c>
      <c r="C13" s="30">
        <f>'SOFP-Sub-OrdOfLiq'!C76</f>
        <v/>
      </c>
      <c r="D13" s="34" t="n"/>
    </row>
    <row r="14" ht="18" customHeight="1" s="10">
      <c r="A14" s="29" t="inlineStr">
        <is>
          <t>Investments in associates reported in separate financial statements</t>
        </is>
      </c>
      <c r="B14" s="30">
        <f>'SOFP-Sub-OrdOfLiq'!B85</f>
        <v/>
      </c>
      <c r="C14" s="30">
        <f>'SOFP-Sub-OrdOfLiq'!C85</f>
        <v/>
      </c>
      <c r="D14" s="34" t="n"/>
    </row>
    <row r="15" ht="18" customHeight="1" s="10">
      <c r="A15" s="29" t="inlineStr">
        <is>
          <t>Investments in joint ventures reported in separate financial statements</t>
        </is>
      </c>
      <c r="B15" s="30">
        <f>'SOFP-Sub-OrdOfLiq'!B94</f>
        <v/>
      </c>
      <c r="C15" s="30">
        <f>'SOFP-Sub-OrdOfLiq'!C94</f>
        <v/>
      </c>
      <c r="D15" s="34" t="n"/>
    </row>
    <row r="16" ht="18" customHeight="1" s="10">
      <c r="A16" s="29" t="inlineStr">
        <is>
          <t>Investments other than investments accounted for using equity method</t>
        </is>
      </c>
      <c r="B16" s="30" t="n"/>
      <c r="C16" s="30" t="n"/>
      <c r="D16" s="34" t="n"/>
    </row>
    <row r="17" ht="18" customHeight="1" s="10">
      <c r="A17" s="29" t="inlineStr">
        <is>
          <t>Current tax assets</t>
        </is>
      </c>
      <c r="B17" s="30" t="n"/>
      <c r="C17" s="30" t="n"/>
      <c r="D17" s="34" t="n"/>
    </row>
    <row r="18" ht="18" customHeight="1" s="10">
      <c r="A18" s="27" t="inlineStr">
        <is>
          <t>Total trade and other receivables</t>
        </is>
      </c>
      <c r="B18" s="28">
        <f>'SOFP-Sub-OrdOfLiq'!B127</f>
        <v/>
      </c>
      <c r="C18" s="28">
        <f>'SOFP-Sub-OrdOfLiq'!C127</f>
        <v/>
      </c>
      <c r="D18" s="33" t="n"/>
    </row>
    <row r="19" ht="18" customHeight="1" s="10">
      <c r="A19" s="27" t="inlineStr">
        <is>
          <t>Total contract assets</t>
        </is>
      </c>
      <c r="B19" s="28" t="n"/>
      <c r="C19" s="28" t="n"/>
      <c r="D19" s="33" t="n"/>
    </row>
    <row r="20" ht="18" customHeight="1" s="10">
      <c r="A20" s="29" t="inlineStr">
        <is>
          <t>Deferred tax assets</t>
        </is>
      </c>
      <c r="B20" s="30" t="n"/>
      <c r="C20" s="30" t="n"/>
      <c r="D20" s="34" t="n"/>
    </row>
    <row r="21" ht="18" customHeight="1" s="10">
      <c r="A21" s="29" t="inlineStr">
        <is>
          <t>Inventories</t>
        </is>
      </c>
      <c r="B21" s="30">
        <f>'SOFP-Sub-OrdOfLiq'!B134</f>
        <v/>
      </c>
      <c r="C21" s="30">
        <f>'SOFP-Sub-OrdOfLiq'!C134</f>
        <v/>
      </c>
      <c r="D21" s="34" t="n"/>
    </row>
    <row r="22" ht="18" customHeight="1" s="10">
      <c r="A22" s="29" t="inlineStr">
        <is>
          <t>Derivative financial assets</t>
        </is>
      </c>
      <c r="B22" s="30">
        <f>'SOFP-Sub-OrdOfLiq'!B143</f>
        <v/>
      </c>
      <c r="C22" s="30">
        <f>'SOFP-Sub-OrdOfLiq'!C143</f>
        <v/>
      </c>
      <c r="D22" s="34" t="n"/>
    </row>
    <row r="23" ht="18" customHeight="1" s="10">
      <c r="A23" s="27" t="inlineStr">
        <is>
          <t>Total Cash and bank balances</t>
        </is>
      </c>
      <c r="B23" s="28">
        <f>'SOFP-Sub-OrdOfLiq'!B158</f>
        <v/>
      </c>
      <c r="C23" s="28">
        <f>'SOFP-Sub-OrdOfLiq'!C158</f>
        <v/>
      </c>
      <c r="D23" s="33" t="n"/>
    </row>
    <row r="24" ht="18" customHeight="1" s="10">
      <c r="A24" s="29" t="inlineStr">
        <is>
          <t>Other assets</t>
        </is>
      </c>
      <c r="B24" s="30">
        <f>'SOFP-Sub-OrdOfLiq'!B163</f>
        <v/>
      </c>
      <c r="C24" s="30">
        <f>'SOFP-Sub-OrdOfLiq'!C163</f>
        <v/>
      </c>
      <c r="D24" s="34" t="n"/>
    </row>
    <row r="25" ht="18" customHeight="1" s="10">
      <c r="A25" s="29" t="inlineStr">
        <is>
          <t>Assets other than assets held for sale</t>
        </is>
      </c>
      <c r="B25" s="30">
        <f>1*B7+1*B8+1*B9+1*B10+1*B11+1*B12+1*B13+1*B14+1*B15+1*B16+1*B17+1*B18+1*B19+1*B20+1*B21+1*B22+1*B23+1*B24</f>
        <v/>
      </c>
      <c r="C25" s="30">
        <f>1*C7+1*C8+1*C9+1*C10+1*C11+1*C12+1*C13+1*C14+1*C15+1*C16+1*C17+1*C18+1*C19+1*C20+1*C21+1*C22+1*C23+1*C24</f>
        <v/>
      </c>
      <c r="D25" s="34" t="n"/>
    </row>
    <row r="26" ht="18" customHeight="1" s="10">
      <c r="A26" s="27" t="inlineStr">
        <is>
          <t>Total non-current assets or disposal groups classified as held for sale or as held for distribution to owners</t>
        </is>
      </c>
      <c r="B26" s="28" t="n"/>
      <c r="C26" s="28" t="n"/>
      <c r="D26" s="33" t="n"/>
    </row>
    <row r="27" ht="18" customHeight="1" s="10">
      <c r="A27" s="27" t="inlineStr">
        <is>
          <t>Total assets</t>
        </is>
      </c>
      <c r="B27" s="35">
        <f>1*B7+1*B8+1*B9+1*B10+1*B11+1*B12+1*B13+1*B14+1*B15+1*B16+1*B17+1*B18+1*B19+1*B20+1*B21+1*B22+1*B23+1*B24+1*B26</f>
        <v/>
      </c>
      <c r="C27" s="35">
        <f>1*C7+1*C8+1*C9+1*C10+1*C11+1*C12+1*C13+1*C14+1*C15+1*C16+1*C17+1*C18+1*C19+1*C20+1*C21+1*C22+1*C23+1*C24+1*C26</f>
        <v/>
      </c>
      <c r="D27" s="36" t="n"/>
    </row>
    <row r="28" ht="18" customHeight="1" s="10">
      <c r="A28" s="25" t="inlineStr">
        <is>
          <t>Equity and liabilities [abstract]</t>
        </is>
      </c>
      <c r="B28" s="26" t="n"/>
      <c r="C28" s="26" t="n"/>
      <c r="D28" s="32" t="n"/>
    </row>
    <row r="29" ht="18" customHeight="1" s="10">
      <c r="A29" s="25" t="inlineStr">
        <is>
          <t>Equity [abstract]</t>
        </is>
      </c>
      <c r="B29" s="26" t="n"/>
      <c r="C29" s="26" t="n"/>
      <c r="D29" s="32" t="n"/>
    </row>
    <row r="30" ht="18" customHeight="1" s="10">
      <c r="A30" s="27" t="inlineStr">
        <is>
          <t>Total issued capital</t>
        </is>
      </c>
      <c r="B30" s="28">
        <f>'SOFP-Sub-OrdOfLiq'!B168</f>
        <v/>
      </c>
      <c r="C30" s="28">
        <f>'SOFP-Sub-OrdOfLiq'!C168</f>
        <v/>
      </c>
      <c r="D30" s="33" t="n"/>
    </row>
    <row r="31" ht="18" customHeight="1" s="10">
      <c r="A31" s="27" t="inlineStr">
        <is>
          <t>Total retained earnings</t>
        </is>
      </c>
      <c r="B31" s="28" t="n"/>
      <c r="C31" s="28" t="n"/>
      <c r="D31" s="33" t="n"/>
    </row>
    <row r="32" ht="18" customHeight="1" s="10">
      <c r="A32" s="29" t="inlineStr">
        <is>
          <t>Treasury shares</t>
        </is>
      </c>
      <c r="B32" s="30" t="n"/>
      <c r="C32" s="30" t="n"/>
      <c r="D32" s="34" t="n"/>
    </row>
    <row r="33" ht="18" customHeight="1" s="10">
      <c r="A33" s="27" t="inlineStr">
        <is>
          <t>Total other reserves</t>
        </is>
      </c>
      <c r="B33" s="28">
        <f>'SOFP-Sub-OrdOfLiq'!B187</f>
        <v/>
      </c>
      <c r="C33" s="28">
        <f>'SOFP-Sub-OrdOfLiq'!C187</f>
        <v/>
      </c>
      <c r="D33" s="33" t="n"/>
    </row>
    <row r="34" ht="18" customHeight="1" s="10">
      <c r="A34" s="27" t="inlineStr">
        <is>
          <t>Total equity attributable to owners of parent</t>
        </is>
      </c>
      <c r="B34" s="28">
        <f>1*B30+1*B31+-1*B32+1*B33</f>
        <v/>
      </c>
      <c r="C34" s="28">
        <f>1*C30+1*C31+-1*C32+1*C33</f>
        <v/>
      </c>
      <c r="D34" s="33" t="n"/>
    </row>
    <row r="35" ht="18" customHeight="1" s="10">
      <c r="A35" s="29" t="inlineStr">
        <is>
          <t>Equity, others components</t>
        </is>
      </c>
      <c r="B35" s="30">
        <f>'SOFP-Sub-OrdOfLiq'!B194</f>
        <v/>
      </c>
      <c r="C35" s="30">
        <f>'SOFP-Sub-OrdOfLiq'!C194</f>
        <v/>
      </c>
      <c r="D35" s="34" t="n"/>
    </row>
    <row r="36" ht="18" customHeight="1" s="10">
      <c r="A36" s="29" t="inlineStr">
        <is>
          <t>Non-controlling interests</t>
        </is>
      </c>
      <c r="B36" s="30" t="n"/>
      <c r="C36" s="30" t="n"/>
      <c r="D36" s="34" t="n"/>
    </row>
    <row r="37" ht="18" customHeight="1" s="10">
      <c r="A37" s="27" t="inlineStr">
        <is>
          <t>Total equity</t>
        </is>
      </c>
      <c r="B37" s="35">
        <f>1*B30+1*B31+-1*B32+1*B33+1*B35+1*B36</f>
        <v/>
      </c>
      <c r="C37" s="35">
        <f>1*C30+1*C31+-1*C32+1*C33+1*C35+1*C36</f>
        <v/>
      </c>
      <c r="D37" s="36" t="n"/>
    </row>
    <row r="38" ht="18" customHeight="1" s="10">
      <c r="A38" s="25" t="inlineStr">
        <is>
          <t>Liabilities [abstract]</t>
        </is>
      </c>
      <c r="B38" s="26" t="n"/>
      <c r="C38" s="26" t="n"/>
      <c r="D38" s="32" t="n"/>
    </row>
    <row r="39" ht="18" customHeight="1" s="10">
      <c r="A39" s="29" t="inlineStr">
        <is>
          <t>Service concession liabilities</t>
        </is>
      </c>
      <c r="B39" s="30" t="n"/>
      <c r="C39" s="30" t="n"/>
      <c r="D39" s="34" t="n"/>
    </row>
    <row r="40" ht="18" customHeight="1" s="10">
      <c r="A40" s="27" t="inlineStr">
        <is>
          <t>Total borrowings</t>
        </is>
      </c>
      <c r="B40" s="28">
        <f>'SOFP-Sub-OrdOfLiq'!B241</f>
        <v/>
      </c>
      <c r="C40" s="28">
        <f>'SOFP-Sub-OrdOfLiq'!C241</f>
        <v/>
      </c>
      <c r="D40" s="33" t="n"/>
    </row>
    <row r="41" ht="18" customHeight="1" s="10">
      <c r="A41" s="27" t="inlineStr">
        <is>
          <t>Total lease liabilities</t>
        </is>
      </c>
      <c r="B41" s="28" t="n"/>
      <c r="C41" s="28" t="n"/>
      <c r="D41" s="33" t="n"/>
    </row>
    <row r="42" ht="18" customHeight="1" s="10">
      <c r="A42" s="29" t="inlineStr">
        <is>
          <t>Provisions for employee benefits</t>
        </is>
      </c>
      <c r="B42" s="30">
        <f>'SOFP-Sub-OrdOfLiq'!B250</f>
        <v/>
      </c>
      <c r="C42" s="30">
        <f>'SOFP-Sub-OrdOfLiq'!C250</f>
        <v/>
      </c>
      <c r="D42" s="34" t="n"/>
    </row>
    <row r="43" ht="18" customHeight="1" s="10">
      <c r="A43" s="27" t="inlineStr">
        <is>
          <t>Total provisions</t>
        </is>
      </c>
      <c r="B43" s="28">
        <f>'SOFP-Sub-OrdOfLiq'!B259</f>
        <v/>
      </c>
      <c r="C43" s="28">
        <f>'SOFP-Sub-OrdOfLiq'!C259</f>
        <v/>
      </c>
      <c r="D43" s="33" t="n"/>
    </row>
    <row r="44" ht="18" customHeight="1" s="10">
      <c r="A44" s="27" t="inlineStr">
        <is>
          <t>Total trade and other payables</t>
        </is>
      </c>
      <c r="B44" s="28">
        <f>'SOFP-Sub-OrdOfLiq'!B295</f>
        <v/>
      </c>
      <c r="C44" s="28">
        <f>'SOFP-Sub-OrdOfLiq'!C295</f>
        <v/>
      </c>
      <c r="D44" s="33" t="n"/>
    </row>
    <row r="45" ht="18" customHeight="1" s="10">
      <c r="A45" s="29" t="inlineStr">
        <is>
          <t>Current tax liabilities</t>
        </is>
      </c>
      <c r="B45" s="30" t="n"/>
      <c r="C45" s="30" t="n"/>
      <c r="D45" s="34" t="n"/>
    </row>
    <row r="46" ht="18" customHeight="1" s="10">
      <c r="A46" s="27" t="inlineStr">
        <is>
          <t>Total contract liabilities</t>
        </is>
      </c>
      <c r="B46" s="28" t="n"/>
      <c r="C46" s="28" t="n"/>
      <c r="D46" s="33" t="n"/>
    </row>
    <row r="47" ht="18" customHeight="1" s="10">
      <c r="A47" s="29" t="inlineStr">
        <is>
          <t>Deferred tax liabilities</t>
        </is>
      </c>
      <c r="B47" s="30" t="n"/>
      <c r="C47" s="30" t="n"/>
      <c r="D47" s="34" t="n"/>
    </row>
    <row r="48" ht="18" customHeight="1" s="10">
      <c r="A48" s="29" t="inlineStr">
        <is>
          <t>Derivative financial liabilities</t>
        </is>
      </c>
      <c r="B48" s="30">
        <f>'SOFP-Sub-OrdOfLiq'!B310</f>
        <v/>
      </c>
      <c r="C48" s="30">
        <f>'SOFP-Sub-OrdOfLiq'!C310</f>
        <v/>
      </c>
      <c r="D48" s="34" t="n"/>
    </row>
    <row r="49" ht="18" customHeight="1" s="10">
      <c r="A49" s="29" t="inlineStr">
        <is>
          <t>Other liabilities</t>
        </is>
      </c>
      <c r="B49" s="30" t="n"/>
      <c r="C49" s="30" t="n"/>
      <c r="D49" s="34" t="n"/>
    </row>
    <row r="50" ht="18" customHeight="1" s="10">
      <c r="A50" s="29" t="inlineStr">
        <is>
          <t>Liabilities other than liabilities held for sale</t>
        </is>
      </c>
      <c r="B50" s="30">
        <f>1*B39+1*B40+1*B41+1*B42+1*B43+1*B44+1*B45+1*B46+1*B47+1*B48+1*B49</f>
        <v/>
      </c>
      <c r="C50" s="30">
        <f>1*C39+1*C40+1*C41+1*C42+1*C43+1*C44+1*C45+1*C46+1*C47+1*C48+1*C49</f>
        <v/>
      </c>
      <c r="D50" s="34" t="n"/>
    </row>
    <row r="51" ht="18" customHeight="1" s="10">
      <c r="A51" s="29" t="inlineStr">
        <is>
          <t>Liabilities included in disposal groups classified as held for sale</t>
        </is>
      </c>
      <c r="B51" s="30" t="n"/>
      <c r="C51" s="30" t="n"/>
      <c r="D51" s="34" t="n"/>
    </row>
    <row r="52" ht="18" customHeight="1" s="10">
      <c r="A52" s="27" t="inlineStr">
        <is>
          <t>Total liabilities</t>
        </is>
      </c>
      <c r="B52" s="28">
        <f>1*B39+1*B40+1*B41+1*B42+1*B43+1*B44+1*B45+1*B46+1*B47+1*B48+1*B49+1*B51</f>
        <v/>
      </c>
      <c r="C52" s="28">
        <f>1*C39+1*C40+1*C41+1*C42+1*C43+1*C44+1*C45+1*C46+1*C47+1*C48+1*C49+1*C51</f>
        <v/>
      </c>
      <c r="D52" s="33" t="n"/>
    </row>
    <row r="53" ht="18" customHeight="1" s="10">
      <c r="A53" s="27" t="inlineStr">
        <is>
          <t>Total equity and liabilities</t>
        </is>
      </c>
      <c r="B53" s="28">
        <f>1*B37+1*B52</f>
        <v/>
      </c>
      <c r="C53" s="28">
        <f>1*C37+1*C52</f>
        <v/>
      </c>
      <c r="D53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3" t="inlineStr">
        <is>
          <t>01/01/YYYY - 31/12/YYYY</t>
        </is>
      </c>
      <c r="C1" s="23" t="inlineStr">
        <is>
          <t>01/01/YYYY - 31/12/YYYY</t>
        </is>
      </c>
      <c r="D1" s="31" t="inlineStr">
        <is>
          <t>Source</t>
        </is>
      </c>
    </row>
    <row r="2"/>
    <row r="3" ht="24" customHeight="1" s="10">
      <c r="A3" s="24" t="inlineStr">
        <is>
          <t>Sub-classification, order of liquidity</t>
        </is>
      </c>
      <c r="D3" s="24" t="n"/>
    </row>
    <row r="4" ht="18" customHeight="1" s="10">
      <c r="A4" s="25" t="inlineStr">
        <is>
          <t>Statement on sub-classification of assets, liabilities and equity [abstract]</t>
        </is>
      </c>
      <c r="B4" s="26" t="n"/>
      <c r="C4" s="26" t="n"/>
      <c r="D4" s="32" t="n"/>
    </row>
    <row r="5" ht="18" customHeight="1" s="10">
      <c r="A5" s="25" t="inlineStr">
        <is>
          <t>Statement on sub-classification of assets, liabilities and equity [line items]</t>
        </is>
      </c>
      <c r="B5" s="26" t="n"/>
      <c r="C5" s="26" t="n"/>
      <c r="D5" s="32" t="n"/>
    </row>
    <row r="6" ht="18" customHeight="1" s="10">
      <c r="A6" s="25" t="inlineStr">
        <is>
          <t>Property, plant and equipment [abstract]</t>
        </is>
      </c>
      <c r="B6" s="26" t="n"/>
      <c r="C6" s="26" t="n"/>
      <c r="D6" s="32" t="n"/>
    </row>
    <row r="7" ht="18" customHeight="1" s="10">
      <c r="A7" s="25" t="inlineStr">
        <is>
          <t>Land and buildings [abstract]</t>
        </is>
      </c>
      <c r="B7" s="26" t="n"/>
      <c r="C7" s="26" t="n"/>
      <c r="D7" s="32" t="n"/>
    </row>
    <row r="8" ht="18" customHeight="1" s="10">
      <c r="A8" s="25" t="inlineStr">
        <is>
          <t>Land [abstract]</t>
        </is>
      </c>
      <c r="B8" s="26" t="n"/>
      <c r="C8" s="26" t="n"/>
      <c r="D8" s="32" t="n"/>
    </row>
    <row r="9" ht="18" customHeight="1" s="10">
      <c r="A9" s="29" t="inlineStr">
        <is>
          <t>Freehold land</t>
        </is>
      </c>
      <c r="B9" s="30" t="n"/>
      <c r="C9" s="30" t="n"/>
      <c r="D9" s="34" t="n"/>
    </row>
    <row r="10" ht="18" customHeight="1" s="10">
      <c r="A10" s="29" t="inlineStr">
        <is>
          <t>Long term leasehold land</t>
        </is>
      </c>
      <c r="B10" s="30" t="n"/>
      <c r="C10" s="30" t="n"/>
      <c r="D10" s="34" t="n"/>
    </row>
    <row r="11" ht="18" customHeight="1" s="10">
      <c r="A11" s="29" t="inlineStr">
        <is>
          <t>Short term leasehold land</t>
        </is>
      </c>
      <c r="B11" s="30" t="n"/>
      <c r="C11" s="30" t="n"/>
      <c r="D11" s="34" t="n"/>
    </row>
    <row r="12" ht="18" customHeight="1" s="10">
      <c r="A12" s="27" t="inlineStr">
        <is>
          <t>Land</t>
        </is>
      </c>
      <c r="B12" s="35">
        <f>1*B9+1*B10+1*B11</f>
        <v/>
      </c>
      <c r="C12" s="35">
        <f>1*C9+1*C10+1*C11</f>
        <v/>
      </c>
      <c r="D12" s="36" t="n"/>
    </row>
    <row r="13" ht="18" customHeight="1" s="10">
      <c r="A13" s="25" t="inlineStr">
        <is>
          <t>Buildings [abstract]</t>
        </is>
      </c>
      <c r="B13" s="26" t="n"/>
      <c r="C13" s="26" t="n"/>
      <c r="D13" s="32" t="n"/>
    </row>
    <row r="14" ht="18" customHeight="1" s="10">
      <c r="A14" s="29" t="inlineStr">
        <is>
          <t>Building on freehold land</t>
        </is>
      </c>
      <c r="B14" s="30" t="n"/>
      <c r="C14" s="30" t="n"/>
      <c r="D14" s="34" t="n"/>
    </row>
    <row r="15" ht="18" customHeight="1" s="10">
      <c r="A15" s="29" t="inlineStr">
        <is>
          <t>Building on long term leasehold land</t>
        </is>
      </c>
      <c r="B15" s="30" t="n"/>
      <c r="C15" s="30" t="n"/>
      <c r="D15" s="34" t="n"/>
    </row>
    <row r="16" ht="18" customHeight="1" s="10">
      <c r="A16" s="29" t="inlineStr">
        <is>
          <t>Building on short term leasehold land</t>
        </is>
      </c>
      <c r="B16" s="30" t="n"/>
      <c r="C16" s="30" t="n"/>
      <c r="D16" s="34" t="n"/>
    </row>
    <row r="17" ht="18" customHeight="1" s="10">
      <c r="A17" s="29" t="inlineStr">
        <is>
          <t>Leased properties</t>
        </is>
      </c>
      <c r="B17" s="30" t="n"/>
      <c r="C17" s="30" t="n"/>
      <c r="D17" s="34" t="n"/>
    </row>
    <row r="18" ht="18" customHeight="1" s="10">
      <c r="A18" s="29" t="inlineStr">
        <is>
          <t>Buildings</t>
        </is>
      </c>
      <c r="B18" s="30">
        <f>1*B14+1*B15+1*B16+1*B17</f>
        <v/>
      </c>
      <c r="C18" s="30">
        <f>1*C14+1*C15+1*C16+1*C17</f>
        <v/>
      </c>
      <c r="D18" s="34" t="n"/>
    </row>
    <row r="19" ht="18" customHeight="1" s="10">
      <c r="A19" s="27" t="inlineStr">
        <is>
          <t>Total land and buildings</t>
        </is>
      </c>
      <c r="B19" s="35">
        <f>1*B12+1*B18</f>
        <v/>
      </c>
      <c r="C19" s="35">
        <f>1*C12+1*C18</f>
        <v/>
      </c>
      <c r="D19" s="36" t="n"/>
    </row>
    <row r="20" ht="18" customHeight="1" s="10">
      <c r="A20" s="25" t="inlineStr">
        <is>
          <t>Vehicles [abstract]</t>
        </is>
      </c>
      <c r="B20" s="26" t="n"/>
      <c r="C20" s="26" t="n"/>
      <c r="D20" s="32" t="n"/>
    </row>
    <row r="21" ht="18" customHeight="1" s="10">
      <c r="A21" s="29" t="inlineStr">
        <is>
          <t>Vessels</t>
        </is>
      </c>
      <c r="B21" s="30" t="n"/>
      <c r="C21" s="30" t="n"/>
      <c r="D21" s="34" t="n"/>
    </row>
    <row r="22" ht="18" customHeight="1" s="10">
      <c r="A22" s="29" t="inlineStr">
        <is>
          <t>Aircraft</t>
        </is>
      </c>
      <c r="B22" s="30" t="n"/>
      <c r="C22" s="30" t="n"/>
      <c r="D22" s="34" t="n"/>
    </row>
    <row r="23" ht="18" customHeight="1" s="10">
      <c r="A23" s="29" t="inlineStr">
        <is>
          <t>Motor vehicles</t>
        </is>
      </c>
      <c r="B23" s="30" t="n"/>
      <c r="C23" s="30" t="n"/>
      <c r="D23" s="34" t="n"/>
    </row>
    <row r="24" ht="18" customHeight="1" s="10">
      <c r="A24" s="29" t="inlineStr">
        <is>
          <t>Other vehicles</t>
        </is>
      </c>
      <c r="B24" s="30" t="n"/>
      <c r="C24" s="30" t="n"/>
      <c r="D24" s="34" t="n"/>
    </row>
    <row r="25" ht="18" customHeight="1" s="10">
      <c r="A25" s="27" t="inlineStr">
        <is>
          <t>Total vehicles</t>
        </is>
      </c>
      <c r="B25" s="28">
        <f>1*B21+1*B22+1*B23+1*B24</f>
        <v/>
      </c>
      <c r="C25" s="28">
        <f>1*C21+1*C22+1*C23+1*C24</f>
        <v/>
      </c>
      <c r="D25" s="33" t="n"/>
    </row>
    <row r="26" ht="18" customHeight="1" s="10">
      <c r="A26" s="29" t="inlineStr">
        <is>
          <t>Machinery</t>
        </is>
      </c>
      <c r="B26" s="30" t="n"/>
      <c r="C26" s="30" t="n"/>
      <c r="D26" s="34" t="n"/>
    </row>
    <row r="27" ht="18" customHeight="1" s="10">
      <c r="A27" s="29" t="inlineStr">
        <is>
          <t>Plant and equipment</t>
        </is>
      </c>
      <c r="B27" s="30" t="n"/>
      <c r="C27" s="30" t="n"/>
      <c r="D27" s="34" t="n"/>
    </row>
    <row r="28" ht="18" customHeight="1" s="10">
      <c r="A28" s="29" t="inlineStr">
        <is>
          <t>Office equipment, fixture and fittings</t>
        </is>
      </c>
      <c r="B28" s="30" t="n"/>
      <c r="C28" s="30" t="n"/>
      <c r="D28" s="34" t="n"/>
    </row>
    <row r="29" ht="18" customHeight="1" s="10">
      <c r="A29" s="29" t="inlineStr">
        <is>
          <t>Computer software and hardware</t>
        </is>
      </c>
      <c r="B29" s="30" t="n"/>
      <c r="C29" s="30" t="n"/>
      <c r="D29" s="34" t="n"/>
    </row>
    <row r="30" ht="18" customHeight="1" s="10">
      <c r="A30" s="29" t="inlineStr">
        <is>
          <t>Bearer plants</t>
        </is>
      </c>
      <c r="B30" s="30" t="n"/>
      <c r="C30" s="30" t="n"/>
      <c r="D30" s="34" t="n"/>
    </row>
    <row r="31" ht="18" customHeight="1" s="10">
      <c r="A31" s="29" t="inlineStr">
        <is>
          <t>Infrastructure and site facilities</t>
        </is>
      </c>
      <c r="B31" s="30" t="n"/>
      <c r="C31" s="30" t="n"/>
      <c r="D31" s="34" t="n"/>
    </row>
    <row r="32" ht="18" customHeight="1" s="10">
      <c r="A32" s="29" t="inlineStr">
        <is>
          <t>Mining assets</t>
        </is>
      </c>
      <c r="B32" s="30" t="n"/>
      <c r="C32" s="30" t="n"/>
      <c r="D32" s="34" t="n"/>
    </row>
    <row r="33" ht="18" customHeight="1" s="10">
      <c r="A33" s="29" t="inlineStr">
        <is>
          <t>Oil and gas assets</t>
        </is>
      </c>
      <c r="B33" s="30" t="n"/>
      <c r="C33" s="30" t="n"/>
      <c r="D33" s="34" t="n"/>
    </row>
    <row r="34" ht="18" customHeight="1" s="10">
      <c r="A34" s="29" t="inlineStr">
        <is>
          <t>Tangible exploration and evaluation assets</t>
        </is>
      </c>
      <c r="B34" s="30" t="n"/>
      <c r="C34" s="30" t="n"/>
      <c r="D34" s="34" t="n"/>
    </row>
    <row r="35" ht="18" customHeight="1" s="10">
      <c r="A35" s="29" t="inlineStr">
        <is>
          <t>Telecommunication equipments</t>
        </is>
      </c>
      <c r="B35" s="30" t="n"/>
      <c r="C35" s="30" t="n"/>
      <c r="D35" s="34" t="n"/>
    </row>
    <row r="36" ht="18" customHeight="1" s="10">
      <c r="A36" s="29" t="inlineStr">
        <is>
          <t>Construction in progress</t>
        </is>
      </c>
      <c r="B36" s="30" t="n"/>
      <c r="C36" s="30" t="n"/>
      <c r="D36" s="34" t="n"/>
    </row>
    <row r="37" ht="18" customHeight="1" s="10">
      <c r="A37" s="29" t="inlineStr">
        <is>
          <t>Other property, plant and equipment</t>
        </is>
      </c>
      <c r="B37" s="30" t="n"/>
      <c r="C37" s="30" t="n"/>
      <c r="D37" s="34" t="n"/>
    </row>
    <row r="38" ht="18" customHeight="1" s="10">
      <c r="A38" s="27" t="inlineStr">
        <is>
          <t>Total property, plant and equipment</t>
        </is>
      </c>
      <c r="B38" s="35">
        <f>1*B19+1*B25+1*B26+1*B27+1*B28+1*B29+1*B30+1*B31+1*B32+1*B33+1*B34+1*B35+1*B36+1*B37</f>
        <v/>
      </c>
      <c r="C38" s="35">
        <f>1*C19+1*C25+1*C26+1*C27+1*C28+1*C29+1*C30+1*C31+1*C32+1*C33+1*C34+1*C35+1*C36+1*C37</f>
        <v/>
      </c>
      <c r="D38" s="36" t="n"/>
    </row>
    <row r="39" ht="18" customHeight="1" s="10">
      <c r="A39" s="25" t="inlineStr">
        <is>
          <t>Investment property [abstract]</t>
        </is>
      </c>
      <c r="B39" s="26" t="n"/>
      <c r="C39" s="26" t="n"/>
      <c r="D39" s="32" t="n"/>
    </row>
    <row r="40" ht="18" customHeight="1" s="10">
      <c r="A40" s="25" t="inlineStr">
        <is>
          <t>Investment properties completed, at fair value [abstract]</t>
        </is>
      </c>
      <c r="B40" s="26" t="n"/>
      <c r="C40" s="26" t="n"/>
      <c r="D40" s="32" t="n"/>
    </row>
    <row r="41" ht="18" customHeight="1" s="10">
      <c r="A41" s="29" t="inlineStr">
        <is>
          <t>Freehold land and building</t>
        </is>
      </c>
      <c r="B41" s="30" t="n"/>
      <c r="C41" s="30" t="n"/>
      <c r="D41" s="34" t="n"/>
    </row>
    <row r="42" ht="18" customHeight="1" s="10">
      <c r="A42" s="29" t="inlineStr">
        <is>
          <t>Leasehold land and building</t>
        </is>
      </c>
      <c r="B42" s="30" t="n"/>
      <c r="C42" s="30" t="n"/>
      <c r="D42" s="34" t="n"/>
    </row>
    <row r="43" ht="18" customHeight="1" s="10">
      <c r="A43" s="29" t="inlineStr">
        <is>
          <t>Investment property completed</t>
        </is>
      </c>
      <c r="B43" s="37">
        <f>1*B41+1*B42</f>
        <v/>
      </c>
      <c r="C43" s="37">
        <f>1*C41+1*C42</f>
        <v/>
      </c>
      <c r="D43" s="38" t="n"/>
    </row>
    <row r="44" ht="18" customHeight="1" s="10">
      <c r="A44" s="25" t="inlineStr">
        <is>
          <t>Investment properties under construction or development, at cost [abstract]</t>
        </is>
      </c>
      <c r="B44" s="26" t="n"/>
      <c r="C44" s="26" t="n"/>
      <c r="D44" s="32" t="n"/>
    </row>
    <row r="45" ht="18" customHeight="1" s="10">
      <c r="A45" s="29" t="inlineStr">
        <is>
          <t>Building under construction</t>
        </is>
      </c>
      <c r="B45" s="30" t="n"/>
      <c r="C45" s="30" t="n"/>
      <c r="D45" s="34" t="n"/>
    </row>
    <row r="46" ht="18" customHeight="1" s="10">
      <c r="A46" s="29" t="inlineStr">
        <is>
          <t>Investment property under construction or development</t>
        </is>
      </c>
      <c r="B46" s="30">
        <f>1*B45</f>
        <v/>
      </c>
      <c r="C46" s="30">
        <f>1*C45</f>
        <v/>
      </c>
      <c r="D46" s="34" t="n"/>
    </row>
    <row r="47" ht="18" customHeight="1" s="10">
      <c r="A47" s="29" t="inlineStr">
        <is>
          <t>Other investment property</t>
        </is>
      </c>
      <c r="B47" s="30" t="n"/>
      <c r="C47" s="30" t="n"/>
      <c r="D47" s="34" t="n"/>
    </row>
    <row r="48" ht="18" customHeight="1" s="10">
      <c r="A48" s="27" t="inlineStr">
        <is>
          <t>Total investment property</t>
        </is>
      </c>
      <c r="B48" s="35">
        <f>1*B43+1*B46+1*B47</f>
        <v/>
      </c>
      <c r="C48" s="35">
        <f>1*C43+1*C46+1*C47</f>
        <v/>
      </c>
      <c r="D48" s="36" t="n"/>
    </row>
    <row r="49" ht="18" customHeight="1" s="10">
      <c r="A49" s="25" t="inlineStr">
        <is>
          <t>Biological assets [abstract]</t>
        </is>
      </c>
      <c r="B49" s="26" t="n"/>
      <c r="C49" s="26" t="n"/>
      <c r="D49" s="32" t="n"/>
    </row>
    <row r="50" ht="18" customHeight="1" s="10">
      <c r="A50" s="29" t="inlineStr">
        <is>
          <t>Consumable biological assets</t>
        </is>
      </c>
      <c r="B50" s="30" t="n"/>
      <c r="C50" s="30" t="n"/>
      <c r="D50" s="34" t="n"/>
    </row>
    <row r="51" ht="18" customHeight="1" s="10">
      <c r="A51" s="29" t="inlineStr">
        <is>
          <t>Bearer biological assets</t>
        </is>
      </c>
      <c r="B51" s="30" t="n"/>
      <c r="C51" s="30" t="n"/>
      <c r="D51" s="34" t="n"/>
    </row>
    <row r="52" ht="18" customHeight="1" s="10">
      <c r="A52" s="29" t="inlineStr">
        <is>
          <t>Biological assets</t>
        </is>
      </c>
      <c r="B52" s="37">
        <f>1*B50+1*B51</f>
        <v/>
      </c>
      <c r="C52" s="37">
        <f>1*C50+1*C51</f>
        <v/>
      </c>
      <c r="D52" s="38" t="n"/>
    </row>
    <row r="53" ht="18" customHeight="1" s="10">
      <c r="A53" s="25" t="inlineStr">
        <is>
          <t>Intangible assets and goodwill [abstract]</t>
        </is>
      </c>
      <c r="B53" s="26" t="n"/>
      <c r="C53" s="26" t="n"/>
      <c r="D53" s="32" t="n"/>
    </row>
    <row r="54" ht="18" customHeight="1" s="10">
      <c r="A54" s="25" t="inlineStr">
        <is>
          <t>Intangible assets other than goodwill [abstract]</t>
        </is>
      </c>
      <c r="B54" s="26" t="n"/>
      <c r="C54" s="26" t="n"/>
      <c r="D54" s="32" t="n"/>
    </row>
    <row r="55" ht="18" customHeight="1" s="10">
      <c r="A55" s="29" t="inlineStr">
        <is>
          <t>Customer-related intangible assets recognised as of acquisition date</t>
        </is>
      </c>
      <c r="B55" s="30" t="n"/>
      <c r="C55" s="30" t="n"/>
      <c r="D55" s="34" t="n"/>
    </row>
    <row r="56" ht="18" customHeight="1" s="10">
      <c r="A56" s="29" t="inlineStr">
        <is>
          <t>Brand names</t>
        </is>
      </c>
      <c r="B56" s="30" t="n"/>
      <c r="C56" s="30" t="n"/>
      <c r="D56" s="34" t="n"/>
    </row>
    <row r="57" ht="18" customHeight="1" s="10">
      <c r="A57" s="29" t="inlineStr">
        <is>
          <t>Customer relationships</t>
        </is>
      </c>
      <c r="B57" s="30" t="n"/>
      <c r="C57" s="30" t="n"/>
      <c r="D57" s="34" t="n"/>
    </row>
    <row r="58" ht="18" customHeight="1" s="10">
      <c r="A58" s="29" t="inlineStr">
        <is>
          <t>Copyrights, patents and other industrial property rights, service and operating rights</t>
        </is>
      </c>
      <c r="B58" s="30" t="n"/>
      <c r="C58" s="30" t="n"/>
      <c r="D58" s="34" t="n"/>
    </row>
    <row r="59" ht="18" customHeight="1" s="10">
      <c r="A59" s="29" t="inlineStr">
        <is>
          <t>Intangible assets under development</t>
        </is>
      </c>
      <c r="B59" s="30" t="n"/>
      <c r="C59" s="30" t="n"/>
      <c r="D59" s="34" t="n"/>
    </row>
    <row r="60" ht="18" customHeight="1" s="10">
      <c r="A60" s="29" t="inlineStr">
        <is>
          <t>Intangible exploration and evaluation assets</t>
        </is>
      </c>
      <c r="B60" s="30" t="n"/>
      <c r="C60" s="30" t="n"/>
      <c r="D60" s="34" t="n"/>
    </row>
    <row r="61" ht="18" customHeight="1" s="10">
      <c r="A61" s="29" t="inlineStr">
        <is>
          <t>Licences and franchises</t>
        </is>
      </c>
      <c r="B61" s="30" t="n"/>
      <c r="C61" s="30" t="n"/>
      <c r="D61" s="34" t="n"/>
    </row>
    <row r="62" ht="18" customHeight="1" s="10">
      <c r="A62" s="29" t="inlineStr">
        <is>
          <t>Recipes, formulae, models, designs and prototypes</t>
        </is>
      </c>
      <c r="B62" s="30" t="n"/>
      <c r="C62" s="30" t="n"/>
      <c r="D62" s="34" t="n"/>
    </row>
    <row r="63" ht="18" customHeight="1" s="10">
      <c r="A63" s="29" t="inlineStr">
        <is>
          <t>Computer software</t>
        </is>
      </c>
      <c r="B63" s="30" t="n"/>
      <c r="C63" s="30" t="n"/>
      <c r="D63" s="34" t="n"/>
    </row>
    <row r="64" ht="18" customHeight="1" s="10">
      <c r="A64" s="29" t="inlineStr">
        <is>
          <t>Small holder relationship</t>
        </is>
      </c>
      <c r="B64" s="30" t="n"/>
      <c r="C64" s="30" t="n"/>
      <c r="D64" s="34" t="n"/>
    </row>
    <row r="65" ht="18" customHeight="1" s="10">
      <c r="A65" s="29" t="inlineStr">
        <is>
          <t>Other intangible assets</t>
        </is>
      </c>
      <c r="B65" s="30" t="n"/>
      <c r="C65" s="30" t="n"/>
      <c r="D65" s="34" t="n"/>
    </row>
    <row r="66" ht="18" customHeight="1" s="10">
      <c r="A66" s="27" t="inlineStr">
        <is>
          <t>Total intangible assets other than goodwill</t>
        </is>
      </c>
      <c r="B66" s="28">
        <f>1*B55+1*B56+1*B57+1*B58+1*B59+1*B60+1*B61+1*B62+1*B63+1*B64+1*B65</f>
        <v/>
      </c>
      <c r="C66" s="28">
        <f>1*C55+1*C56+1*C57+1*C58+1*C59+1*C60+1*C61+1*C62+1*C63+1*C64+1*C65</f>
        <v/>
      </c>
      <c r="D66" s="33" t="n"/>
    </row>
    <row r="67" ht="18" customHeight="1" s="10">
      <c r="A67" s="29" t="inlineStr">
        <is>
          <t>Goodwill</t>
        </is>
      </c>
      <c r="B67" s="30" t="n"/>
      <c r="C67" s="30" t="n"/>
      <c r="D67" s="34" t="n"/>
    </row>
    <row r="68" ht="18" customHeight="1" s="10">
      <c r="A68" s="27" t="inlineStr">
        <is>
          <t>Total intangible assets and goodwill</t>
        </is>
      </c>
      <c r="B68" s="35">
        <f>1*B66+1*B67</f>
        <v/>
      </c>
      <c r="C68" s="35">
        <f>1*C66+1*C67</f>
        <v/>
      </c>
      <c r="D68" s="36" t="n"/>
    </row>
    <row r="69" ht="18" customHeight="1" s="10">
      <c r="A69" s="25" t="inlineStr">
        <is>
          <t>Investments in subsidiaries [abstract]</t>
        </is>
      </c>
      <c r="B69" s="26" t="n"/>
      <c r="C69" s="26" t="n"/>
      <c r="D69" s="32" t="n"/>
    </row>
    <row r="70" ht="18" customHeight="1" s="10">
      <c r="A70" s="29" t="inlineStr">
        <is>
          <t>Investment in subsidiaries unquoted shares in Malaysia, net of impairment losses</t>
        </is>
      </c>
      <c r="B70" s="30" t="n"/>
      <c r="C70" s="30" t="n"/>
      <c r="D70" s="34" t="n"/>
    </row>
    <row r="71" ht="18" customHeight="1" s="10">
      <c r="A71" s="29" t="inlineStr">
        <is>
          <t>Investment in subsidiaries quoted shares in Malaysia</t>
        </is>
      </c>
      <c r="B71" s="30" t="n"/>
      <c r="C71" s="30" t="n"/>
      <c r="D71" s="34" t="n"/>
    </row>
    <row r="72" ht="18" customHeight="1" s="10">
      <c r="A72" s="29" t="inlineStr">
        <is>
          <t>Investment in subsidiaries quoted shares outside Malaysia</t>
        </is>
      </c>
      <c r="B72" s="30" t="n"/>
      <c r="C72" s="30" t="n"/>
      <c r="D72" s="34" t="n"/>
    </row>
    <row r="73" ht="18" customHeight="1" s="10">
      <c r="A73" s="29" t="inlineStr">
        <is>
          <t>Investment in subsidiaries fair value adjustments on loans and advances and financial guarantee</t>
        </is>
      </c>
      <c r="B73" s="30" t="n"/>
      <c r="C73" s="30" t="n"/>
      <c r="D73" s="34" t="n"/>
    </row>
    <row r="74" ht="18" customHeight="1" s="10">
      <c r="A74" s="29" t="inlineStr">
        <is>
          <t>Contributions to subsidiaries, net of impairment losses</t>
        </is>
      </c>
      <c r="B74" s="30" t="n"/>
      <c r="C74" s="30" t="n"/>
      <c r="D74" s="34" t="n"/>
    </row>
    <row r="75" ht="18" customHeight="1" s="10">
      <c r="A75" s="29" t="inlineStr">
        <is>
          <t>Other investments in subsidiaries, net of impairment losses</t>
        </is>
      </c>
      <c r="B75" s="30" t="n"/>
      <c r="C75" s="30" t="n"/>
      <c r="D75" s="34" t="n"/>
    </row>
    <row r="76" ht="18" customHeight="1" s="10">
      <c r="A76" s="29" t="inlineStr">
        <is>
          <t>Investments in subsidiaries reported in separate financial statements</t>
        </is>
      </c>
      <c r="B76" s="37">
        <f>1*B70+1*B71+1*B72+1*B73+1*B74+1*B75</f>
        <v/>
      </c>
      <c r="C76" s="37">
        <f>1*C70+1*C71+1*C72+1*C73+1*C74+1*C75</f>
        <v/>
      </c>
      <c r="D76" s="38" t="n"/>
    </row>
    <row r="77" ht="18" customHeight="1" s="10">
      <c r="A77" s="25" t="inlineStr">
        <is>
          <t>Investments in associates [abstract]</t>
        </is>
      </c>
      <c r="B77" s="26" t="n"/>
      <c r="C77" s="26" t="n"/>
      <c r="D77" s="32" t="n"/>
    </row>
    <row r="78" ht="18" customHeight="1" s="10">
      <c r="A78" s="29" t="inlineStr">
        <is>
          <t>Investment in associates unquoted shares in Malaysia, net of impairment</t>
        </is>
      </c>
      <c r="B78" s="30" t="n"/>
      <c r="C78" s="30" t="n"/>
      <c r="D78" s="34" t="n"/>
    </row>
    <row r="79" ht="18" customHeight="1" s="10">
      <c r="A79" s="29" t="inlineStr">
        <is>
          <t>Investment in associates quoted shares in Malaysia</t>
        </is>
      </c>
      <c r="B79" s="30" t="n"/>
      <c r="C79" s="30" t="n"/>
      <c r="D79" s="34" t="n"/>
    </row>
    <row r="80" ht="18" customHeight="1" s="10">
      <c r="A80" s="29" t="inlineStr">
        <is>
          <t>Investment in associates quoted shares outside Malaysia</t>
        </is>
      </c>
      <c r="B80" s="30" t="n"/>
      <c r="C80" s="30" t="n"/>
      <c r="D80" s="34" t="n"/>
    </row>
    <row r="81" ht="18" customHeight="1" s="10">
      <c r="A81" s="29" t="inlineStr">
        <is>
          <t>Investment in associates fair value adjustments on loans and advances and financial guarantee</t>
        </is>
      </c>
      <c r="B81" s="30" t="n"/>
      <c r="C81" s="30" t="n"/>
      <c r="D81" s="34" t="n"/>
    </row>
    <row r="82" ht="18" customHeight="1" s="10">
      <c r="A82" s="29" t="inlineStr">
        <is>
          <t>Share of post-acquisition profits and reserves</t>
        </is>
      </c>
      <c r="B82" s="30" t="n"/>
      <c r="C82" s="30" t="n"/>
      <c r="D82" s="34" t="n"/>
    </row>
    <row r="83" ht="18" customHeight="1" s="10">
      <c r="A83" s="29" t="inlineStr">
        <is>
          <t>Investment in associates unrealised profit on transactions with associates</t>
        </is>
      </c>
      <c r="B83" s="30" t="n"/>
      <c r="C83" s="30" t="n"/>
      <c r="D83" s="34" t="n"/>
    </row>
    <row r="84" ht="18" customHeight="1" s="10">
      <c r="A84" s="29" t="inlineStr">
        <is>
          <t>Other investments in associates, net of impairment losses</t>
        </is>
      </c>
      <c r="B84" s="30" t="n"/>
      <c r="C84" s="30" t="n"/>
      <c r="D84" s="34" t="n"/>
    </row>
    <row r="85" ht="18" customHeight="1" s="10">
      <c r="A85" s="29" t="inlineStr">
        <is>
          <t>Investments in associates reported in separate financial statements</t>
        </is>
      </c>
      <c r="B85" s="37">
        <f>1*B78+1*B79+1*B80+1*B81+1*B82+1*B83+1*B84</f>
        <v/>
      </c>
      <c r="C85" s="37">
        <f>1*C78+1*C79+1*C80+1*C81+1*C82+1*C83+1*C84</f>
        <v/>
      </c>
      <c r="D85" s="38" t="n"/>
    </row>
    <row r="86" ht="18" customHeight="1" s="10">
      <c r="A86" s="25" t="inlineStr">
        <is>
          <t>Investments in joint ventures [abstract]</t>
        </is>
      </c>
      <c r="B86" s="26" t="n"/>
      <c r="C86" s="26" t="n"/>
      <c r="D86" s="32" t="n"/>
    </row>
    <row r="87" ht="18" customHeight="1" s="10">
      <c r="A87" s="29" t="inlineStr">
        <is>
          <t>Investment in joint ventures unquoted shares in Malaysia, net of impairment losses</t>
        </is>
      </c>
      <c r="B87" s="30" t="n"/>
      <c r="C87" s="30" t="n"/>
      <c r="D87" s="34" t="n"/>
    </row>
    <row r="88" ht="18" customHeight="1" s="10">
      <c r="A88" s="29" t="inlineStr">
        <is>
          <t>Investment in joint ventures quoted shares in Malaysia</t>
        </is>
      </c>
      <c r="B88" s="30" t="n"/>
      <c r="C88" s="30" t="n"/>
      <c r="D88" s="34" t="n"/>
    </row>
    <row r="89" ht="18" customHeight="1" s="10">
      <c r="A89" s="29" t="inlineStr">
        <is>
          <t>Investment in joint ventures quoted shares outside Malaysia</t>
        </is>
      </c>
      <c r="B89" s="30" t="n"/>
      <c r="C89" s="30" t="n"/>
      <c r="D89" s="34" t="n"/>
    </row>
    <row r="90" ht="18" customHeight="1" s="10">
      <c r="A90" s="29" t="inlineStr">
        <is>
          <t>Investment in joint ventures fair value adjustments on loans and advances and financial guarantee</t>
        </is>
      </c>
      <c r="B90" s="30" t="n"/>
      <c r="C90" s="30" t="n"/>
      <c r="D90" s="34" t="n"/>
    </row>
    <row r="91" ht="18" customHeight="1" s="10">
      <c r="A91" s="29" t="inlineStr">
        <is>
          <t>Share of post-acquisition profits and reserves</t>
        </is>
      </c>
      <c r="B91" s="30" t="n"/>
      <c r="C91" s="30" t="n"/>
      <c r="D91" s="34" t="n"/>
    </row>
    <row r="92" ht="18" customHeight="1" s="10">
      <c r="A92" s="29" t="inlineStr">
        <is>
          <t>Unrealised profit on transactions with joint ventures</t>
        </is>
      </c>
      <c r="B92" s="30" t="n"/>
      <c r="C92" s="30" t="n"/>
      <c r="D92" s="34" t="n"/>
    </row>
    <row r="93" ht="18" customHeight="1" s="10">
      <c r="A93" s="29" t="inlineStr">
        <is>
          <t>Other investments in joint ventures</t>
        </is>
      </c>
      <c r="B93" s="30" t="n"/>
      <c r="C93" s="30" t="n"/>
      <c r="D93" s="34" t="n"/>
    </row>
    <row r="94" ht="18" customHeight="1" s="10">
      <c r="A94" s="29" t="inlineStr">
        <is>
          <t>Investments in joint ventures reported in separate financial statements</t>
        </is>
      </c>
      <c r="B94" s="37">
        <f>1*B87+1*B88+1*B89+1*B90+1*B91+1*B92+1*B93</f>
        <v/>
      </c>
      <c r="C94" s="37">
        <f>1*C87+1*C88+1*C89+1*C90+1*C91+1*C92+1*C93</f>
        <v/>
      </c>
      <c r="D94" s="38" t="n"/>
    </row>
    <row r="95" ht="18" customHeight="1" s="10">
      <c r="A95" s="25" t="inlineStr">
        <is>
          <t>Trade and other receivables [abstract]</t>
        </is>
      </c>
      <c r="B95" s="26" t="n"/>
      <c r="C95" s="26" t="n"/>
      <c r="D95" s="32" t="n"/>
    </row>
    <row r="96" ht="18" customHeight="1" s="10">
      <c r="A96" s="25" t="inlineStr">
        <is>
          <t>Trade receivables [abstract]</t>
        </is>
      </c>
      <c r="B96" s="26" t="n"/>
      <c r="C96" s="26" t="n"/>
      <c r="D96" s="32" t="n"/>
    </row>
    <row r="97" ht="18" customHeight="1" s="10">
      <c r="A97" s="29" t="inlineStr">
        <is>
          <t>Trade receivables due from customers</t>
        </is>
      </c>
      <c r="B97" s="30" t="n"/>
      <c r="C97" s="30" t="n"/>
      <c r="D97" s="34" t="n"/>
    </row>
    <row r="98" ht="18" customHeight="1" s="10">
      <c r="A98" s="27" t="inlineStr">
        <is>
          <t>Total receivables from contracts with customers</t>
        </is>
      </c>
      <c r="B98" s="28" t="n"/>
      <c r="C98" s="28" t="n"/>
      <c r="D98" s="33" t="n"/>
    </row>
    <row r="99" ht="18" customHeight="1" s="10">
      <c r="A99" s="29" t="inlineStr">
        <is>
          <t>Trade receivables due from holding company</t>
        </is>
      </c>
      <c r="B99" s="30" t="n"/>
      <c r="C99" s="30" t="n"/>
      <c r="D99" s="34" t="n"/>
    </row>
    <row r="100" ht="18" customHeight="1" s="10">
      <c r="A100" s="29" t="inlineStr">
        <is>
          <t>Trade receivables due from subsidiaries</t>
        </is>
      </c>
      <c r="B100" s="30" t="n"/>
      <c r="C100" s="30" t="n"/>
      <c r="D100" s="34" t="n"/>
    </row>
    <row r="101" ht="18" customHeight="1" s="10">
      <c r="A101" s="29" t="inlineStr">
        <is>
          <t>Trade receivables from associates</t>
        </is>
      </c>
      <c r="B101" s="30" t="n"/>
      <c r="C101" s="30" t="n"/>
      <c r="D101" s="34" t="n"/>
    </row>
    <row r="102" ht="18" customHeight="1" s="10">
      <c r="A102" s="29" t="inlineStr">
        <is>
          <t>Trade receivables due from joint ventures</t>
        </is>
      </c>
      <c r="B102" s="30" t="n"/>
      <c r="C102" s="30" t="n"/>
      <c r="D102" s="34" t="n"/>
    </row>
    <row r="103" ht="18" customHeight="1" s="10">
      <c r="A103" s="29" t="inlineStr">
        <is>
          <t>Trade receivables due from other related parties</t>
        </is>
      </c>
      <c r="B103" s="30" t="n"/>
      <c r="C103" s="30" t="n"/>
      <c r="D103" s="34" t="n"/>
    </row>
    <row r="104" ht="18" customHeight="1" s="10">
      <c r="A104" s="29" t="inlineStr">
        <is>
          <t>Trade receivables due from money lenders</t>
        </is>
      </c>
      <c r="B104" s="30" t="n"/>
      <c r="C104" s="30" t="n"/>
      <c r="D104" s="34" t="n"/>
    </row>
    <row r="105" ht="18" customHeight="1" s="10">
      <c r="A105" s="29" t="inlineStr">
        <is>
          <t>Trade receivables unearned current carrying charges</t>
        </is>
      </c>
      <c r="B105" s="30" t="n"/>
      <c r="C105" s="30" t="n"/>
      <c r="D105" s="34" t="n"/>
    </row>
    <row r="106" ht="18" customHeight="1" s="10">
      <c r="A106" s="29" t="inlineStr">
        <is>
          <t>Other trade receivables</t>
        </is>
      </c>
      <c r="B106" s="30" t="n"/>
      <c r="C106" s="30" t="n"/>
      <c r="D106" s="34" t="n"/>
    </row>
    <row r="107" ht="18" customHeight="1" s="10">
      <c r="A107" s="29" t="inlineStr">
        <is>
          <t>Trade receivables</t>
        </is>
      </c>
      <c r="B107" s="37">
        <f>1*B97+1*B98+1*B99+1*B100+1*B101+1*B102+1*B103+1*B104+1*B105+1*B106</f>
        <v/>
      </c>
      <c r="C107" s="37">
        <f>1*C97+1*C98+1*C99+1*C100+1*C101+1*C102+1*C103+1*C104+1*C105+1*C106</f>
        <v/>
      </c>
      <c r="D107" s="38" t="n"/>
    </row>
    <row r="108" ht="18" customHeight="1" s="10">
      <c r="A108" s="25" t="inlineStr">
        <is>
          <t>Other receivables [abstract]</t>
        </is>
      </c>
      <c r="B108" s="26" t="n"/>
      <c r="C108" s="26" t="n"/>
      <c r="D108" s="32" t="n"/>
    </row>
    <row r="109" ht="18" customHeight="1" s="10">
      <c r="A109" s="25" t="inlineStr">
        <is>
          <t>Other receivables due from related parties [abstract]</t>
        </is>
      </c>
      <c r="B109" s="26" t="n"/>
      <c r="C109" s="26" t="n"/>
      <c r="D109" s="32" t="n"/>
    </row>
    <row r="110" ht="18" customHeight="1" s="10">
      <c r="A110" s="29" t="inlineStr">
        <is>
          <t>Other receivables due from holding company</t>
        </is>
      </c>
      <c r="B110" s="30" t="n"/>
      <c r="C110" s="30" t="n"/>
      <c r="D110" s="34" t="n"/>
    </row>
    <row r="111" ht="18" customHeight="1" s="10">
      <c r="A111" s="29" t="inlineStr">
        <is>
          <t>Other receivables due from subsidiaries</t>
        </is>
      </c>
      <c r="B111" s="30" t="n"/>
      <c r="C111" s="30" t="n"/>
      <c r="D111" s="34" t="n"/>
    </row>
    <row r="112" ht="18" customHeight="1" s="10">
      <c r="A112" s="29" t="inlineStr">
        <is>
          <t>Other receivables due from associates</t>
        </is>
      </c>
      <c r="B112" s="30" t="n"/>
      <c r="C112" s="30" t="n"/>
      <c r="D112" s="34" t="n"/>
    </row>
    <row r="113" ht="18" customHeight="1" s="10">
      <c r="A113" s="29" t="inlineStr">
        <is>
          <t>Other receivables due from joint ventures</t>
        </is>
      </c>
      <c r="B113" s="30" t="n"/>
      <c r="C113" s="30" t="n"/>
      <c r="D113" s="34" t="n"/>
    </row>
    <row r="114" ht="18" customHeight="1" s="10">
      <c r="A114" s="29" t="inlineStr">
        <is>
          <t>Other receivables due from other related parties</t>
        </is>
      </c>
      <c r="B114" s="30" t="n"/>
      <c r="C114" s="30" t="n"/>
      <c r="D114" s="34" t="n"/>
    </row>
    <row r="115" ht="18" customHeight="1" s="10">
      <c r="A115" s="29" t="inlineStr">
        <is>
          <t>Other receivables due from related parties</t>
        </is>
      </c>
      <c r="B115" s="37">
        <f>1*B110+1*B111+1*B112+1*B113+1*B114</f>
        <v/>
      </c>
      <c r="C115" s="37">
        <f>1*C110+1*C111+1*C112+1*C113+1*C114</f>
        <v/>
      </c>
      <c r="D115" s="38" t="n"/>
    </row>
    <row r="116" ht="18" customHeight="1" s="10">
      <c r="A116" s="25" t="inlineStr">
        <is>
          <t>Prepayments and accrued income [abstract]</t>
        </is>
      </c>
      <c r="B116" s="26" t="n"/>
      <c r="C116" s="26" t="n"/>
      <c r="D116" s="32" t="n"/>
    </row>
    <row r="117" ht="18" customHeight="1" s="10">
      <c r="A117" s="29" t="inlineStr">
        <is>
          <t>Other prepayments</t>
        </is>
      </c>
      <c r="B117" s="30" t="n"/>
      <c r="C117" s="30" t="n"/>
      <c r="D117" s="34" t="n"/>
    </row>
    <row r="118" ht="18" customHeight="1" s="10">
      <c r="A118" s="29" t="inlineStr">
        <is>
          <t>Other accrued income</t>
        </is>
      </c>
      <c r="B118" s="30" t="n"/>
      <c r="C118" s="30" t="n"/>
      <c r="D118" s="34" t="n"/>
    </row>
    <row r="119" ht="18" customHeight="1" s="10">
      <c r="A119" s="27" t="inlineStr">
        <is>
          <t>Total prepayments and accrued income</t>
        </is>
      </c>
      <c r="B119" s="35">
        <f>1*B117+1*B118</f>
        <v/>
      </c>
      <c r="C119" s="35">
        <f>1*C117+1*C118</f>
        <v/>
      </c>
      <c r="D119" s="36" t="n"/>
    </row>
    <row r="120" ht="18" customHeight="1" s="10">
      <c r="A120" s="25" t="inlineStr">
        <is>
          <t>Non-trade receivables [abstract]</t>
        </is>
      </c>
      <c r="B120" s="26" t="n"/>
      <c r="C120" s="26" t="n"/>
      <c r="D120" s="32" t="n"/>
    </row>
    <row r="121" ht="18" customHeight="1" s="10">
      <c r="A121" s="29" t="inlineStr">
        <is>
          <t>Non-trade receivables deposits</t>
        </is>
      </c>
      <c r="B121" s="30" t="n"/>
      <c r="C121" s="30" t="n"/>
      <c r="D121" s="34" t="n"/>
    </row>
    <row r="122" ht="18" customHeight="1" s="10">
      <c r="A122" s="29" t="inlineStr">
        <is>
          <t>Non-trade dividend receivables</t>
        </is>
      </c>
      <c r="B122" s="30" t="n"/>
      <c r="C122" s="30" t="n"/>
      <c r="D122" s="34" t="n"/>
    </row>
    <row r="123" ht="18" customHeight="1" s="10">
      <c r="A123" s="29" t="inlineStr">
        <is>
          <t>Non-trade interest receivables</t>
        </is>
      </c>
      <c r="B123" s="30" t="n"/>
      <c r="C123" s="30" t="n"/>
      <c r="D123" s="34" t="n"/>
    </row>
    <row r="124" ht="18" customHeight="1" s="10">
      <c r="A124" s="29" t="inlineStr">
        <is>
          <t>Other non-trade receivables</t>
        </is>
      </c>
      <c r="B124" s="30" t="n"/>
      <c r="C124" s="30" t="n"/>
      <c r="D124" s="34" t="n"/>
    </row>
    <row r="125" ht="18" customHeight="1" s="10">
      <c r="A125" s="29" t="inlineStr">
        <is>
          <t>Non-trade receivables</t>
        </is>
      </c>
      <c r="B125" s="30">
        <f>1*B121+1*B122+1*B123+1*B124</f>
        <v/>
      </c>
      <c r="C125" s="30">
        <f>1*C121+1*C122+1*C123+1*C124</f>
        <v/>
      </c>
      <c r="D125" s="34" t="n"/>
    </row>
    <row r="126" ht="18" customHeight="1" s="10">
      <c r="A126" s="29" t="inlineStr">
        <is>
          <t>Other receivables</t>
        </is>
      </c>
      <c r="B126" s="30">
        <f>1*B115+1*B119+1*B125</f>
        <v/>
      </c>
      <c r="C126" s="30">
        <f>1*C115+1*C119+1*C125</f>
        <v/>
      </c>
      <c r="D126" s="34" t="n"/>
    </row>
    <row r="127" ht="18" customHeight="1" s="10">
      <c r="A127" s="27" t="inlineStr">
        <is>
          <t>Total trade and other receivables</t>
        </is>
      </c>
      <c r="B127" s="35">
        <f>1*B107+1*B126</f>
        <v/>
      </c>
      <c r="C127" s="35">
        <f>1*C107+1*C126</f>
        <v/>
      </c>
      <c r="D127" s="36" t="n"/>
    </row>
    <row r="128" ht="18" customHeight="1" s="10">
      <c r="A128" s="25" t="inlineStr">
        <is>
          <t>Inventories [abstract]</t>
        </is>
      </c>
      <c r="B128" s="26" t="n"/>
      <c r="C128" s="26" t="n"/>
      <c r="D128" s="32" t="n"/>
    </row>
    <row r="129" ht="18" customHeight="1" s="10">
      <c r="A129" s="29" t="inlineStr">
        <is>
          <t>Current raw materials</t>
        </is>
      </c>
      <c r="B129" s="30" t="n"/>
      <c r="C129" s="30" t="n"/>
      <c r="D129" s="34" t="n"/>
    </row>
    <row r="130" ht="18" customHeight="1" s="10">
      <c r="A130" s="29" t="inlineStr">
        <is>
          <t>Current work in progress</t>
        </is>
      </c>
      <c r="B130" s="30" t="n"/>
      <c r="C130" s="30" t="n"/>
      <c r="D130" s="34" t="n"/>
    </row>
    <row r="131" ht="18" customHeight="1" s="10">
      <c r="A131" s="29" t="inlineStr">
        <is>
          <t>Current finished goods</t>
        </is>
      </c>
      <c r="B131" s="30" t="n"/>
      <c r="C131" s="30" t="n"/>
      <c r="D131" s="34" t="n"/>
    </row>
    <row r="132" ht="18" customHeight="1" s="10">
      <c r="A132" s="29" t="inlineStr">
        <is>
          <t>Current spare parts</t>
        </is>
      </c>
      <c r="B132" s="30" t="n"/>
      <c r="C132" s="30" t="n"/>
      <c r="D132" s="34" t="n"/>
    </row>
    <row r="133" ht="18" customHeight="1" s="10">
      <c r="A133" s="29" t="inlineStr">
        <is>
          <t>Other current inventories</t>
        </is>
      </c>
      <c r="B133" s="30" t="n"/>
      <c r="C133" s="30" t="n"/>
      <c r="D133" s="34" t="n"/>
    </row>
    <row r="134" ht="18" customHeight="1" s="10">
      <c r="A134" s="29" t="inlineStr">
        <is>
          <t>Inventories</t>
        </is>
      </c>
      <c r="B134" s="37">
        <f>1*B129+1*B130+1*B131+1*B132+1*B133</f>
        <v/>
      </c>
      <c r="C134" s="37">
        <f>1*C129+1*C130+1*C131+1*C132+1*C133</f>
        <v/>
      </c>
      <c r="D134" s="38" t="n"/>
    </row>
    <row r="135" ht="18" customHeight="1" s="10">
      <c r="A135" s="25" t="inlineStr">
        <is>
          <t>Derivative financial assets [abstract]</t>
        </is>
      </c>
      <c r="B135" s="26" t="n"/>
      <c r="C135" s="26" t="n"/>
      <c r="D135" s="32" t="n"/>
    </row>
    <row r="136" ht="18" customHeight="1" s="10">
      <c r="A136" s="25" t="inlineStr">
        <is>
          <t>Derivatives at fair value through profit or loss [abstract]</t>
        </is>
      </c>
      <c r="B136" s="26" t="n"/>
      <c r="C136" s="26" t="n"/>
      <c r="D136" s="32" t="n"/>
    </row>
    <row r="137" ht="18" customHeight="1" s="10">
      <c r="A137" s="29" t="inlineStr">
        <is>
          <t>Derivative financial assets forward contract</t>
        </is>
      </c>
      <c r="B137" s="30" t="n"/>
      <c r="C137" s="30" t="n"/>
      <c r="D137" s="34" t="n"/>
    </row>
    <row r="138" ht="18" customHeight="1" s="10">
      <c r="A138" s="29" t="inlineStr">
        <is>
          <t>Derivative financial assets options</t>
        </is>
      </c>
      <c r="B138" s="30" t="n"/>
      <c r="C138" s="30" t="n"/>
      <c r="D138" s="34" t="n"/>
    </row>
    <row r="139" ht="18" customHeight="1" s="10">
      <c r="A139" s="29" t="inlineStr">
        <is>
          <t>Derivative financial assets swap</t>
        </is>
      </c>
      <c r="B139" s="30" t="n"/>
      <c r="C139" s="30" t="n"/>
      <c r="D139" s="34" t="n"/>
    </row>
    <row r="140" ht="18" customHeight="1" s="10">
      <c r="A140" s="29" t="inlineStr">
        <is>
          <t>Derivative financial assets others at fair value through profit or loss</t>
        </is>
      </c>
      <c r="B140" s="30" t="n"/>
      <c r="C140" s="30" t="n"/>
      <c r="D140" s="34" t="n"/>
    </row>
    <row r="141" ht="18" customHeight="1" s="10">
      <c r="A141" s="29" t="inlineStr">
        <is>
          <t>Derivative financial assets at fair value through profit or loss</t>
        </is>
      </c>
      <c r="B141" s="30">
        <f>1*B137+1*B138+1*B139+1*B140</f>
        <v/>
      </c>
      <c r="C141" s="30">
        <f>1*C137+1*C138+1*C139+1*C140</f>
        <v/>
      </c>
      <c r="D141" s="34" t="n"/>
    </row>
    <row r="142" ht="18" customHeight="1" s="10">
      <c r="A142" s="29" t="inlineStr">
        <is>
          <t>Other derivative financial assets</t>
        </is>
      </c>
      <c r="B142" s="30" t="n"/>
      <c r="C142" s="30" t="n"/>
      <c r="D142" s="34" t="n"/>
    </row>
    <row r="143" ht="18" customHeight="1" s="10">
      <c r="A143" s="29" t="inlineStr">
        <is>
          <t>Derivative financial assets</t>
        </is>
      </c>
      <c r="B143" s="37">
        <f>1*B141+1*B142</f>
        <v/>
      </c>
      <c r="C143" s="37">
        <f>1*C141+1*C142</f>
        <v/>
      </c>
      <c r="D143" s="38" t="n"/>
    </row>
    <row r="144" ht="18" customHeight="1" s="10">
      <c r="A144" s="25" t="inlineStr">
        <is>
          <t>Cash and cash equivalents [abstract]</t>
        </is>
      </c>
      <c r="B144" s="26" t="n"/>
      <c r="C144" s="26" t="n"/>
      <c r="D144" s="32" t="n"/>
    </row>
    <row r="145" ht="18" customHeight="1" s="10">
      <c r="A145" s="25" t="inlineStr">
        <is>
          <t>Cash [abstract]</t>
        </is>
      </c>
      <c r="B145" s="26" t="n"/>
      <c r="C145" s="26" t="n"/>
      <c r="D145" s="32" t="n"/>
    </row>
    <row r="146" ht="18" customHeight="1" s="10">
      <c r="A146" s="29" t="inlineStr">
        <is>
          <t>Cash on hand</t>
        </is>
      </c>
      <c r="B146" s="30" t="n"/>
      <c r="C146" s="30" t="n"/>
      <c r="D146" s="34" t="n"/>
    </row>
    <row r="147" ht="18" customHeight="1" s="10">
      <c r="A147" s="29" t="inlineStr">
        <is>
          <t>Balances with banks</t>
        </is>
      </c>
      <c r="B147" s="30" t="n"/>
      <c r="C147" s="30" t="n"/>
      <c r="D147" s="34" t="n"/>
    </row>
    <row r="148" ht="18" customHeight="1" s="10">
      <c r="A148" s="27" t="inlineStr">
        <is>
          <t>Total cash</t>
        </is>
      </c>
      <c r="B148" s="35">
        <f>1*B146+1*B147</f>
        <v/>
      </c>
      <c r="C148" s="35">
        <f>1*C146+1*C147</f>
        <v/>
      </c>
      <c r="D148" s="36" t="n"/>
    </row>
    <row r="149" ht="18" customHeight="1" s="10">
      <c r="A149" s="25" t="inlineStr">
        <is>
          <t>Cash equivalents [abstract]</t>
        </is>
      </c>
      <c r="B149" s="26" t="n"/>
      <c r="C149" s="26" t="n"/>
      <c r="D149" s="32" t="n"/>
    </row>
    <row r="150" ht="18" customHeight="1" s="10">
      <c r="A150" s="29" t="inlineStr">
        <is>
          <t>Deposits and placements with licensed banks</t>
        </is>
      </c>
      <c r="B150" s="30" t="n"/>
      <c r="C150" s="30" t="n"/>
      <c r="D150" s="34" t="n"/>
    </row>
    <row r="151" ht="18" customHeight="1" s="10">
      <c r="A151" s="29" t="inlineStr">
        <is>
          <t>Deposit placed with other corporations</t>
        </is>
      </c>
      <c r="B151" s="30" t="n"/>
      <c r="C151" s="30" t="n"/>
      <c r="D151" s="34" t="n"/>
    </row>
    <row r="152" ht="18" customHeight="1" s="10">
      <c r="A152" s="29" t="inlineStr">
        <is>
          <t>Cash equivalents with other financial institutions</t>
        </is>
      </c>
      <c r="B152" s="30" t="n"/>
      <c r="C152" s="30" t="n"/>
      <c r="D152" s="34" t="n"/>
    </row>
    <row r="153" ht="18" customHeight="1" s="10">
      <c r="A153" s="29" t="inlineStr">
        <is>
          <t>Short-term deposits, classified as cash equivalents</t>
        </is>
      </c>
      <c r="B153" s="30" t="n"/>
      <c r="C153" s="30" t="n"/>
      <c r="D153" s="34" t="n"/>
    </row>
    <row r="154" ht="18" customHeight="1" s="10">
      <c r="A154" s="29" t="inlineStr">
        <is>
          <t>Short-term investments, classified as cash equivalents</t>
        </is>
      </c>
      <c r="B154" s="30" t="n"/>
      <c r="C154" s="30" t="n"/>
      <c r="D154" s="34" t="n"/>
    </row>
    <row r="155" ht="18" customHeight="1" s="10">
      <c r="A155" s="29" t="inlineStr">
        <is>
          <t>Other banking arrangements, classified as cash equivalents</t>
        </is>
      </c>
      <c r="B155" s="30" t="n"/>
      <c r="C155" s="30" t="n"/>
      <c r="D155" s="34" t="n"/>
    </row>
    <row r="156" ht="18" customHeight="1" s="10">
      <c r="A156" s="27" t="inlineStr">
        <is>
          <t>Total cash equivalents</t>
        </is>
      </c>
      <c r="B156" s="28">
        <f>1*B150+1*B151+1*B152+1*B153+1*B154+1*B155</f>
        <v/>
      </c>
      <c r="C156" s="28">
        <f>1*C150+1*C151+1*C152+1*C153+1*C154+1*C155</f>
        <v/>
      </c>
      <c r="D156" s="33" t="n"/>
    </row>
    <row r="157" ht="18" customHeight="1" s="10">
      <c r="A157" s="29" t="inlineStr">
        <is>
          <t>Other cash and cash equivalents</t>
        </is>
      </c>
      <c r="B157" s="30" t="n"/>
      <c r="C157" s="30" t="n"/>
      <c r="D157" s="34" t="n"/>
    </row>
    <row r="158" ht="18" customHeight="1" s="10">
      <c r="A158" s="27" t="inlineStr">
        <is>
          <t>Total Cash and bank balances</t>
        </is>
      </c>
      <c r="B158" s="35">
        <f>1*B148+1*B156+1*B157</f>
        <v/>
      </c>
      <c r="C158" s="35">
        <f>1*C148+1*C156+1*C157</f>
        <v/>
      </c>
      <c r="D158" s="36" t="n"/>
    </row>
    <row r="159" ht="18" customHeight="1" s="10">
      <c r="A159" s="25" t="inlineStr">
        <is>
          <t>Other assets [abstract]</t>
        </is>
      </c>
      <c r="B159" s="26" t="n"/>
      <c r="C159" s="26" t="n"/>
      <c r="D159" s="32" t="n"/>
    </row>
    <row r="160" ht="18" customHeight="1" s="10">
      <c r="A160" s="29" t="inlineStr">
        <is>
          <t>Prepaid rental of buildings and facilities</t>
        </is>
      </c>
      <c r="B160" s="30" t="n"/>
      <c r="C160" s="30" t="n"/>
      <c r="D160" s="34" t="n"/>
    </row>
    <row r="161" ht="18" customHeight="1" s="10">
      <c r="A161" s="29" t="inlineStr">
        <is>
          <t>Prepaid land lease</t>
        </is>
      </c>
      <c r="B161" s="30" t="n"/>
      <c r="C161" s="30" t="n"/>
      <c r="D161" s="34" t="n"/>
    </row>
    <row r="162" ht="18" customHeight="1" s="10">
      <c r="A162" s="29" t="inlineStr">
        <is>
          <t>Other assets</t>
        </is>
      </c>
      <c r="B162" s="30" t="n"/>
      <c r="C162" s="30" t="n"/>
      <c r="D162" s="34" t="n"/>
    </row>
    <row r="163" ht="18" customHeight="1" s="10">
      <c r="A163" s="29" t="inlineStr">
        <is>
          <t>Other assets</t>
        </is>
      </c>
      <c r="B163" s="37">
        <f>1*B160+1*B161+1*B162</f>
        <v/>
      </c>
      <c r="C163" s="37">
        <f>1*C160+1*C161+1*C162</f>
        <v/>
      </c>
      <c r="D163" s="38" t="n"/>
    </row>
    <row r="164" ht="18" customHeight="1" s="10">
      <c r="A164" s="25" t="inlineStr">
        <is>
          <t>Issued capital [abstract]</t>
        </is>
      </c>
      <c r="B164" s="26" t="n"/>
      <c r="C164" s="26" t="n"/>
      <c r="D164" s="32" t="n"/>
    </row>
    <row r="165" ht="18" customHeight="1" s="10">
      <c r="A165" s="29" t="inlineStr">
        <is>
          <t>Capital from ordinary shares</t>
        </is>
      </c>
      <c r="B165" s="30" t="n"/>
      <c r="C165" s="30" t="n"/>
      <c r="D165" s="34" t="n"/>
    </row>
    <row r="166" ht="18" customHeight="1" s="10">
      <c r="A166" s="29" t="inlineStr">
        <is>
          <t>Capital from redeemable preference shares</t>
        </is>
      </c>
      <c r="B166" s="30" t="n"/>
      <c r="C166" s="30" t="n"/>
      <c r="D166" s="34" t="n"/>
    </row>
    <row r="167" ht="18" customHeight="1" s="10">
      <c r="A167" s="29" t="inlineStr">
        <is>
          <t>Capital from non-redeemable preference shares</t>
        </is>
      </c>
      <c r="B167" s="30" t="n"/>
      <c r="C167" s="30" t="n"/>
      <c r="D167" s="34" t="n"/>
    </row>
    <row r="168" ht="18" customHeight="1" s="10">
      <c r="A168" s="27" t="inlineStr">
        <is>
          <t>Total issued capital</t>
        </is>
      </c>
      <c r="B168" s="35">
        <f>1*B165+1*B166+1*B167</f>
        <v/>
      </c>
      <c r="C168" s="35">
        <f>1*C165+1*C166+1*C167</f>
        <v/>
      </c>
      <c r="D168" s="36" t="n"/>
    </row>
    <row r="169" ht="18" customHeight="1" s="10">
      <c r="A169" s="25" t="inlineStr">
        <is>
          <t>Other reserves [abstract]</t>
        </is>
      </c>
      <c r="B169" s="26" t="n"/>
      <c r="C169" s="26" t="n"/>
      <c r="D169" s="32" t="n"/>
    </row>
    <row r="170" ht="18" customHeight="1" s="10">
      <c r="A170" s="25" t="inlineStr">
        <is>
          <t>Non-distributable [abstract]</t>
        </is>
      </c>
      <c r="B170" s="26" t="n"/>
      <c r="C170" s="26" t="n"/>
      <c r="D170" s="32" t="n"/>
    </row>
    <row r="171" ht="18" customHeight="1" s="10">
      <c r="A171" s="29" t="inlineStr">
        <is>
          <t>Capital reserve</t>
        </is>
      </c>
      <c r="B171" s="30" t="n"/>
      <c r="C171" s="30" t="n"/>
      <c r="D171" s="34" t="n"/>
    </row>
    <row r="172" ht="18" customHeight="1" s="10">
      <c r="A172" s="29" t="inlineStr">
        <is>
          <t>Reserve of cash flow hedges</t>
        </is>
      </c>
      <c r="B172" s="30" t="n"/>
      <c r="C172" s="30" t="n"/>
      <c r="D172" s="34" t="n"/>
    </row>
    <row r="173" ht="18" customHeight="1" s="10">
      <c r="A173" s="29" t="inlineStr">
        <is>
          <t>Reserve of exchange differences on translation</t>
        </is>
      </c>
      <c r="B173" s="30" t="n"/>
      <c r="C173" s="30" t="n"/>
      <c r="D173" s="34" t="n"/>
    </row>
    <row r="174" ht="18" customHeight="1" s="10">
      <c r="A174" s="29" t="inlineStr">
        <is>
          <t>Reserve of share-based payments</t>
        </is>
      </c>
      <c r="B174" s="30" t="n"/>
      <c r="C174" s="30" t="n"/>
      <c r="D174" s="34" t="n"/>
    </row>
    <row r="175" ht="18" customHeight="1" s="10">
      <c r="A175" s="29" t="inlineStr">
        <is>
          <t>Revaluation surplus</t>
        </is>
      </c>
      <c r="B175" s="30" t="n"/>
      <c r="C175" s="30" t="n"/>
      <c r="D175" s="34" t="n"/>
    </row>
    <row r="176" ht="18" customHeight="1" s="10">
      <c r="A176" s="29" t="inlineStr">
        <is>
          <t>Statutory reserve</t>
        </is>
      </c>
      <c r="B176" s="30" t="n"/>
      <c r="C176" s="30" t="n"/>
      <c r="D176" s="34" t="n"/>
    </row>
    <row r="177" ht="18" customHeight="1" s="10">
      <c r="A177" s="29" t="inlineStr">
        <is>
          <t>Warrant reserve</t>
        </is>
      </c>
      <c r="B177" s="30" t="n"/>
      <c r="C177" s="30" t="n"/>
      <c r="D177" s="34" t="n"/>
    </row>
    <row r="178" ht="18" customHeight="1" s="10">
      <c r="A178" s="29" t="inlineStr">
        <is>
          <t>Other non-distributable reserves</t>
        </is>
      </c>
      <c r="B178" s="30" t="n"/>
      <c r="C178" s="30" t="n"/>
      <c r="D178" s="34" t="n"/>
    </row>
    <row r="179" ht="18" customHeight="1" s="10">
      <c r="A179" s="29" t="inlineStr">
        <is>
          <t>Non-distributable other reserves</t>
        </is>
      </c>
      <c r="B179" s="37">
        <f>1*B171+1*B172+1*B173+1*B174+1*B175+1*B176+1*B177+1*B178</f>
        <v/>
      </c>
      <c r="C179" s="37">
        <f>1*C171+1*C172+1*C173+1*C174+1*C175+1*C176+1*C177+1*C178</f>
        <v/>
      </c>
      <c r="D179" s="38" t="n"/>
    </row>
    <row r="180" ht="18" customHeight="1" s="10">
      <c r="A180" s="25" t="inlineStr">
        <is>
          <t>Distributable [abstract]</t>
        </is>
      </c>
      <c r="B180" s="26" t="n"/>
      <c r="C180" s="26" t="n"/>
      <c r="D180" s="32" t="n"/>
    </row>
    <row r="181" ht="18" customHeight="1" s="10">
      <c r="A181" s="29" t="inlineStr">
        <is>
          <t>Fair value reserves</t>
        </is>
      </c>
      <c r="B181" s="30" t="n"/>
      <c r="C181" s="30" t="n"/>
      <c r="D181" s="34" t="n"/>
    </row>
    <row r="182" ht="18" customHeight="1" s="10">
      <c r="A182" s="29" t="inlineStr">
        <is>
          <t>Reserve of non-current assets classified as held for sale</t>
        </is>
      </c>
      <c r="B182" s="30" t="n"/>
      <c r="C182" s="30" t="n"/>
      <c r="D182" s="34" t="n"/>
    </row>
    <row r="183" ht="18" customHeight="1" s="10">
      <c r="A183" s="29" t="inlineStr">
        <is>
          <t>Consolidation reserve</t>
        </is>
      </c>
      <c r="B183" s="30" t="n"/>
      <c r="C183" s="30" t="n"/>
      <c r="D183" s="34" t="n"/>
    </row>
    <row r="184" ht="18" customHeight="1" s="10">
      <c r="A184" s="29" t="inlineStr">
        <is>
          <t>Warranty reserve</t>
        </is>
      </c>
      <c r="B184" s="30" t="n"/>
      <c r="C184" s="30" t="n"/>
      <c r="D184" s="34" t="n"/>
    </row>
    <row r="185" ht="18" customHeight="1" s="10">
      <c r="A185" s="29" t="inlineStr">
        <is>
          <t>Other distributable reserves</t>
        </is>
      </c>
      <c r="B185" s="30" t="n"/>
      <c r="C185" s="30" t="n"/>
      <c r="D185" s="34" t="n"/>
    </row>
    <row r="186" ht="18" customHeight="1" s="10">
      <c r="A186" s="29" t="inlineStr">
        <is>
          <t>Distributable reserves</t>
        </is>
      </c>
      <c r="B186" s="30">
        <f>1*B181+1*B182+1*B183+1*B184+1*B185</f>
        <v/>
      </c>
      <c r="C186" s="30">
        <f>1*C181+1*C182+1*C183+1*C184+1*C185</f>
        <v/>
      </c>
      <c r="D186" s="34" t="n"/>
    </row>
    <row r="187" ht="18" customHeight="1" s="10">
      <c r="A187" s="27" t="inlineStr">
        <is>
          <t>Total other reserves</t>
        </is>
      </c>
      <c r="B187" s="35">
        <f>1*B179+1*B186</f>
        <v/>
      </c>
      <c r="C187" s="35">
        <f>1*C179+1*C186</f>
        <v/>
      </c>
      <c r="D187" s="36" t="n"/>
    </row>
    <row r="188" ht="18" customHeight="1" s="10">
      <c r="A188" s="25" t="inlineStr">
        <is>
          <t>Other components of equity [abstract]</t>
        </is>
      </c>
      <c r="B188" s="26" t="n"/>
      <c r="C188" s="26" t="n"/>
      <c r="D188" s="32" t="n"/>
    </row>
    <row r="189" ht="18" customHeight="1" s="10">
      <c r="A189" s="29" t="inlineStr">
        <is>
          <t>Perpetual sukuk</t>
        </is>
      </c>
      <c r="B189" s="30" t="n"/>
      <c r="C189" s="30" t="n"/>
      <c r="D189" s="34" t="n"/>
    </row>
    <row r="190" ht="18" customHeight="1" s="10">
      <c r="A190" s="29" t="inlineStr">
        <is>
          <t>Equity component of Irredeemable Convertible Unsecured Loan Stocks (ICULS)</t>
        </is>
      </c>
      <c r="B190" s="30" t="n"/>
      <c r="C190" s="30" t="n"/>
      <c r="D190" s="34" t="n"/>
    </row>
    <row r="191" ht="18" customHeight="1" s="10">
      <c r="A191" s="29" t="inlineStr">
        <is>
          <t>Equity component of preference shares</t>
        </is>
      </c>
      <c r="B191" s="30" t="n"/>
      <c r="C191" s="30" t="n"/>
      <c r="D191" s="34" t="n"/>
    </row>
    <row r="192" ht="18" customHeight="1" s="10">
      <c r="A192" s="29" t="inlineStr">
        <is>
          <t>Head office accounts</t>
        </is>
      </c>
      <c r="B192" s="30" t="n"/>
      <c r="C192" s="30" t="n"/>
      <c r="D192" s="34" t="n"/>
    </row>
    <row r="193" ht="18" customHeight="1" s="10">
      <c r="A193" s="29" t="inlineStr">
        <is>
          <t>Equity components of other financial instruments</t>
        </is>
      </c>
      <c r="B193" s="30" t="n"/>
      <c r="C193" s="30" t="n"/>
      <c r="D193" s="34" t="n"/>
    </row>
    <row r="194" ht="18" customHeight="1" s="10">
      <c r="A194" s="29" t="inlineStr">
        <is>
          <t>Other components of equity</t>
        </is>
      </c>
      <c r="B194" s="37">
        <f>1*B189+1*B190+1*B191+1*B192+1*B193</f>
        <v/>
      </c>
      <c r="C194" s="37">
        <f>1*C189+1*C190+1*C191+1*C192+1*C193</f>
        <v/>
      </c>
      <c r="D194" s="38" t="n"/>
    </row>
    <row r="195" ht="18" customHeight="1" s="10">
      <c r="A195" s="25" t="inlineStr">
        <is>
          <t>Borrowings [abstract]</t>
        </is>
      </c>
      <c r="B195" s="26" t="n"/>
      <c r="C195" s="26" t="n"/>
      <c r="D195" s="32" t="n"/>
    </row>
    <row r="196" ht="18" customHeight="1" s="10">
      <c r="A196" s="25" t="inlineStr">
        <is>
          <t>Secured bank loans received [abstract]</t>
        </is>
      </c>
      <c r="B196" s="26" t="n"/>
      <c r="C196" s="26" t="n"/>
      <c r="D196" s="32" t="n"/>
    </row>
    <row r="197" ht="18" customHeight="1" s="10">
      <c r="A197" s="29" t="inlineStr">
        <is>
          <t>Secured term loans</t>
        </is>
      </c>
      <c r="B197" s="30" t="n"/>
      <c r="C197" s="30" t="n"/>
      <c r="D197" s="34" t="n"/>
    </row>
    <row r="198" ht="18" customHeight="1" s="10">
      <c r="A198" s="29" t="inlineStr">
        <is>
          <t>Secured islamic financing facilities</t>
        </is>
      </c>
      <c r="B198" s="30" t="n"/>
      <c r="C198" s="30" t="n"/>
      <c r="D198" s="34" t="n"/>
    </row>
    <row r="199" ht="18" customHeight="1" s="10">
      <c r="A199" s="29" t="inlineStr">
        <is>
          <t>Secured hire purchase and finance lease liabilities</t>
        </is>
      </c>
      <c r="B199" s="30" t="n"/>
      <c r="C199" s="30" t="n"/>
      <c r="D199" s="34" t="n"/>
    </row>
    <row r="200" ht="18" customHeight="1" s="10">
      <c r="A200" s="29" t="inlineStr">
        <is>
          <t>Secured islamic medium term notes</t>
        </is>
      </c>
      <c r="B200" s="30" t="n"/>
      <c r="C200" s="30" t="n"/>
      <c r="D200" s="34" t="n"/>
    </row>
    <row r="201" ht="18" customHeight="1" s="10">
      <c r="A201" s="29" t="inlineStr">
        <is>
          <t>Secured sukuk</t>
        </is>
      </c>
      <c r="B201" s="30" t="n"/>
      <c r="C201" s="30" t="n"/>
      <c r="D201" s="34" t="n"/>
    </row>
    <row r="202" ht="18" customHeight="1" s="10">
      <c r="A202" s="29" t="inlineStr">
        <is>
          <t>Secured revolving credit and others</t>
        </is>
      </c>
      <c r="B202" s="30" t="n"/>
      <c r="C202" s="30" t="n"/>
      <c r="D202" s="34" t="n"/>
    </row>
    <row r="203" ht="18" customHeight="1" s="10">
      <c r="A203" s="29" t="inlineStr">
        <is>
          <t>Secured bankers' acceptance</t>
        </is>
      </c>
      <c r="B203" s="30" t="n"/>
      <c r="C203" s="30" t="n"/>
      <c r="D203" s="34" t="n"/>
    </row>
    <row r="204" ht="18" customHeight="1" s="10">
      <c r="A204" s="29" t="inlineStr">
        <is>
          <t>Secured bank overdrafts</t>
        </is>
      </c>
      <c r="B204" s="30" t="n"/>
      <c r="C204" s="30" t="n"/>
      <c r="D204" s="34" t="n"/>
    </row>
    <row r="205" ht="18" customHeight="1" s="10">
      <c r="A205" s="29" t="inlineStr">
        <is>
          <t>Secured trade financing facilities</t>
        </is>
      </c>
      <c r="B205" s="30" t="n"/>
      <c r="C205" s="30" t="n"/>
      <c r="D205" s="34" t="n"/>
    </row>
    <row r="206" ht="18" customHeight="1" s="10">
      <c r="A206" s="29" t="inlineStr">
        <is>
          <t>Other secured bank loans received</t>
        </is>
      </c>
      <c r="B206" s="30" t="n"/>
      <c r="C206" s="30" t="n"/>
      <c r="D206" s="34" t="n"/>
    </row>
    <row r="207" ht="18" customHeight="1" s="10">
      <c r="A207" s="29" t="inlineStr">
        <is>
          <t>Secured bank loans received</t>
        </is>
      </c>
      <c r="B207" s="37">
        <f>1*B197+1*B198+1*B199+1*B200+1*B201+1*B202+1*B203+1*B204+1*B205+1*B206</f>
        <v/>
      </c>
      <c r="C207" s="37">
        <f>1*C197+1*C198+1*C199+1*C200+1*C201+1*C202+1*C203+1*C204+1*C205+1*C206</f>
        <v/>
      </c>
      <c r="D207" s="38" t="n"/>
    </row>
    <row r="208" ht="18" customHeight="1" s="10">
      <c r="A208" s="25" t="inlineStr">
        <is>
          <t>Unsecured bank loans received [abstract]</t>
        </is>
      </c>
      <c r="B208" s="26" t="n"/>
      <c r="C208" s="26" t="n"/>
      <c r="D208" s="32" t="n"/>
    </row>
    <row r="209" ht="18" customHeight="1" s="10">
      <c r="A209" s="29" t="inlineStr">
        <is>
          <t>Unsecured block discounting payables</t>
        </is>
      </c>
      <c r="B209" s="30" t="n"/>
      <c r="C209" s="30" t="n"/>
      <c r="D209" s="34" t="n"/>
    </row>
    <row r="210" ht="18" customHeight="1" s="10">
      <c r="A210" s="29" t="inlineStr">
        <is>
          <t>Unsecured term loans</t>
        </is>
      </c>
      <c r="B210" s="30" t="n"/>
      <c r="C210" s="30" t="n"/>
      <c r="D210" s="34" t="n"/>
    </row>
    <row r="211" ht="18" customHeight="1" s="10">
      <c r="A211" s="29" t="inlineStr">
        <is>
          <t>Unsecured irredeemable Convertible Unsecured Loan Stocks (ICULS)</t>
        </is>
      </c>
      <c r="B211" s="30" t="n"/>
      <c r="C211" s="30" t="n"/>
      <c r="D211" s="34" t="n"/>
    </row>
    <row r="212" ht="18" customHeight="1" s="10">
      <c r="A212" s="29" t="inlineStr">
        <is>
          <t>Unsecured islamic financing facilities</t>
        </is>
      </c>
      <c r="B212" s="30" t="n"/>
      <c r="C212" s="30" t="n"/>
      <c r="D212" s="34" t="n"/>
    </row>
    <row r="213" ht="18" customHeight="1" s="10">
      <c r="A213" s="29" t="inlineStr">
        <is>
          <t>Unsecured hire purchase and finance lease liabilities</t>
        </is>
      </c>
      <c r="B213" s="30" t="n"/>
      <c r="C213" s="30" t="n"/>
      <c r="D213" s="34" t="n"/>
    </row>
    <row r="214" ht="18" customHeight="1" s="10">
      <c r="A214" s="29" t="inlineStr">
        <is>
          <t>Unsecured islamic medium term notes</t>
        </is>
      </c>
      <c r="B214" s="30" t="n"/>
      <c r="C214" s="30" t="n"/>
      <c r="D214" s="34" t="n"/>
    </row>
    <row r="215" ht="18" customHeight="1" s="10">
      <c r="A215" s="29" t="inlineStr">
        <is>
          <t>Unsecured sukuk</t>
        </is>
      </c>
      <c r="B215" s="30" t="n"/>
      <c r="C215" s="30" t="n"/>
      <c r="D215" s="34" t="n"/>
    </row>
    <row r="216" ht="18" customHeight="1" s="10">
      <c r="A216" s="29" t="inlineStr">
        <is>
          <t>Unsecured revolving credit and others</t>
        </is>
      </c>
      <c r="B216" s="30" t="n"/>
      <c r="C216" s="30" t="n"/>
      <c r="D216" s="34" t="n"/>
    </row>
    <row r="217" ht="18" customHeight="1" s="10">
      <c r="A217" s="29" t="inlineStr">
        <is>
          <t>Unsecured other unsecured bank loans received</t>
        </is>
      </c>
      <c r="B217" s="30" t="n"/>
      <c r="C217" s="30" t="n"/>
      <c r="D217" s="34" t="n"/>
    </row>
    <row r="218" ht="18" customHeight="1" s="10">
      <c r="A218" s="29" t="inlineStr">
        <is>
          <t>Unsecured bank loans received</t>
        </is>
      </c>
      <c r="B218" s="37">
        <f>1*B209+1*B210+1*B211+1*B212+1*B213+1*B214+1*B215+1*B216+1*B217</f>
        <v/>
      </c>
      <c r="C218" s="37">
        <f>1*C209+1*C210+1*C211+1*C212+1*C213+1*C214+1*C215+1*C216+1*C217</f>
        <v/>
      </c>
      <c r="D218" s="38" t="n"/>
    </row>
    <row r="219" ht="18" customHeight="1" s="10">
      <c r="A219" s="25" t="inlineStr">
        <is>
          <t>Secured bonds/sukuk/loan stock [abstract]</t>
        </is>
      </c>
      <c r="B219" s="26" t="n"/>
      <c r="C219" s="26" t="n"/>
      <c r="D219" s="32" t="n"/>
    </row>
    <row r="220" ht="18" customHeight="1" s="10">
      <c r="A220" s="29" t="inlineStr">
        <is>
          <t>Secured bonds</t>
        </is>
      </c>
      <c r="B220" s="30" t="n"/>
      <c r="C220" s="30" t="n"/>
      <c r="D220" s="34" t="n"/>
    </row>
    <row r="221" ht="18" customHeight="1" s="10">
      <c r="A221" s="29" t="inlineStr">
        <is>
          <t>Secured sukuk</t>
        </is>
      </c>
      <c r="B221" s="30" t="n"/>
      <c r="C221" s="30" t="n"/>
      <c r="D221" s="34" t="n"/>
    </row>
    <row r="222" ht="18" customHeight="1" s="10">
      <c r="A222" s="29" t="inlineStr">
        <is>
          <t>Secured medium term notes</t>
        </is>
      </c>
      <c r="B222" s="30" t="n"/>
      <c r="C222" s="30" t="n"/>
      <c r="D222" s="34" t="n"/>
    </row>
    <row r="223" ht="18" customHeight="1" s="10">
      <c r="A223" s="29" t="inlineStr">
        <is>
          <t>Secured loan stocks</t>
        </is>
      </c>
      <c r="B223" s="30" t="n"/>
      <c r="C223" s="30" t="n"/>
      <c r="D223" s="34" t="n"/>
    </row>
    <row r="224" ht="18" customHeight="1" s="10">
      <c r="A224" s="29" t="inlineStr">
        <is>
          <t>Secured preference shares</t>
        </is>
      </c>
      <c r="B224" s="30" t="n"/>
      <c r="C224" s="30" t="n"/>
      <c r="D224" s="34" t="n"/>
    </row>
    <row r="225" ht="18" customHeight="1" s="10">
      <c r="A225" s="29" t="inlineStr">
        <is>
          <t>Secured bonds/sukuk/loan stock</t>
        </is>
      </c>
      <c r="B225" s="37">
        <f>1*B220+1*B221+1*B222+1*B223+1*B224</f>
        <v/>
      </c>
      <c r="C225" s="37">
        <f>1*C220+1*C221+1*C222+1*C223+1*C224</f>
        <v/>
      </c>
      <c r="D225" s="38" t="n"/>
    </row>
    <row r="226" ht="18" customHeight="1" s="10">
      <c r="A226" s="25" t="inlineStr">
        <is>
          <t>Unsecured bonds/sukuk/loan stock [abstract]</t>
        </is>
      </c>
      <c r="B226" s="26" t="n"/>
      <c r="C226" s="26" t="n"/>
      <c r="D226" s="32" t="n"/>
    </row>
    <row r="227" ht="18" customHeight="1" s="10">
      <c r="A227" s="29" t="inlineStr">
        <is>
          <t>Unsecured bonds</t>
        </is>
      </c>
      <c r="B227" s="30" t="n"/>
      <c r="C227" s="30" t="n"/>
      <c r="D227" s="34" t="n"/>
    </row>
    <row r="228" ht="18" customHeight="1" s="10">
      <c r="A228" s="29" t="inlineStr">
        <is>
          <t>Unsecured sukuk</t>
        </is>
      </c>
      <c r="B228" s="30" t="n"/>
      <c r="C228" s="30" t="n"/>
      <c r="D228" s="34" t="n"/>
    </row>
    <row r="229" ht="18" customHeight="1" s="10">
      <c r="A229" s="29" t="inlineStr">
        <is>
          <t>Unsecured medium term notes</t>
        </is>
      </c>
      <c r="B229" s="30" t="n"/>
      <c r="C229" s="30" t="n"/>
      <c r="D229" s="34" t="n"/>
    </row>
    <row r="230" ht="18" customHeight="1" s="10">
      <c r="A230" s="29" t="inlineStr">
        <is>
          <t>Unsecured loan stocks</t>
        </is>
      </c>
      <c r="B230" s="30" t="n"/>
      <c r="C230" s="30" t="n"/>
      <c r="D230" s="34" t="n"/>
    </row>
    <row r="231" ht="18" customHeight="1" s="10">
      <c r="A231" s="29" t="inlineStr">
        <is>
          <t>Unsecured preference shares</t>
        </is>
      </c>
      <c r="B231" s="30" t="n"/>
      <c r="C231" s="30" t="n"/>
      <c r="D231" s="34" t="n"/>
    </row>
    <row r="232" ht="18" customHeight="1" s="10">
      <c r="A232" s="29" t="inlineStr">
        <is>
          <t>Unsecured bonds/sukuk/loan stock</t>
        </is>
      </c>
      <c r="B232" s="37">
        <f>1*B227+1*B228+1*B229+1*B230+1*B231</f>
        <v/>
      </c>
      <c r="C232" s="37">
        <f>1*C227+1*C228+1*C229+1*C230+1*C231</f>
        <v/>
      </c>
      <c r="D232" s="38" t="n"/>
    </row>
    <row r="233" ht="18" customHeight="1" s="10">
      <c r="A233" s="25" t="inlineStr">
        <is>
          <t>Other borrowings [abstract]</t>
        </is>
      </c>
      <c r="B233" s="26" t="n"/>
      <c r="C233" s="26" t="n"/>
      <c r="D233" s="32" t="n"/>
    </row>
    <row r="234" ht="18" customHeight="1" s="10">
      <c r="A234" s="29" t="inlineStr">
        <is>
          <t>Other borrowings trade loans</t>
        </is>
      </c>
      <c r="B234" s="30" t="n"/>
      <c r="C234" s="30" t="n"/>
      <c r="D234" s="34" t="n"/>
    </row>
    <row r="235" ht="18" customHeight="1" s="10">
      <c r="A235" s="29" t="inlineStr">
        <is>
          <t>Other borrowings loan from subsidiaries</t>
        </is>
      </c>
      <c r="B235" s="30" t="n"/>
      <c r="C235" s="30" t="n"/>
      <c r="D235" s="34" t="n"/>
    </row>
    <row r="236" ht="18" customHeight="1" s="10">
      <c r="A236" s="29" t="inlineStr">
        <is>
          <t>Other borrowings loan from associates</t>
        </is>
      </c>
      <c r="B236" s="30" t="n"/>
      <c r="C236" s="30" t="n"/>
      <c r="D236" s="34" t="n"/>
    </row>
    <row r="237" ht="18" customHeight="1" s="10">
      <c r="A237" s="29" t="inlineStr">
        <is>
          <t>Other borrowings loan from joint venture</t>
        </is>
      </c>
      <c r="B237" s="30" t="n"/>
      <c r="C237" s="30" t="n"/>
      <c r="D237" s="34" t="n"/>
    </row>
    <row r="238" ht="18" customHeight="1" s="10">
      <c r="A238" s="29" t="inlineStr">
        <is>
          <t>Other borrowings redeemable preference shares</t>
        </is>
      </c>
      <c r="B238" s="30" t="n"/>
      <c r="C238" s="30" t="n"/>
      <c r="D238" s="34" t="n"/>
    </row>
    <row r="239" ht="18" customHeight="1" s="10">
      <c r="A239" s="29" t="inlineStr">
        <is>
          <t>Other miscellaneous borrowings</t>
        </is>
      </c>
      <c r="B239" s="30" t="n"/>
      <c r="C239" s="30" t="n"/>
      <c r="D239" s="34" t="n"/>
    </row>
    <row r="240" ht="18" customHeight="1" s="10">
      <c r="A240" s="29" t="inlineStr">
        <is>
          <t>Other borrowings</t>
        </is>
      </c>
      <c r="B240" s="30">
        <f>1*B234+1*B235+1*B236+1*B237+1*B238+1*B239</f>
        <v/>
      </c>
      <c r="C240" s="30">
        <f>1*C234+1*C235+1*C236+1*C237+1*C238+1*C239</f>
        <v/>
      </c>
      <c r="D240" s="34" t="n"/>
    </row>
    <row r="241" ht="18" customHeight="1" s="10">
      <c r="A241" s="27" t="inlineStr">
        <is>
          <t>Total borrowings</t>
        </is>
      </c>
      <c r="B241" s="35">
        <f>1*B207+1*B218+1*B225+1*B232+1*B240</f>
        <v/>
      </c>
      <c r="C241" s="35">
        <f>1*C207+1*C218+1*C225+1*C232+1*C240</f>
        <v/>
      </c>
      <c r="D241" s="36" t="n"/>
    </row>
    <row r="242" ht="18" customHeight="1" s="10">
      <c r="A242" s="25" t="inlineStr">
        <is>
          <t>Employee benefit liabilities [abstract]</t>
        </is>
      </c>
      <c r="B242" s="26" t="n"/>
      <c r="C242" s="26" t="n"/>
      <c r="D242" s="32" t="n"/>
    </row>
    <row r="243" ht="18" customHeight="1" s="10">
      <c r="A243" s="29" t="inlineStr">
        <is>
          <t>Cash-settled share-based payment liability</t>
        </is>
      </c>
      <c r="B243" s="30" t="n"/>
      <c r="C243" s="30" t="n"/>
      <c r="D243" s="34" t="n"/>
    </row>
    <row r="244" ht="18" customHeight="1" s="10">
      <c r="A244" s="29" t="inlineStr">
        <is>
          <t>Retirement benefits</t>
        </is>
      </c>
      <c r="B244" s="30" t="n"/>
      <c r="C244" s="30" t="n"/>
      <c r="D244" s="34" t="n"/>
    </row>
    <row r="245" ht="18" customHeight="1" s="10">
      <c r="A245" s="29" t="inlineStr">
        <is>
          <t>Employment termination benefits</t>
        </is>
      </c>
      <c r="B245" s="30" t="n"/>
      <c r="C245" s="30" t="n"/>
      <c r="D245" s="34" t="n"/>
    </row>
    <row r="246" ht="18" customHeight="1" s="10">
      <c r="A246" s="29" t="inlineStr">
        <is>
          <t>Provision for unconsumed leave</t>
        </is>
      </c>
      <c r="B246" s="30" t="n"/>
      <c r="C246" s="30" t="n"/>
      <c r="D246" s="34" t="n"/>
    </row>
    <row r="247" ht="18" customHeight="1" s="10">
      <c r="A247" s="29" t="inlineStr">
        <is>
          <t>Defined contribution plan</t>
        </is>
      </c>
      <c r="B247" s="30" t="n"/>
      <c r="C247" s="30" t="n"/>
      <c r="D247" s="34" t="n"/>
    </row>
    <row r="248" ht="18" customHeight="1" s="10">
      <c r="A248" s="29" t="inlineStr">
        <is>
          <t>Defined benefit plan</t>
        </is>
      </c>
      <c r="B248" s="30" t="n"/>
      <c r="C248" s="30" t="n"/>
      <c r="D248" s="34" t="n"/>
    </row>
    <row r="249" ht="18" customHeight="1" s="10">
      <c r="A249" s="29" t="inlineStr">
        <is>
          <t>Other employee benefit liabilities</t>
        </is>
      </c>
      <c r="B249" s="30" t="n"/>
      <c r="C249" s="30" t="n"/>
      <c r="D249" s="34" t="n"/>
    </row>
    <row r="250" ht="18" customHeight="1" s="10">
      <c r="A250" s="29" t="inlineStr">
        <is>
          <t>Provisions for employee benefits</t>
        </is>
      </c>
      <c r="B250" s="37">
        <f>1*B243+1*B244+1*B245+1*B246+1*B247+1*B248+1*B249</f>
        <v/>
      </c>
      <c r="C250" s="37">
        <f>1*C243+1*C244+1*C245+1*C246+1*C247+1*C248+1*C249</f>
        <v/>
      </c>
      <c r="D250" s="38" t="n"/>
    </row>
    <row r="251" ht="18" customHeight="1" s="10">
      <c r="A251" s="25" t="inlineStr">
        <is>
          <t>Provisions [abstract]</t>
        </is>
      </c>
      <c r="B251" s="26" t="n"/>
      <c r="C251" s="26" t="n"/>
      <c r="D251" s="32" t="n"/>
    </row>
    <row r="252" ht="18" customHeight="1" s="10">
      <c r="A252" s="27" t="inlineStr">
        <is>
          <t>Total warranty provision</t>
        </is>
      </c>
      <c r="B252" s="28" t="n"/>
      <c r="C252" s="28" t="n"/>
      <c r="D252" s="33" t="n"/>
    </row>
    <row r="253" ht="18" customHeight="1" s="10">
      <c r="A253" s="27" t="inlineStr">
        <is>
          <t>Total restructuring provision</t>
        </is>
      </c>
      <c r="B253" s="28" t="n"/>
      <c r="C253" s="28" t="n"/>
      <c r="D253" s="33" t="n"/>
    </row>
    <row r="254" ht="18" customHeight="1" s="10">
      <c r="A254" s="27" t="inlineStr">
        <is>
          <t>Total legal proceedings provision</t>
        </is>
      </c>
      <c r="B254" s="28" t="n"/>
      <c r="C254" s="28" t="n"/>
      <c r="D254" s="33" t="n"/>
    </row>
    <row r="255" ht="18" customHeight="1" s="10">
      <c r="A255" s="27" t="inlineStr">
        <is>
          <t>Total refunds provision</t>
        </is>
      </c>
      <c r="B255" s="28" t="n"/>
      <c r="C255" s="28" t="n"/>
      <c r="D255" s="33" t="n"/>
    </row>
    <row r="256" ht="18" customHeight="1" s="10">
      <c r="A256" s="27" t="inlineStr">
        <is>
          <t>Total onerous contracts provision</t>
        </is>
      </c>
      <c r="B256" s="28" t="n"/>
      <c r="C256" s="28" t="n"/>
      <c r="D256" s="33" t="n"/>
    </row>
    <row r="257" ht="18" customHeight="1" s="10">
      <c r="A257" s="27" t="inlineStr">
        <is>
          <t>Total provision for decommissioning, restoration and rehabilitation costs</t>
        </is>
      </c>
      <c r="B257" s="28" t="n"/>
      <c r="C257" s="28" t="n"/>
      <c r="D257" s="33" t="n"/>
    </row>
    <row r="258" ht="18" customHeight="1" s="10">
      <c r="A258" s="27" t="inlineStr">
        <is>
          <t>Total other provisions</t>
        </is>
      </c>
      <c r="B258" s="28" t="n"/>
      <c r="C258" s="28" t="n"/>
      <c r="D258" s="33" t="n"/>
    </row>
    <row r="259" ht="18" customHeight="1" s="10">
      <c r="A259" s="27" t="inlineStr">
        <is>
          <t>Total provisions</t>
        </is>
      </c>
      <c r="B259" s="35">
        <f>1*B252+1*B253+1*B254+1*B255+1*B256+1*B257+1*B258</f>
        <v/>
      </c>
      <c r="C259" s="35">
        <f>1*C252+1*C253+1*C254+1*C255+1*C256+1*C257+1*C258</f>
        <v/>
      </c>
      <c r="D259" s="36" t="n"/>
    </row>
    <row r="260" ht="18" customHeight="1" s="10">
      <c r="A260" s="25" t="inlineStr">
        <is>
          <t>Trade and other payables [abstract]</t>
        </is>
      </c>
      <c r="B260" s="26" t="n"/>
      <c r="C260" s="26" t="n"/>
      <c r="D260" s="32" t="n"/>
    </row>
    <row r="261" ht="18" customHeight="1" s="10">
      <c r="A261" s="25" t="inlineStr">
        <is>
          <t>Trade payables [abstract]</t>
        </is>
      </c>
      <c r="B261" s="26" t="n"/>
      <c r="C261" s="26" t="n"/>
      <c r="D261" s="32" t="n"/>
    </row>
    <row r="262" ht="18" customHeight="1" s="10">
      <c r="A262" s="29" t="inlineStr">
        <is>
          <t>Trade payables due to customers</t>
        </is>
      </c>
      <c r="B262" s="30" t="n"/>
      <c r="C262" s="30" t="n"/>
      <c r="D262" s="34" t="n"/>
    </row>
    <row r="263" ht="18" customHeight="1" s="10">
      <c r="A263" s="29" t="inlineStr">
        <is>
          <t>Trade payable due to contract suppliers</t>
        </is>
      </c>
      <c r="B263" s="30" t="n"/>
      <c r="C263" s="30" t="n"/>
      <c r="D263" s="34" t="n"/>
    </row>
    <row r="264" ht="18" customHeight="1" s="10">
      <c r="A264" s="29" t="inlineStr">
        <is>
          <t>Trade payables due to holding company</t>
        </is>
      </c>
      <c r="B264" s="30" t="n"/>
      <c r="C264" s="30" t="n"/>
      <c r="D264" s="34" t="n"/>
    </row>
    <row r="265" ht="18" customHeight="1" s="10">
      <c r="A265" s="29" t="inlineStr">
        <is>
          <t>Trade payables due to subsidiaries</t>
        </is>
      </c>
      <c r="B265" s="30" t="n"/>
      <c r="C265" s="30" t="n"/>
      <c r="D265" s="34" t="n"/>
    </row>
    <row r="266" ht="18" customHeight="1" s="10">
      <c r="A266" s="29" t="inlineStr">
        <is>
          <t>Trade payables due to associates</t>
        </is>
      </c>
      <c r="B266" s="30" t="n"/>
      <c r="C266" s="30" t="n"/>
      <c r="D266" s="34" t="n"/>
    </row>
    <row r="267" ht="18" customHeight="1" s="10">
      <c r="A267" s="29" t="inlineStr">
        <is>
          <t>Trade payables due to joint ventures</t>
        </is>
      </c>
      <c r="B267" s="30" t="n"/>
      <c r="C267" s="30" t="n"/>
      <c r="D267" s="34" t="n"/>
    </row>
    <row r="268" ht="18" customHeight="1" s="10">
      <c r="A268" s="29" t="inlineStr">
        <is>
          <t>Trade payables due to other related parties</t>
        </is>
      </c>
      <c r="B268" s="30" t="n"/>
      <c r="C268" s="30" t="n"/>
      <c r="D268" s="34" t="n"/>
    </row>
    <row r="269" ht="18" customHeight="1" s="10">
      <c r="A269" s="29" t="inlineStr">
        <is>
          <t>Other trade payables</t>
        </is>
      </c>
      <c r="B269" s="30" t="n"/>
      <c r="C269" s="30" t="n"/>
      <c r="D269" s="34" t="n"/>
    </row>
    <row r="270" ht="18" customHeight="1" s="10">
      <c r="A270" s="29" t="inlineStr">
        <is>
          <t>Trade payables</t>
        </is>
      </c>
      <c r="B270" s="37">
        <f>1*B262+1*B263+1*B264+1*B265+1*B266+1*B267+1*B268+1*B269</f>
        <v/>
      </c>
      <c r="C270" s="37">
        <f>1*C262+1*C263+1*C264+1*C265+1*C266+1*C267+1*C268+1*C269</f>
        <v/>
      </c>
      <c r="D270" s="38" t="n"/>
    </row>
    <row r="271" ht="18" customHeight="1" s="10">
      <c r="A271" s="25" t="inlineStr">
        <is>
          <t>Other payables [abstract]</t>
        </is>
      </c>
      <c r="B271" s="26" t="n"/>
      <c r="C271" s="26" t="n"/>
      <c r="D271" s="32" t="n"/>
    </row>
    <row r="272" ht="18" customHeight="1" s="10">
      <c r="A272" s="25" t="inlineStr">
        <is>
          <t>Other payables due to related parties [abstract]</t>
        </is>
      </c>
      <c r="B272" s="26" t="n"/>
      <c r="C272" s="26" t="n"/>
      <c r="D272" s="32" t="n"/>
    </row>
    <row r="273" ht="18" customHeight="1" s="10">
      <c r="A273" s="29" t="inlineStr">
        <is>
          <t>Other payables due to holding company</t>
        </is>
      </c>
      <c r="B273" s="30" t="n"/>
      <c r="C273" s="30" t="n"/>
      <c r="D273" s="34" t="n"/>
    </row>
    <row r="274" ht="18" customHeight="1" s="10">
      <c r="A274" s="29" t="inlineStr">
        <is>
          <t>Other payables due to subsidiaries</t>
        </is>
      </c>
      <c r="B274" s="30" t="n"/>
      <c r="C274" s="30" t="n"/>
      <c r="D274" s="34" t="n"/>
    </row>
    <row r="275" ht="18" customHeight="1" s="10">
      <c r="A275" s="29" t="inlineStr">
        <is>
          <t>Other payables due to associates</t>
        </is>
      </c>
      <c r="B275" s="30" t="n"/>
      <c r="C275" s="30" t="n"/>
      <c r="D275" s="34" t="n"/>
    </row>
    <row r="276" ht="18" customHeight="1" s="10">
      <c r="A276" s="29" t="inlineStr">
        <is>
          <t>Other payables due to joint ventures</t>
        </is>
      </c>
      <c r="B276" s="30" t="n"/>
      <c r="C276" s="30" t="n"/>
      <c r="D276" s="34" t="n"/>
    </row>
    <row r="277" ht="18" customHeight="1" s="10">
      <c r="A277" s="29" t="inlineStr">
        <is>
          <t>Other payables due to other related parties</t>
        </is>
      </c>
      <c r="B277" s="30" t="n"/>
      <c r="C277" s="30" t="n"/>
      <c r="D277" s="34" t="n"/>
    </row>
    <row r="278" ht="18" customHeight="1" s="10">
      <c r="A278" s="29" t="inlineStr">
        <is>
          <t>Other payables due to related parties</t>
        </is>
      </c>
      <c r="B278" s="37">
        <f>1*B273+1*B274+1*B275+1*B276+1*B277</f>
        <v/>
      </c>
      <c r="C278" s="37">
        <f>1*C273+1*C274+1*C275+1*C276+1*C277</f>
        <v/>
      </c>
      <c r="D278" s="38" t="n"/>
    </row>
    <row r="279" ht="18" customHeight="1" s="10">
      <c r="A279" s="25" t="inlineStr">
        <is>
          <t>Other payables due to non-controlling interests [abstract]</t>
        </is>
      </c>
      <c r="B279" s="26" t="n"/>
      <c r="C279" s="26" t="n"/>
      <c r="D279" s="32" t="n"/>
    </row>
    <row r="280" ht="18" customHeight="1" s="10">
      <c r="A280" s="29" t="inlineStr">
        <is>
          <t>Dividend payable to non-controlling interest</t>
        </is>
      </c>
      <c r="B280" s="30" t="n"/>
      <c r="C280" s="30" t="n"/>
      <c r="D280" s="34" t="n"/>
    </row>
    <row r="281" ht="18" customHeight="1" s="10">
      <c r="A281" s="29" t="inlineStr">
        <is>
          <t>Loans from non-controlling interest</t>
        </is>
      </c>
      <c r="B281" s="30" t="n"/>
      <c r="C281" s="30" t="n"/>
      <c r="D281" s="34" t="n"/>
    </row>
    <row r="282" ht="18" customHeight="1" s="10">
      <c r="A282" s="29" t="inlineStr">
        <is>
          <t>Miscellaneous payables due to non-controlling interests</t>
        </is>
      </c>
      <c r="B282" s="30" t="n"/>
      <c r="C282" s="30" t="n"/>
      <c r="D282" s="34" t="n"/>
    </row>
    <row r="283" ht="18" customHeight="1" s="10">
      <c r="A283" s="29" t="inlineStr">
        <is>
          <t>Other payables due to non-controlling interest</t>
        </is>
      </c>
      <c r="B283" s="37">
        <f>1*B280+1*B281+1*B282</f>
        <v/>
      </c>
      <c r="C283" s="37">
        <f>1*C280+1*C281+1*C282</f>
        <v/>
      </c>
      <c r="D283" s="38" t="n"/>
    </row>
    <row r="284" ht="18" customHeight="1" s="10">
      <c r="A284" s="25" t="inlineStr">
        <is>
          <t>Other non-trade payables [abstract]</t>
        </is>
      </c>
      <c r="B284" s="26" t="n"/>
      <c r="C284" s="26" t="n"/>
      <c r="D284" s="32" t="n"/>
    </row>
    <row r="285" ht="18" customHeight="1" s="10">
      <c r="A285" s="29" t="inlineStr">
        <is>
          <t>Other non-trade deferred income</t>
        </is>
      </c>
      <c r="B285" s="30" t="n"/>
      <c r="C285" s="30" t="n"/>
      <c r="D285" s="34" t="n"/>
    </row>
    <row r="286" ht="18" customHeight="1" s="10">
      <c r="A286" s="29" t="inlineStr">
        <is>
          <t>Other non-trade accruals</t>
        </is>
      </c>
      <c r="B286" s="30" t="n"/>
      <c r="C286" s="30" t="n"/>
      <c r="D286" s="34" t="n"/>
    </row>
    <row r="287" ht="18" customHeight="1" s="10">
      <c r="A287" s="29" t="inlineStr">
        <is>
          <t>Other non-trade retention payables</t>
        </is>
      </c>
      <c r="B287" s="30" t="n"/>
      <c r="C287" s="30" t="n"/>
      <c r="D287" s="34" t="n"/>
    </row>
    <row r="288" ht="18" customHeight="1" s="10">
      <c r="A288" s="29" t="inlineStr">
        <is>
          <t>Other non-trade deposit and advanced billings</t>
        </is>
      </c>
      <c r="B288" s="30" t="n"/>
      <c r="C288" s="30" t="n"/>
      <c r="D288" s="34" t="n"/>
    </row>
    <row r="289" ht="18" customHeight="1" s="10">
      <c r="A289" s="29" t="inlineStr">
        <is>
          <t>Other non-trade financing costs</t>
        </is>
      </c>
      <c r="B289" s="30" t="n"/>
      <c r="C289" s="30" t="n"/>
      <c r="D289" s="34" t="n"/>
    </row>
    <row r="290" ht="18" customHeight="1" s="10">
      <c r="A290" s="29" t="inlineStr">
        <is>
          <t>Other non-trade dividend payables</t>
        </is>
      </c>
      <c r="B290" s="30" t="n"/>
      <c r="C290" s="30" t="n"/>
      <c r="D290" s="34" t="n"/>
    </row>
    <row r="291" ht="18" customHeight="1" s="10">
      <c r="A291" s="29" t="inlineStr">
        <is>
          <t>Other nontrade interest payables</t>
        </is>
      </c>
      <c r="B291" s="30" t="n"/>
      <c r="C291" s="30" t="n"/>
      <c r="D291" s="34" t="n"/>
    </row>
    <row r="292" ht="18" customHeight="1" s="10">
      <c r="A292" s="29" t="inlineStr">
        <is>
          <t>Other non-trade payables</t>
        </is>
      </c>
      <c r="B292" s="30" t="n"/>
      <c r="C292" s="30" t="n"/>
      <c r="D292" s="34" t="n"/>
    </row>
    <row r="293" ht="18" customHeight="1" s="10">
      <c r="A293" s="29" t="inlineStr">
        <is>
          <t>Other non-trade payables</t>
        </is>
      </c>
      <c r="B293" s="30">
        <f>1*B285+1*B286+1*B287+1*B288+1*B289+1*B290+1*B291+1*B292</f>
        <v/>
      </c>
      <c r="C293" s="30">
        <f>1*C285+1*C286+1*C287+1*C288+1*C289+1*C290+1*C291+1*C292</f>
        <v/>
      </c>
      <c r="D293" s="34" t="n"/>
    </row>
    <row r="294" ht="18" customHeight="1" s="10">
      <c r="A294" s="29" t="inlineStr">
        <is>
          <t>Other payables</t>
        </is>
      </c>
      <c r="B294" s="30">
        <f>1*B278+1*B283+1*B293</f>
        <v/>
      </c>
      <c r="C294" s="30">
        <f>1*C278+1*C283+1*C293</f>
        <v/>
      </c>
      <c r="D294" s="34" t="n"/>
    </row>
    <row r="295" ht="18" customHeight="1" s="10">
      <c r="A295" s="27" t="inlineStr">
        <is>
          <t>Total trade and other payables</t>
        </is>
      </c>
      <c r="B295" s="35">
        <f>1*B270+1*B294</f>
        <v/>
      </c>
      <c r="C295" s="35">
        <f>1*C270+1*C294</f>
        <v/>
      </c>
      <c r="D295" s="36" t="n"/>
    </row>
    <row r="296" ht="18" customHeight="1" s="10">
      <c r="A296" s="25" t="inlineStr">
        <is>
          <t>Derivative financial liabilities [abstract]</t>
        </is>
      </c>
      <c r="B296" s="26" t="n"/>
      <c r="C296" s="26" t="n"/>
      <c r="D296" s="32" t="n"/>
    </row>
    <row r="297" ht="18" customHeight="1" s="10">
      <c r="A297" s="25" t="inlineStr">
        <is>
          <t>Derivatives at fair value through profit or loss [abstract]</t>
        </is>
      </c>
      <c r="B297" s="26" t="n"/>
      <c r="C297" s="26" t="n"/>
      <c r="D297" s="32" t="n"/>
    </row>
    <row r="298" ht="18" customHeight="1" s="10">
      <c r="A298" s="29" t="inlineStr">
        <is>
          <t>Derivative financial liabilities forward contract</t>
        </is>
      </c>
      <c r="B298" s="30" t="n"/>
      <c r="C298" s="30" t="n"/>
      <c r="D298" s="34" t="n"/>
    </row>
    <row r="299" ht="18" customHeight="1" s="10">
      <c r="A299" s="29" t="inlineStr">
        <is>
          <t>Derivative financial liabilities options</t>
        </is>
      </c>
      <c r="B299" s="30" t="n"/>
      <c r="C299" s="30" t="n"/>
      <c r="D299" s="34" t="n"/>
    </row>
    <row r="300" ht="18" customHeight="1" s="10">
      <c r="A300" s="29" t="inlineStr">
        <is>
          <t>Derivative financial liabilities swaps</t>
        </is>
      </c>
      <c r="B300" s="30" t="n"/>
      <c r="C300" s="30" t="n"/>
      <c r="D300" s="34" t="n"/>
    </row>
    <row r="301" ht="18" customHeight="1" s="10">
      <c r="A301" s="29" t="inlineStr">
        <is>
          <t>Derivative financial liabilities others</t>
        </is>
      </c>
      <c r="B301" s="30" t="n"/>
      <c r="C301" s="30" t="n"/>
      <c r="D301" s="34" t="n"/>
    </row>
    <row r="302" ht="18" customHeight="1" s="10">
      <c r="A302" s="29" t="inlineStr">
        <is>
          <t>Derivative financial liabilities at fair value through profit or loss</t>
        </is>
      </c>
      <c r="B302" s="37">
        <f>1*B298+1*B299+1*B300+1*B301</f>
        <v/>
      </c>
      <c r="C302" s="37">
        <f>1*C298+1*C299+1*C300+1*C301</f>
        <v/>
      </c>
      <c r="D302" s="38" t="n"/>
    </row>
    <row r="303" ht="18" customHeight="1" s="10">
      <c r="A303" s="25" t="inlineStr">
        <is>
          <t>Derivatives used for hedging [abstract]</t>
        </is>
      </c>
      <c r="B303" s="26" t="n"/>
      <c r="C303" s="26" t="n"/>
      <c r="D303" s="32" t="n"/>
    </row>
    <row r="304" ht="18" customHeight="1" s="10">
      <c r="A304" s="29" t="inlineStr">
        <is>
          <t>Derivative financial liabilities forward contract used for hedging</t>
        </is>
      </c>
      <c r="B304" s="30" t="n"/>
      <c r="C304" s="30" t="n"/>
      <c r="D304" s="34" t="n"/>
    </row>
    <row r="305" ht="18" customHeight="1" s="10">
      <c r="A305" s="29" t="inlineStr">
        <is>
          <t>Derivative financial liabilities options used for hedging</t>
        </is>
      </c>
      <c r="B305" s="30" t="n"/>
      <c r="C305" s="30" t="n"/>
      <c r="D305" s="34" t="n"/>
    </row>
    <row r="306" ht="18" customHeight="1" s="10">
      <c r="A306" s="29" t="inlineStr">
        <is>
          <t>Derivative financial liabilities swaps used for hedging</t>
        </is>
      </c>
      <c r="B306" s="30" t="n"/>
      <c r="C306" s="30" t="n"/>
      <c r="D306" s="34" t="n"/>
    </row>
    <row r="307" ht="18" customHeight="1" s="10">
      <c r="A307" s="29" t="inlineStr">
        <is>
          <t>Derivative financial liabilities others used for hedging</t>
        </is>
      </c>
      <c r="B307" s="30" t="n"/>
      <c r="C307" s="30" t="n"/>
      <c r="D307" s="34" t="n"/>
    </row>
    <row r="308" ht="18" customHeight="1" s="10">
      <c r="A308" s="29" t="inlineStr">
        <is>
          <t>Derivative financial liabilities used for hedging</t>
        </is>
      </c>
      <c r="B308" s="30">
        <f>1*B304+1*B305+1*B306+1*B307</f>
        <v/>
      </c>
      <c r="C308" s="30">
        <f>1*C304+1*C305+1*C306+1*C307</f>
        <v/>
      </c>
      <c r="D308" s="34" t="n"/>
    </row>
    <row r="309" ht="18" customHeight="1" s="10">
      <c r="A309" s="29" t="inlineStr">
        <is>
          <t>Other derivative financial liabilities</t>
        </is>
      </c>
      <c r="B309" s="30" t="n"/>
      <c r="C309" s="30" t="n"/>
      <c r="D309" s="34" t="n"/>
    </row>
    <row r="310" ht="18" customHeight="1" s="10">
      <c r="A310" s="29" t="inlineStr">
        <is>
          <t>Derivative financial liabilities</t>
        </is>
      </c>
      <c r="B310" s="30">
        <f>1*B302+1*B308+1*B309</f>
        <v/>
      </c>
      <c r="C310" s="30">
        <f>1*C302+1*C308+1*C309</f>
        <v/>
      </c>
      <c r="D310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2026-04-28T03:57:36Z</dcterms:modified>
  <cp:revision>0</cp:revision>
</cp:coreProperties>
</file>