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xmlns:r="http://schemas.openxmlformats.org/officeDocument/2006/relationships" name="SOCF-Direct" sheetId="1" state="visible" r:id="rId1"/>
  </sheets>
  <definedNames/>
  <calcPr calcId="124519" fullCalcOnLoad="1" refMode="A1" iterate="0" iterateCount="100" iterateDelta="0.0001"/>
</workbook>
</file>

<file path=xl/styles.xml><?xml version="1.0" encoding="utf-8"?>
<styleSheet xmlns="http://schemas.openxmlformats.org/spreadsheetml/2006/main">
  <numFmts count="1">
    <numFmt numFmtId="164" formatCode="#,##0;(#,##0);&quot;-&quot;"/>
  </numFmts>
  <fonts count="18">
    <font>
      <name val="Calibri"/>
      <charset val="1"/>
      <family val="2"/>
      <color theme="1"/>
      <sz val="11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Arial"/>
      <charset val="1"/>
      <family val="0"/>
      <i val="1"/>
      <sz val="9"/>
    </font>
    <font>
      <name val="Arial"/>
      <charset val="1"/>
      <family val="0"/>
      <b val="1"/>
      <sz val="11"/>
    </font>
    <font>
      <name val="Arial"/>
      <charset val="1"/>
      <family val="0"/>
      <b val="1"/>
      <sz val="10"/>
    </font>
    <font>
      <name val="Arial"/>
      <charset val="1"/>
      <family val="0"/>
      <sz val="10"/>
    </font>
    <font>
      <name val="Calibri"/>
      <i val="1"/>
      <sz val="11"/>
    </font>
    <font>
      <name val="Arial"/>
      <sz val="10"/>
    </font>
    <font>
      <name val="Arial"/>
      <sz val="9"/>
    </font>
    <font>
      <name val="Calibri"/>
      <b val="1"/>
      <color rgb="001F3864"/>
      <sz val="9"/>
    </font>
    <font>
      <name val="Calibri"/>
      <b val="1"/>
      <color rgb="001F3864"/>
      <sz val="14"/>
    </font>
    <font>
      <name val="Calibri"/>
      <b val="1"/>
      <color rgb="00FFFFFF"/>
      <sz val="10"/>
    </font>
    <font>
      <name val="Calibri"/>
      <color rgb="00000000"/>
      <sz val="10"/>
    </font>
    <font>
      <name val="Calibri"/>
      <b val="1"/>
      <color rgb="00000000"/>
      <sz val="10"/>
    </font>
    <font>
      <name val="Calibri"/>
      <color rgb="00FFFFFF"/>
      <sz val="9"/>
    </font>
    <font>
      <name val="Calibri"/>
      <i val="1"/>
      <color rgb="006B7280"/>
      <sz val="9"/>
    </font>
  </fonts>
  <fills count="9">
    <fill>
      <patternFill/>
    </fill>
    <fill>
      <patternFill patternType="gray125"/>
    </fill>
    <fill>
      <patternFill patternType="solid">
        <fgColor rgb="FFD6E4F0"/>
        <bgColor rgb="FFE2EFDA"/>
      </patternFill>
    </fill>
    <fill>
      <patternFill patternType="solid">
        <fgColor rgb="FFFFF2CC"/>
        <bgColor rgb="FFE2EFDA"/>
      </patternFill>
    </fill>
    <fill>
      <patternFill patternType="solid">
        <fgColor rgb="FFE2EFDA"/>
        <bgColor rgb="FFD6E4F0"/>
      </patternFill>
    </fill>
    <fill>
      <patternFill patternType="solid">
        <fgColor rgb="FFD6E4F0"/>
      </patternFill>
    </fill>
    <fill>
      <patternFill patternType="solid">
        <fgColor rgb="001F3864"/>
        <bgColor rgb="001F3864"/>
      </patternFill>
    </fill>
    <fill>
      <patternFill patternType="solid">
        <fgColor rgb="00F8FAFC"/>
        <bgColor rgb="00F8FAFC"/>
      </patternFill>
    </fill>
    <fill>
      <patternFill patternType="solid">
        <fgColor rgb="00EEF2F8"/>
        <bgColor rgb="00EEF2F8"/>
      </patternFill>
    </fill>
  </fills>
  <borders count="7">
    <border>
      <left/>
      <right/>
      <top/>
      <bottom/>
      <diagonal/>
    </border>
    <border>
      <left style="thin">
        <color rgb="FFB0B0B0"/>
      </left>
      <right style="thin">
        <color rgb="FFB0B0B0"/>
      </right>
      <top style="thin">
        <color rgb="FFB0B0B0"/>
      </top>
      <bottom style="thin">
        <color rgb="FFB0B0B0"/>
      </bottom>
      <diagonal/>
    </border>
    <border>
      <bottom style="thin">
        <color rgb="001F3864"/>
      </bottom>
    </border>
    <border/>
    <border>
      <bottom style="thin">
        <color rgb="00D9DEE5"/>
      </bottom>
    </border>
    <border>
      <top style="thin">
        <color rgb="001F3864"/>
      </top>
      <bottom style="thin">
        <color rgb="001F3864"/>
      </bottom>
    </border>
    <border>
      <bottom/>
    </border>
  </borders>
  <cellStyleXfs count="6">
    <xf numFmtId="0" fontId="0" fillId="0" borderId="0" applyAlignment="1">
      <alignment horizontal="general" vertical="bottom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37">
    <xf numFmtId="0" fontId="0" fillId="0" borderId="0" applyAlignment="1" pivotButton="0" quotePrefix="0" xfId="0">
      <alignment horizontal="general" vertical="bottom"/>
    </xf>
    <xf numFmtId="0" fontId="4" fillId="0" borderId="0" applyAlignment="1" pivotButton="0" quotePrefix="0" xfId="0">
      <alignment horizontal="center" vertical="center"/>
    </xf>
    <xf numFmtId="0" fontId="5" fillId="0" borderId="0" applyAlignment="1" pivotButton="0" quotePrefix="0" xfId="0">
      <alignment horizontal="general" vertical="bottom"/>
    </xf>
    <xf numFmtId="0" fontId="6" fillId="2" borderId="1" applyAlignment="1" pivotButton="0" quotePrefix="0" xfId="0">
      <alignment horizontal="left" vertical="center" wrapText="1"/>
    </xf>
    <xf numFmtId="0" fontId="0" fillId="0" borderId="1" applyAlignment="1" pivotButton="0" quotePrefix="0" xfId="0">
      <alignment horizontal="general" vertical="bottom"/>
    </xf>
    <xf numFmtId="0" fontId="7" fillId="0" borderId="1" applyAlignment="1" pivotButton="0" quotePrefix="0" xfId="0">
      <alignment horizontal="left" vertical="center" wrapText="1"/>
    </xf>
    <xf numFmtId="3" fontId="0" fillId="3" borderId="1" applyAlignment="1" pivotButton="0" quotePrefix="0" xfId="0">
      <alignment horizontal="right" vertical="center"/>
    </xf>
    <xf numFmtId="0" fontId="6" fillId="4" borderId="1" applyAlignment="1" pivotButton="0" quotePrefix="0" xfId="0">
      <alignment horizontal="left" vertical="center" wrapText="1"/>
    </xf>
    <xf numFmtId="3" fontId="6" fillId="4" borderId="1" applyAlignment="1" pivotButton="0" quotePrefix="0" xfId="0">
      <alignment horizontal="right" vertical="center"/>
    </xf>
    <xf numFmtId="0" fontId="0" fillId="0" borderId="0" applyAlignment="1" pivotButton="0" quotePrefix="0" xfId="0">
      <alignment horizontal="general" vertical="bottom"/>
    </xf>
    <xf numFmtId="0" fontId="0" fillId="0" borderId="0" pivotButton="0" quotePrefix="0" xfId="0"/>
    <xf numFmtId="0" fontId="4" fillId="0" borderId="0" applyAlignment="1" pivotButton="0" quotePrefix="0" xfId="0">
      <alignment horizontal="center" vertical="center"/>
    </xf>
    <xf numFmtId="0" fontId="5" fillId="0" borderId="0" applyAlignment="1" pivotButton="0" quotePrefix="0" xfId="0">
      <alignment horizontal="general" vertical="bottom"/>
    </xf>
    <xf numFmtId="0" fontId="6" fillId="2" borderId="1" applyAlignment="1" pivotButton="0" quotePrefix="0" xfId="0">
      <alignment horizontal="left" vertical="center" wrapText="1"/>
    </xf>
    <xf numFmtId="0" fontId="0" fillId="0" borderId="1" applyAlignment="1" pivotButton="0" quotePrefix="0" xfId="0">
      <alignment horizontal="general" vertical="bottom"/>
    </xf>
    <xf numFmtId="0" fontId="7" fillId="0" borderId="1" applyAlignment="1" pivotButton="0" quotePrefix="0" xfId="0">
      <alignment horizontal="left" vertical="center" wrapText="1"/>
    </xf>
    <xf numFmtId="3" fontId="0" fillId="3" borderId="1" applyAlignment="1" pivotButton="0" quotePrefix="0" xfId="0">
      <alignment horizontal="right" vertical="center"/>
    </xf>
    <xf numFmtId="0" fontId="6" fillId="4" borderId="1" applyAlignment="1" pivotButton="0" quotePrefix="0" xfId="0">
      <alignment horizontal="left" vertical="center" wrapText="1"/>
    </xf>
    <xf numFmtId="3" fontId="6" fillId="4" borderId="1" applyAlignment="1" pivotButton="0" quotePrefix="0" xfId="0">
      <alignment horizontal="right" vertical="center"/>
    </xf>
    <xf numFmtId="0" fontId="8" fillId="0" borderId="0" applyAlignment="1" pivotButton="0" quotePrefix="0" xfId="0">
      <alignment horizontal="center" vertical="center"/>
    </xf>
    <xf numFmtId="0" fontId="0" fillId="5" borderId="1" applyAlignment="1" pivotButton="0" quotePrefix="0" xfId="0">
      <alignment horizontal="general" vertical="bottom"/>
    </xf>
    <xf numFmtId="3" fontId="9" fillId="3" borderId="1" applyAlignment="1" pivotButton="0" quotePrefix="0" xfId="0">
      <alignment horizontal="right" vertical="center"/>
    </xf>
    <xf numFmtId="0" fontId="10" fillId="0" borderId="0" applyAlignment="1" pivotButton="0" quotePrefix="0" xfId="0">
      <alignment horizontal="center" vertical="center"/>
    </xf>
    <xf numFmtId="0" fontId="11" fillId="0" borderId="2" applyAlignment="1" pivotButton="0" quotePrefix="0" xfId="0">
      <alignment horizontal="right" vertical="center"/>
    </xf>
    <xf numFmtId="0" fontId="12" fillId="0" borderId="0" applyAlignment="1" pivotButton="0" quotePrefix="0" xfId="0">
      <alignment horizontal="left" vertical="center"/>
    </xf>
    <xf numFmtId="0" fontId="13" fillId="6" borderId="3" applyAlignment="1" pivotButton="0" quotePrefix="0" xfId="0">
      <alignment horizontal="left" vertical="center"/>
    </xf>
    <xf numFmtId="0" fontId="13" fillId="6" borderId="3" applyAlignment="1" pivotButton="0" quotePrefix="0" xfId="0">
      <alignment horizontal="right" vertical="center"/>
    </xf>
    <xf numFmtId="0" fontId="14" fillId="0" borderId="4" applyAlignment="1" pivotButton="0" quotePrefix="0" xfId="0">
      <alignment horizontal="left" vertical="center"/>
    </xf>
    <xf numFmtId="164" fontId="14" fillId="7" borderId="4" applyAlignment="1" pivotButton="0" quotePrefix="0" xfId="0">
      <alignment horizontal="right" vertical="center"/>
    </xf>
    <xf numFmtId="0" fontId="15" fillId="8" borderId="5" applyAlignment="1" pivotButton="0" quotePrefix="0" xfId="0">
      <alignment horizontal="left" vertical="center"/>
    </xf>
    <xf numFmtId="164" fontId="15" fillId="8" borderId="5" applyAlignment="1" pivotButton="0" quotePrefix="0" xfId="0">
      <alignment horizontal="right" vertical="center"/>
    </xf>
    <xf numFmtId="0" fontId="11" fillId="0" borderId="2" applyAlignment="1" pivotButton="0" quotePrefix="0" xfId="0">
      <alignment horizontal="left" vertical="center"/>
    </xf>
    <xf numFmtId="0" fontId="16" fillId="6" borderId="3" applyAlignment="1" pivotButton="0" quotePrefix="0" xfId="0">
      <alignment horizontal="left" vertical="center"/>
    </xf>
    <xf numFmtId="0" fontId="17" fillId="0" borderId="4" applyAlignment="1" pivotButton="0" quotePrefix="0" xfId="0">
      <alignment horizontal="left" vertical="center" wrapText="1"/>
    </xf>
    <xf numFmtId="0" fontId="17" fillId="8" borderId="5" applyAlignment="1" pivotButton="0" quotePrefix="0" xfId="0">
      <alignment horizontal="left" vertical="center" wrapText="1"/>
    </xf>
    <xf numFmtId="164" fontId="14" fillId="7" borderId="6" applyAlignment="1" pivotButton="0" quotePrefix="0" xfId="0">
      <alignment horizontal="right" vertical="center"/>
    </xf>
    <xf numFmtId="0" fontId="17" fillId="0" borderId="6" applyAlignment="1" pivotButton="0" quotePrefix="0" xfId="0">
      <alignment horizontal="left" vertical="center" wrapText="1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0B0B0"/>
      <rgbColor rgb="FF808080"/>
      <rgbColor rgb="FF9999FF"/>
      <rgbColor rgb="FF993366"/>
      <rgbColor rgb="FFFFF2CC"/>
      <rgbColor rgb="FFCCFFFF"/>
      <rgbColor rgb="FF660066"/>
      <rgbColor rgb="FFFF8080"/>
      <rgbColor rgb="FF0066CC"/>
      <rgbColor rgb="FFD6E4F0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E2EFDA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A1:D82"/>
  <sheetViews>
    <sheetView showFormulas="0" showGridLines="0" showRowColHeaders="1" showZeros="1" rightToLeft="0" tabSelected="1" showOutlineSymbols="1" defaultGridColor="1" view="normal" topLeftCell="A1" colorId="64" zoomScale="100" zoomScaleNormal="100" zoomScalePageLayoutView="100" workbookViewId="0">
      <pane ySplit="3" topLeftCell="A4" activePane="bottomLeft" state="frozen"/>
      <selection pane="bottomLeft" activeCell="A1" activeCellId="0" sqref="A1"/>
    </sheetView>
  </sheetViews>
  <sheetFormatPr baseColWidth="8" defaultColWidth="8.6796875" defaultRowHeight="15" customHeight="0" zeroHeight="0" outlineLevelRow="0"/>
  <cols>
    <col width="55" customWidth="1" style="9" min="1" max="1"/>
    <col width="18" customWidth="1" style="9" min="2" max="3"/>
    <col width="18" customWidth="1" style="10" min="3" max="3"/>
    <col width="40" customWidth="1" style="10" min="4" max="4"/>
  </cols>
  <sheetData>
    <row r="1" ht="20" customHeight="1" s="10">
      <c r="B1" s="23" t="inlineStr">
        <is>
          <t>01/01/YYYY - 31/12/YYYY</t>
        </is>
      </c>
      <c r="C1" s="23" t="inlineStr">
        <is>
          <t>01/01/YYYY - 31/12/YYYY</t>
        </is>
      </c>
      <c r="D1" s="31" t="inlineStr">
        <is>
          <t>Source</t>
        </is>
      </c>
    </row>
    <row r="2"/>
    <row r="3" ht="24" customHeight="1" s="10">
      <c r="A3" s="24" t="inlineStr">
        <is>
          <t>Statement of cash flows, direct method</t>
        </is>
      </c>
      <c r="D3" s="24" t="n"/>
    </row>
    <row r="4" ht="18" customHeight="1" s="10">
      <c r="A4" s="25" t="inlineStr">
        <is>
          <t>Statement of cash flows [abstract]</t>
        </is>
      </c>
      <c r="B4" s="26" t="n"/>
      <c r="C4" s="26" t="n"/>
      <c r="D4" s="32" t="n"/>
    </row>
    <row r="5" ht="18" customHeight="1" s="10">
      <c r="A5" s="25" t="inlineStr">
        <is>
          <t>Statement of cash flows [line items]</t>
        </is>
      </c>
      <c r="B5" s="26" t="n"/>
      <c r="C5" s="26" t="n"/>
      <c r="D5" s="32" t="n"/>
    </row>
    <row r="6" ht="18" customHeight="1" s="10">
      <c r="A6" s="25" t="inlineStr">
        <is>
          <t>Statement of cash flows [abstract]</t>
        </is>
      </c>
      <c r="B6" s="26" t="n"/>
      <c r="C6" s="26" t="n"/>
      <c r="D6" s="32" t="n"/>
    </row>
    <row r="7" ht="18" customHeight="1" s="10">
      <c r="A7" s="25" t="inlineStr">
        <is>
          <t>Cash flows from (used in) operating activities [abstract]</t>
        </is>
      </c>
      <c r="B7" s="26" t="n"/>
      <c r="C7" s="26" t="n"/>
      <c r="D7" s="32" t="n"/>
    </row>
    <row r="8" ht="18" customHeight="1" s="10">
      <c r="A8" s="27" t="inlineStr">
        <is>
          <t>Receipts from sales of goods and rendering of services</t>
        </is>
      </c>
      <c r="B8" s="28" t="n"/>
      <c r="C8" s="28" t="n"/>
      <c r="D8" s="33" t="n"/>
    </row>
    <row r="9" ht="18" customHeight="1" s="10">
      <c r="A9" s="27" t="inlineStr">
        <is>
          <t>Receipts from royalties, fees, commissions and other revenue</t>
        </is>
      </c>
      <c r="B9" s="28" t="n"/>
      <c r="C9" s="28" t="n"/>
      <c r="D9" s="33" t="n"/>
    </row>
    <row r="10" ht="18" customHeight="1" s="10">
      <c r="A10" s="27" t="inlineStr">
        <is>
          <t>Receipts from contracts held for dealing or trading purposes</t>
        </is>
      </c>
      <c r="B10" s="28" t="n"/>
      <c r="C10" s="28" t="n"/>
      <c r="D10" s="33" t="n"/>
    </row>
    <row r="11" ht="18" customHeight="1" s="10">
      <c r="A11" s="27" t="inlineStr">
        <is>
          <t>Short-term lease payments, payments for leases of low-value assets and variable lease payments not included in the measurement of the lease liability</t>
        </is>
      </c>
      <c r="B11" s="28" t="n"/>
      <c r="C11" s="28" t="n"/>
      <c r="D11" s="33" t="n"/>
    </row>
    <row r="12" ht="18" customHeight="1" s="10">
      <c r="A12" s="27" t="inlineStr">
        <is>
          <t>Payments to suppliers for goods and services</t>
        </is>
      </c>
      <c r="B12" s="28" t="n"/>
      <c r="C12" s="28" t="n"/>
      <c r="D12" s="33" t="n"/>
    </row>
    <row r="13" ht="18" customHeight="1" s="10">
      <c r="A13" s="27" t="inlineStr">
        <is>
          <t>Payments to and on behalf of employees</t>
        </is>
      </c>
      <c r="B13" s="28" t="n"/>
      <c r="C13" s="28" t="n"/>
      <c r="D13" s="33" t="n"/>
    </row>
    <row r="14" ht="18" customHeight="1" s="10">
      <c r="A14" s="27" t="inlineStr">
        <is>
          <t>Dividends received</t>
        </is>
      </c>
      <c r="B14" s="28" t="n"/>
      <c r="C14" s="28" t="n"/>
      <c r="D14" s="33" t="n"/>
    </row>
    <row r="15" ht="18" customHeight="1" s="10">
      <c r="A15" s="27" t="inlineStr">
        <is>
          <t>Dividends paid</t>
        </is>
      </c>
      <c r="B15" s="28" t="n"/>
      <c r="C15" s="28" t="n"/>
      <c r="D15" s="33" t="n"/>
    </row>
    <row r="16" ht="18" customHeight="1" s="10">
      <c r="A16" s="27" t="inlineStr">
        <is>
          <t>Interest received</t>
        </is>
      </c>
      <c r="B16" s="28" t="n"/>
      <c r="C16" s="28" t="n"/>
      <c r="D16" s="33" t="n"/>
    </row>
    <row r="17" ht="18" customHeight="1" s="10">
      <c r="A17" s="27" t="inlineStr">
        <is>
          <t>Interest paid</t>
        </is>
      </c>
      <c r="B17" s="28" t="n"/>
      <c r="C17" s="28" t="n"/>
      <c r="D17" s="33" t="n"/>
    </row>
    <row r="18" ht="18" customHeight="1" s="10">
      <c r="A18" s="27" t="inlineStr">
        <is>
          <t>Income taxes refund (paid)</t>
        </is>
      </c>
      <c r="B18" s="28" t="n"/>
      <c r="C18" s="28" t="n"/>
      <c r="D18" s="33" t="n"/>
    </row>
    <row r="19" ht="18" customHeight="1" s="10">
      <c r="A19" s="27" t="inlineStr">
        <is>
          <t>Other inflows (outflows) of cash, classified as operating activities</t>
        </is>
      </c>
      <c r="B19" s="28" t="n"/>
      <c r="C19" s="28" t="n"/>
      <c r="D19" s="33" t="n"/>
    </row>
    <row r="20" ht="18" customHeight="1" s="10">
      <c r="A20" s="27" t="inlineStr">
        <is>
          <t>Net cash flows from (used in) operating activities</t>
        </is>
      </c>
      <c r="B20" s="35">
        <f>1*B8+1*B9+1*B10+1*B11+1*B12+1*B13+1*B14+1*B15+1*B16+1*B17+1*B18+1*B19</f>
        <v/>
      </c>
      <c r="C20" s="35">
        <f>1*C8+1*C9+1*C10+1*C11+1*C12+1*C13+1*C14+1*C15+1*C16+1*C17+1*C18+1*C19</f>
        <v/>
      </c>
      <c r="D20" s="36" t="n"/>
    </row>
    <row r="21" ht="18" customHeight="1" s="10">
      <c r="A21" s="25" t="inlineStr">
        <is>
          <t>Cash flows from (used in) investing activities [abstract]</t>
        </is>
      </c>
      <c r="B21" s="26" t="n"/>
      <c r="C21" s="26" t="n"/>
      <c r="D21" s="32" t="n"/>
    </row>
    <row r="22" ht="18" customHeight="1" s="10">
      <c r="A22" s="27" t="inlineStr">
        <is>
          <t>Cash flows from losing control of subsidiaries or other businesses, classified as investing activities</t>
        </is>
      </c>
      <c r="B22" s="28" t="n"/>
      <c r="C22" s="28" t="n"/>
      <c r="D22" s="33" t="n"/>
    </row>
    <row r="23" ht="18" customHeight="1" s="10">
      <c r="A23" s="27" t="inlineStr">
        <is>
          <t>Cash flows used in obtaining control of subsidiaries or other businesses, classified as investing activities</t>
        </is>
      </c>
      <c r="B23" s="28" t="n"/>
      <c r="C23" s="28" t="n"/>
      <c r="D23" s="33" t="n"/>
    </row>
    <row r="24" ht="18" customHeight="1" s="10">
      <c r="A24" s="27" t="inlineStr">
        <is>
          <t>Proceeds from sales of interests in associates</t>
        </is>
      </c>
      <c r="B24" s="28" t="n"/>
      <c r="C24" s="28" t="n"/>
      <c r="D24" s="33" t="n"/>
    </row>
    <row r="25" ht="18" customHeight="1" s="10">
      <c r="A25" s="27" t="inlineStr">
        <is>
          <t>Purchase of interests in associates</t>
        </is>
      </c>
      <c r="B25" s="28" t="n"/>
      <c r="C25" s="28" t="n"/>
      <c r="D25" s="33" t="n"/>
    </row>
    <row r="26" ht="18" customHeight="1" s="10">
      <c r="A26" s="27" t="inlineStr">
        <is>
          <t>Other cash receipts from sales of interests in joint ventures, classified as investing activities</t>
        </is>
      </c>
      <c r="B26" s="28" t="n"/>
      <c r="C26" s="28" t="n"/>
      <c r="D26" s="33" t="n"/>
    </row>
    <row r="27" ht="18" customHeight="1" s="10">
      <c r="A27" s="27" t="inlineStr">
        <is>
          <t>Other cash payments to acquire interests in joint ventures, classified as investing activities</t>
        </is>
      </c>
      <c r="B27" s="28" t="n"/>
      <c r="C27" s="28" t="n"/>
      <c r="D27" s="33" t="n"/>
    </row>
    <row r="28" ht="18" customHeight="1" s="10">
      <c r="A28" s="27" t="inlineStr">
        <is>
          <t>Cash receipts from repayment of advances and loans made to other parties, classified as investing activities</t>
        </is>
      </c>
      <c r="B28" s="28" t="n"/>
      <c r="C28" s="28" t="n"/>
      <c r="D28" s="33" t="n"/>
    </row>
    <row r="29" ht="18" customHeight="1" s="10">
      <c r="A29" s="27" t="inlineStr">
        <is>
          <t>Cash advances and loans made to other parties</t>
        </is>
      </c>
      <c r="B29" s="28" t="n"/>
      <c r="C29" s="28" t="n"/>
      <c r="D29" s="33" t="n"/>
    </row>
    <row r="30" ht="18" customHeight="1" s="10">
      <c r="A30" s="27" t="inlineStr">
        <is>
          <t>Deposit placed with investment brokers</t>
        </is>
      </c>
      <c r="B30" s="28" t="n"/>
      <c r="C30" s="28" t="n"/>
      <c r="D30" s="33" t="n"/>
    </row>
    <row r="31" ht="18" customHeight="1" s="10">
      <c r="A31" s="27" t="inlineStr">
        <is>
          <t>Other cash payments to acquire equity or debt instruments of other entities</t>
        </is>
      </c>
      <c r="B31" s="28" t="n"/>
      <c r="C31" s="28" t="n"/>
      <c r="D31" s="33" t="n"/>
    </row>
    <row r="32" ht="18" customHeight="1" s="10">
      <c r="A32" s="27" t="inlineStr">
        <is>
          <t>Other cash receipts from sales of equity or debt instruments of other entities, classified as investing activities</t>
        </is>
      </c>
      <c r="B32" s="28" t="n"/>
      <c r="C32" s="28" t="n"/>
      <c r="D32" s="33" t="n"/>
    </row>
    <row r="33" ht="18" customHeight="1" s="10">
      <c r="A33" s="27" t="inlineStr">
        <is>
          <t>Proceeds from disposal of net cash and cash equivalents disposed off</t>
        </is>
      </c>
      <c r="B33" s="28" t="n"/>
      <c r="C33" s="28" t="n"/>
      <c r="D33" s="33" t="n"/>
    </row>
    <row r="34" ht="18" customHeight="1" s="10">
      <c r="A34" s="27" t="inlineStr">
        <is>
          <t>Tax paid on gain on disposal from discontinuing operations</t>
        </is>
      </c>
      <c r="B34" s="28" t="n"/>
      <c r="C34" s="28" t="n"/>
      <c r="D34" s="33" t="n"/>
    </row>
    <row r="35" ht="18" customHeight="1" s="10">
      <c r="A35" s="27" t="inlineStr">
        <is>
          <t>Proceeds from government grants</t>
        </is>
      </c>
      <c r="B35" s="28" t="n"/>
      <c r="C35" s="28" t="n"/>
      <c r="D35" s="33" t="n"/>
    </row>
    <row r="36" ht="18" customHeight="1" s="10">
      <c r="A36" s="27" t="inlineStr">
        <is>
          <t>Proceeds from sales of intangible assets</t>
        </is>
      </c>
      <c r="B36" s="28" t="n"/>
      <c r="C36" s="28" t="n"/>
      <c r="D36" s="33" t="n"/>
    </row>
    <row r="37" ht="18" customHeight="1" s="10">
      <c r="A37" s="27" t="inlineStr">
        <is>
          <t>Proceeds from sales of other long-term assets, classified as investing activities</t>
        </is>
      </c>
      <c r="B37" s="28" t="n"/>
      <c r="C37" s="28" t="n"/>
      <c r="D37" s="33" t="n"/>
    </row>
    <row r="38" ht="18" customHeight="1" s="10">
      <c r="A38" s="27" t="inlineStr">
        <is>
          <t>Proceeds from sales of property, plant and equipment</t>
        </is>
      </c>
      <c r="B38" s="28" t="n"/>
      <c r="C38" s="28" t="n"/>
      <c r="D38" s="33" t="n"/>
    </row>
    <row r="39" ht="18" customHeight="1" s="10">
      <c r="A39" s="27" t="inlineStr">
        <is>
          <t>Proceeds from sale of prepaid lease payments</t>
        </is>
      </c>
      <c r="B39" s="28" t="n"/>
      <c r="C39" s="28" t="n"/>
      <c r="D39" s="33" t="n"/>
    </row>
    <row r="40" ht="18" customHeight="1" s="10">
      <c r="A40" s="27" t="inlineStr">
        <is>
          <t>Purchase of intangible assets</t>
        </is>
      </c>
      <c r="B40" s="28" t="n"/>
      <c r="C40" s="28" t="n"/>
      <c r="D40" s="33" t="n"/>
    </row>
    <row r="41" ht="18" customHeight="1" s="10">
      <c r="A41" s="27" t="inlineStr">
        <is>
          <t>Purchase of other non-current assets</t>
        </is>
      </c>
      <c r="B41" s="28" t="n"/>
      <c r="C41" s="28" t="n"/>
      <c r="D41" s="33" t="n"/>
    </row>
    <row r="42" ht="18" customHeight="1" s="10">
      <c r="A42" s="27" t="inlineStr">
        <is>
          <t>Purchase of property, plant and equipment</t>
        </is>
      </c>
      <c r="B42" s="28" t="n"/>
      <c r="C42" s="28" t="n"/>
      <c r="D42" s="33" t="n"/>
    </row>
    <row r="43" ht="18" customHeight="1" s="10">
      <c r="A43" s="27" t="inlineStr">
        <is>
          <t>Dividends received</t>
        </is>
      </c>
      <c r="B43" s="28" t="n"/>
      <c r="C43" s="28" t="n"/>
      <c r="D43" s="33" t="n"/>
    </row>
    <row r="44" ht="18" customHeight="1" s="10">
      <c r="A44" s="27" t="inlineStr">
        <is>
          <t>Interest received</t>
        </is>
      </c>
      <c r="B44" s="28" t="n"/>
      <c r="C44" s="28" t="n"/>
      <c r="D44" s="33" t="n"/>
    </row>
    <row r="45" ht="18" customHeight="1" s="10">
      <c r="A45" s="27" t="inlineStr">
        <is>
          <t>Proceeds from sales of investments other than investments accounted for using equity method</t>
        </is>
      </c>
      <c r="B45" s="28" t="n"/>
      <c r="C45" s="28" t="n"/>
      <c r="D45" s="33" t="n"/>
    </row>
    <row r="46" ht="18" customHeight="1" s="10">
      <c r="A46" s="27" t="inlineStr">
        <is>
          <t>Purchase of other investment</t>
        </is>
      </c>
      <c r="B46" s="28" t="n"/>
      <c r="C46" s="28" t="n"/>
      <c r="D46" s="33" t="n"/>
    </row>
    <row r="47" ht="18" customHeight="1" s="10">
      <c r="A47" s="27" t="inlineStr">
        <is>
          <t>Development expenditure incurred</t>
        </is>
      </c>
      <c r="B47" s="28" t="n"/>
      <c r="C47" s="28" t="n"/>
      <c r="D47" s="33" t="n"/>
    </row>
    <row r="48" ht="18" customHeight="1" s="10">
      <c r="A48" s="27" t="inlineStr">
        <is>
          <t>Net repayment from joint ventures</t>
        </is>
      </c>
      <c r="B48" s="28" t="n"/>
      <c r="C48" s="28" t="n"/>
      <c r="D48" s="33" t="n"/>
    </row>
    <row r="49" ht="18" customHeight="1" s="10">
      <c r="A49" s="27" t="inlineStr">
        <is>
          <t>Net repayment from associates</t>
        </is>
      </c>
      <c r="B49" s="28" t="n"/>
      <c r="C49" s="28" t="n"/>
      <c r="D49" s="33" t="n"/>
    </row>
    <row r="50" ht="18" customHeight="1" s="10">
      <c r="A50" s="27" t="inlineStr">
        <is>
          <t>Capital distributions from associates</t>
        </is>
      </c>
      <c r="B50" s="28" t="n"/>
      <c r="C50" s="28" t="n"/>
      <c r="D50" s="33" t="n"/>
    </row>
    <row r="51" ht="18" customHeight="1" s="10">
      <c r="A51" s="27" t="inlineStr">
        <is>
          <t>Other inflows (outflows) of cash, classified as investing activities</t>
        </is>
      </c>
      <c r="B51" s="28" t="n"/>
      <c r="C51" s="28" t="n"/>
      <c r="D51" s="33" t="n"/>
    </row>
    <row r="52" ht="18" customHeight="1" s="10">
      <c r="A52" s="27" t="inlineStr">
        <is>
          <t>Net cash flows from (used in) investing activities</t>
        </is>
      </c>
      <c r="B52" s="35">
        <f>1*B22+-1*B23+1*B24+-1*B25+1*B26+-1*B27+1*B28+-1*B29+1*B30+-1*B31+1*B32+-1*B33+1*B34+1*B35+1*B36+1*B37+1*B38+1*B39+-1*B40+-1*B41+-1*B42+1*B43+1*B44+1*B45+-1*B46+-1*B47+-1*B48+-1*B49+1*B50+1*B51</f>
        <v/>
      </c>
      <c r="C52" s="35">
        <f>1*C22+-1*C23+1*C24+-1*C25+1*C26+-1*C27+1*C28+-1*C29+1*C30+-1*C31+1*C32+-1*C33+1*C34+1*C35+1*C36+1*C37+1*C38+1*C39+-1*C40+-1*C41+-1*C42+1*C43+1*C44+1*C45+-1*C46+-1*C47+-1*C48+-1*C49+1*C50+1*C51</f>
        <v/>
      </c>
      <c r="D52" s="36" t="n"/>
    </row>
    <row r="53" ht="18" customHeight="1" s="10">
      <c r="A53" s="25" t="inlineStr">
        <is>
          <t>Cash flows from (used in) financing activities [abstract]</t>
        </is>
      </c>
      <c r="B53" s="26" t="n"/>
      <c r="C53" s="26" t="n"/>
      <c r="D53" s="32" t="n"/>
    </row>
    <row r="54" ht="18" customHeight="1" s="10">
      <c r="A54" s="27" t="inlineStr">
        <is>
          <t>Payments for principal portion of lease liability</t>
        </is>
      </c>
      <c r="B54" s="28" t="n"/>
      <c r="C54" s="28" t="n"/>
      <c r="D54" s="33" t="n"/>
    </row>
    <row r="55" ht="18" customHeight="1" s="10">
      <c r="A55" s="27" t="inlineStr">
        <is>
          <t>Payments for interest portion of lease liability</t>
        </is>
      </c>
      <c r="B55" s="28" t="n"/>
      <c r="C55" s="28" t="n"/>
      <c r="D55" s="33" t="n"/>
    </row>
    <row r="56" ht="18" customHeight="1" s="10">
      <c r="A56" s="27" t="inlineStr">
        <is>
          <t>Proceeds from issuing shares</t>
        </is>
      </c>
      <c r="B56" s="28" t="n"/>
      <c r="C56" s="28" t="n"/>
      <c r="D56" s="33" t="n"/>
    </row>
    <row r="57" ht="18" customHeight="1" s="10">
      <c r="A57" s="27" t="inlineStr">
        <is>
          <t>Proceeds from issue of shares in subsidiary to non-controlling interests</t>
        </is>
      </c>
      <c r="B57" s="28" t="n"/>
      <c r="C57" s="28" t="n"/>
      <c r="D57" s="33" t="n"/>
    </row>
    <row r="58" ht="18" customHeight="1" s="10">
      <c r="A58" s="27" t="inlineStr">
        <is>
          <t>Proceeds from issuing other equity instruments</t>
        </is>
      </c>
      <c r="B58" s="28" t="n"/>
      <c r="C58" s="28" t="n"/>
      <c r="D58" s="33" t="n"/>
    </row>
    <row r="59" ht="18" customHeight="1" s="10">
      <c r="A59" s="27" t="inlineStr">
        <is>
          <t>Proceeds from exercise of options</t>
        </is>
      </c>
      <c r="B59" s="28" t="n"/>
      <c r="C59" s="28" t="n"/>
      <c r="D59" s="33" t="n"/>
    </row>
    <row r="60" ht="18" customHeight="1" s="10">
      <c r="A60" s="27" t="inlineStr">
        <is>
          <t>Payments to acquire or redeem entity's shares</t>
        </is>
      </c>
      <c r="B60" s="28" t="n"/>
      <c r="C60" s="28" t="n"/>
      <c r="D60" s="33" t="n"/>
    </row>
    <row r="61" ht="18" customHeight="1" s="10">
      <c r="A61" s="27" t="inlineStr">
        <is>
          <t>Payments made to non-controlling interests</t>
        </is>
      </c>
      <c r="B61" s="28" t="n"/>
      <c r="C61" s="28" t="n"/>
      <c r="D61" s="33" t="n"/>
    </row>
    <row r="62" ht="18" customHeight="1" s="10">
      <c r="A62" s="27" t="inlineStr">
        <is>
          <t>Payments of other equity instruments</t>
        </is>
      </c>
      <c r="B62" s="28" t="n"/>
      <c r="C62" s="28" t="n"/>
      <c r="D62" s="33" t="n"/>
    </row>
    <row r="63" ht="18" customHeight="1" s="10">
      <c r="A63" s="27" t="inlineStr">
        <is>
          <t>Cash payments for issuance of perpetual sukuk</t>
        </is>
      </c>
      <c r="B63" s="28" t="n"/>
      <c r="C63" s="28" t="n"/>
      <c r="D63" s="33" t="n"/>
    </row>
    <row r="64" ht="18" customHeight="1" s="10">
      <c r="A64" s="27" t="inlineStr">
        <is>
          <t>Proceeds from issue of bonds, notes and debentures</t>
        </is>
      </c>
      <c r="B64" s="28" t="n"/>
      <c r="C64" s="28" t="n"/>
      <c r="D64" s="33" t="n"/>
    </row>
    <row r="65" ht="18" customHeight="1" s="10">
      <c r="A65" s="27" t="inlineStr">
        <is>
          <t>Repayments of borrowings</t>
        </is>
      </c>
      <c r="B65" s="28" t="n"/>
      <c r="C65" s="28" t="n"/>
      <c r="D65" s="33" t="n"/>
    </row>
    <row r="66" ht="18" customHeight="1" s="10">
      <c r="A66" s="27" t="inlineStr">
        <is>
          <t>Repurchase of treasury shares</t>
        </is>
      </c>
      <c r="B66" s="28" t="n"/>
      <c r="C66" s="28" t="n"/>
      <c r="D66" s="33" t="n"/>
    </row>
    <row r="67" ht="18" customHeight="1" s="10">
      <c r="A67" s="27" t="inlineStr">
        <is>
          <t>Withdrawal of bank deposits</t>
        </is>
      </c>
      <c r="B67" s="28" t="n"/>
      <c r="C67" s="28" t="n"/>
      <c r="D67" s="33" t="n"/>
    </row>
    <row r="68" ht="18" customHeight="1" s="10">
      <c r="A68" s="27" t="inlineStr">
        <is>
          <t>Withdrawal of securities pledged for borrowings</t>
        </is>
      </c>
      <c r="B68" s="28" t="n"/>
      <c r="C68" s="28" t="n"/>
      <c r="D68" s="33" t="n"/>
    </row>
    <row r="69" ht="18" customHeight="1" s="10">
      <c r="A69" s="27" t="inlineStr">
        <is>
          <t>Dividends paid</t>
        </is>
      </c>
      <c r="B69" s="28" t="n"/>
      <c r="C69" s="28" t="n"/>
      <c r="D69" s="33" t="n"/>
    </row>
    <row r="70" ht="18" customHeight="1" s="10">
      <c r="A70" s="27" t="inlineStr">
        <is>
          <t>Interest paid</t>
        </is>
      </c>
      <c r="B70" s="28" t="n"/>
      <c r="C70" s="28" t="n"/>
      <c r="D70" s="33" t="n"/>
    </row>
    <row r="71" ht="18" customHeight="1" s="10">
      <c r="A71" s="27" t="inlineStr">
        <is>
          <t>Other inflows (outflows) of cash, classified as financing activities</t>
        </is>
      </c>
      <c r="B71" s="28" t="n"/>
      <c r="C71" s="28" t="n"/>
      <c r="D71" s="33" t="n"/>
    </row>
    <row r="72" ht="18" customHeight="1" s="10">
      <c r="A72" s="27" t="inlineStr">
        <is>
          <t>Net cash flows from (used in) financing activities</t>
        </is>
      </c>
      <c r="B72" s="28">
        <f>1*B54+1*B55+1*B56+1*B57+1*B58+1*B59+-1*B60+-1*B61+-1*B62+1*B63+1*B64+-1*B65+1*B66+1*B67+1*B68+-1*B69+-1*B70+1*B71</f>
        <v/>
      </c>
      <c r="C72" s="28">
        <f>1*C54+1*C55+1*C56+1*C57+1*C58+1*C59+-1*C60+-1*C61+-1*C62+1*C63+1*C64+-1*C65+1*C66+1*C67+1*C68+-1*C69+-1*C70+1*C71</f>
        <v/>
      </c>
      <c r="D72" s="33" t="n"/>
    </row>
    <row r="73" ht="18" customHeight="1" s="10">
      <c r="A73" s="27" t="inlineStr">
        <is>
          <t>Net increase (decrease) in cash and cash equivalents before effect of exchange rate changes</t>
        </is>
      </c>
      <c r="B73" s="28">
        <f>1*B20+1*B52+1*B72</f>
        <v/>
      </c>
      <c r="C73" s="28">
        <f>1*C20+1*C52+1*C72</f>
        <v/>
      </c>
      <c r="D73" s="33" t="n"/>
    </row>
    <row r="74" ht="18" customHeight="1" s="10">
      <c r="A74" s="27" t="inlineStr">
        <is>
          <t>Effect of exchange rate changes on cash and cash equivalents</t>
        </is>
      </c>
      <c r="B74" s="28" t="n"/>
      <c r="C74" s="28" t="n"/>
      <c r="D74" s="33" t="n"/>
    </row>
    <row r="75" ht="18" customHeight="1" s="10">
      <c r="A75" s="27" t="inlineStr">
        <is>
          <t>Net increase (decrease) in cash and cash equivalents after effect of exchange rate changes</t>
        </is>
      </c>
      <c r="B75" s="28">
        <f>1*B73+1*B74</f>
        <v/>
      </c>
      <c r="C75" s="28">
        <f>1*C73+1*C74</f>
        <v/>
      </c>
      <c r="D75" s="33" t="n"/>
    </row>
    <row r="76" ht="18" customHeight="1" s="10">
      <c r="A76" s="27" t="inlineStr">
        <is>
          <t>Cash and cash equivalents at beginning of period</t>
        </is>
      </c>
      <c r="B76" s="28" t="n"/>
      <c r="C76" s="28" t="n"/>
      <c r="D76" s="33" t="n"/>
    </row>
    <row r="77" ht="18" customHeight="1" s="10">
      <c r="A77" s="27" t="inlineStr">
        <is>
          <t>Cash and cash equivalents at end of period</t>
        </is>
      </c>
      <c r="B77" s="35">
        <f>1*B76+1*B75</f>
        <v/>
      </c>
      <c r="C77" s="35">
        <f>1*C76+1*C75</f>
        <v/>
      </c>
      <c r="D77" s="36" t="n"/>
    </row>
    <row r="78" ht="18" customHeight="1" s="10">
      <c r="A78" s="25" t="inlineStr">
        <is>
          <t>Details of cash flows [abstract]</t>
        </is>
      </c>
      <c r="B78" s="26" t="n"/>
      <c r="C78" s="26" t="n"/>
      <c r="D78" s="32" t="n"/>
    </row>
    <row r="79" ht="18" customHeight="1" s="10">
      <c r="A79" s="29" t="inlineStr">
        <is>
          <t>Total Cash and bank balances</t>
        </is>
      </c>
      <c r="B79" s="30" t="n"/>
      <c r="C79" s="30" t="n"/>
      <c r="D79" s="34" t="n"/>
    </row>
    <row r="80" ht="18" customHeight="1" s="10">
      <c r="A80" s="27" t="inlineStr">
        <is>
          <t>Bank overdrafts</t>
        </is>
      </c>
      <c r="B80" s="28" t="n"/>
      <c r="C80" s="28" t="n"/>
      <c r="D80" s="33" t="n"/>
    </row>
    <row r="81" ht="18" customHeight="1" s="10">
      <c r="A81" s="27" t="inlineStr">
        <is>
          <t>Other adjustments to reconcile cash and cash equivalents</t>
        </is>
      </c>
      <c r="B81" s="28" t="n"/>
      <c r="C81" s="28" t="n"/>
      <c r="D81" s="33" t="n"/>
    </row>
    <row r="82" ht="18" customHeight="1" s="10">
      <c r="A82" s="29" t="inlineStr">
        <is>
          <t>Total cash and cash equivalents</t>
        </is>
      </c>
      <c r="B82" s="30">
        <f>1*B79+-1*B80+1*B81</f>
        <v/>
      </c>
      <c r="C82" s="30">
        <f>1*C79+-1*C80+1*C81</f>
        <v/>
      </c>
      <c r="D82" s="34" t="n"/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:language xmlns:dc="http://purl.org/dc/elements/1.1/">en-US</dc:language>
  <dcterms:created xmlns:dcterms="http://purl.org/dc/terms/" xmlns:xsi="http://www.w3.org/2001/XMLSchema-instance" xsi:type="dcterms:W3CDTF">2026-04-04T06:50:51Z</dcterms:created>
  <dcterms:modified xmlns:dcterms="http://purl.org/dc/terms/" xmlns:xsi="http://www.w3.org/2001/XMLSchema-instance" xsi:type="dcterms:W3CDTF">2026-07-02T18:05:50Z</dcterms:modified>
  <cp:revision>0</cp:revision>
</cp:coreProperties>
</file>