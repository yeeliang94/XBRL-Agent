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 refMode="A1" iterate="0" iterateCount="100" iterateDelta="0.0001" calcOnSave="1" forceFullCalc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b val="1"/>
      <sz val="10"/>
    </font>
    <font>
      <name val="Arial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22" customWidth="1" style="12" min="2" max="3"/>
  </cols>
  <sheetData>
    <row r="1" ht="15" customHeight="1" s="13">
      <c r="B1" s="28" t="inlineStr">
        <is>
          <t>01/01/YYYY - 31/12/YYYY</t>
        </is>
      </c>
      <c r="C1" s="28" t="inlineStr">
        <is>
          <t>01/01/YYYY - 31/12/YYYY</t>
        </is>
      </c>
    </row>
    <row r="3" ht="15" customHeight="1" s="13">
      <c r="A3" s="15" t="inlineStr">
        <is>
          <t>Statement of financial position</t>
        </is>
      </c>
    </row>
    <row r="4" ht="15" customHeight="1" s="13">
      <c r="A4" s="16" t="inlineStr">
        <is>
          <t>Statement of financial position</t>
        </is>
      </c>
      <c r="B4" s="25" t="n"/>
      <c r="C4" s="25" t="n"/>
    </row>
    <row r="5" ht="15" customHeight="1" s="13">
      <c r="A5" s="16" t="inlineStr">
        <is>
          <t>Statement of financial position</t>
        </is>
      </c>
      <c r="B5" s="25" t="n"/>
      <c r="C5" s="25" t="n"/>
    </row>
    <row r="6" ht="15" customHeight="1" s="13">
      <c r="A6" s="16" t="inlineStr">
        <is>
          <t>Assets</t>
        </is>
      </c>
      <c r="B6" s="25" t="n"/>
      <c r="C6" s="25" t="n"/>
    </row>
    <row r="7" ht="15" customHeight="1" s="13">
      <c r="A7" s="16" t="inlineStr">
        <is>
          <t>Non-current assets</t>
        </is>
      </c>
      <c r="B7" s="25" t="n"/>
      <c r="C7" s="25" t="n"/>
    </row>
    <row r="8" ht="15" customHeight="1" s="13">
      <c r="A8" s="18" t="inlineStr">
        <is>
          <t>*Property, plant and equipment</t>
        </is>
      </c>
      <c r="B8" s="26">
        <f>'SOFP-Sub-CuNonCu'!B39</f>
        <v/>
      </c>
      <c r="C8" s="26">
        <f>'SOFP-Sub-CuNonCu'!C39</f>
        <v/>
      </c>
    </row>
    <row r="9" ht="15" customHeight="1" s="13">
      <c r="A9" s="18" t="inlineStr">
        <is>
          <t>*Investment property</t>
        </is>
      </c>
      <c r="B9" s="26">
        <f>'SOFP-Sub-CuNonCu'!B49</f>
        <v/>
      </c>
      <c r="C9" s="26">
        <f>'SOFP-Sub-CuNonCu'!C49</f>
        <v/>
      </c>
    </row>
    <row r="10" ht="15" customHeight="1" s="13">
      <c r="A10" s="20" t="inlineStr">
        <is>
          <t>Biological assets</t>
        </is>
      </c>
      <c r="B10" s="21" t="n"/>
      <c r="C10" s="21" t="n"/>
    </row>
    <row r="11" ht="15" customHeight="1" s="13">
      <c r="A11" s="20" t="inlineStr">
        <is>
          <t>Right-of-use assets</t>
        </is>
      </c>
      <c r="B11" s="21" t="n"/>
      <c r="C11" s="21" t="n"/>
    </row>
    <row r="12" ht="15" customHeight="1" s="13">
      <c r="A12" s="20" t="inlineStr">
        <is>
          <t>Service concession assets</t>
        </is>
      </c>
      <c r="B12" s="21" t="n"/>
      <c r="C12" s="21" t="n"/>
    </row>
    <row r="13" ht="15" customHeight="1" s="13">
      <c r="A13" s="18" t="inlineStr">
        <is>
          <t>*Intangible assets</t>
        </is>
      </c>
      <c r="B13" s="26">
        <f>'SOFP-Sub-CuNonCu'!B69</f>
        <v/>
      </c>
      <c r="C13" s="26">
        <f>'SOFP-Sub-CuNonCu'!C69</f>
        <v/>
      </c>
    </row>
    <row r="14" ht="15" customHeight="1" s="13">
      <c r="A14" s="18" t="inlineStr">
        <is>
          <t>*Investments in subsidiaries</t>
        </is>
      </c>
      <c r="B14" s="26">
        <f>'SOFP-Sub-CuNonCu'!B77</f>
        <v/>
      </c>
      <c r="C14" s="26">
        <f>'SOFP-Sub-CuNonCu'!C77</f>
        <v/>
      </c>
    </row>
    <row r="15" ht="15" customHeight="1" s="13">
      <c r="A15" s="18" t="inlineStr">
        <is>
          <t>*Investments in associates</t>
        </is>
      </c>
      <c r="B15" s="26">
        <f>'SOFP-Sub-CuNonCu'!B86</f>
        <v/>
      </c>
      <c r="C15" s="26">
        <f>'SOFP-Sub-CuNonCu'!C86</f>
        <v/>
      </c>
    </row>
    <row r="16" ht="15" customHeight="1" s="13">
      <c r="A16" s="18" t="inlineStr">
        <is>
          <t>*Investments in joint ventures</t>
        </is>
      </c>
      <c r="B16" s="26">
        <f>'SOFP-Sub-CuNonCu'!B95</f>
        <v/>
      </c>
      <c r="C16" s="26">
        <f>'SOFP-Sub-CuNonCu'!C95</f>
        <v/>
      </c>
    </row>
    <row r="17" ht="15" customHeight="1" s="13">
      <c r="A17" s="18" t="inlineStr">
        <is>
          <t>*Other investments</t>
        </is>
      </c>
      <c r="B17" s="21" t="n"/>
      <c r="C17" s="21" t="n"/>
    </row>
    <row r="18" ht="15" customHeight="1" s="13">
      <c r="A18" s="18" t="inlineStr">
        <is>
          <t>*Trade and other non-current receivables</t>
        </is>
      </c>
      <c r="B18" s="26">
        <f>'SOFP-Sub-CuNonCu'!B120</f>
        <v/>
      </c>
      <c r="C18" s="26">
        <f>'SOFP-Sub-CuNonCu'!C120</f>
        <v/>
      </c>
    </row>
    <row r="19" ht="15" customHeight="1" s="13">
      <c r="A19" s="20" t="inlineStr">
        <is>
          <t>Contract assets</t>
        </is>
      </c>
      <c r="B19" s="21" t="n"/>
      <c r="C19" s="21" t="n"/>
    </row>
    <row r="20" ht="15" customHeight="1" s="13">
      <c r="A20" s="20" t="inlineStr">
        <is>
          <t>Deferred tax assets</t>
        </is>
      </c>
      <c r="B20" s="21" t="n"/>
      <c r="C20" s="21" t="n"/>
    </row>
    <row r="21" ht="15" customHeight="1" s="13">
      <c r="A21" s="18" t="inlineStr">
        <is>
          <t>*Derivative financial assets</t>
        </is>
      </c>
      <c r="B21" s="26">
        <f>'SOFP-Sub-CuNonCu'!B129</f>
        <v/>
      </c>
      <c r="C21" s="26">
        <f>'SOFP-Sub-CuNonCu'!C129</f>
        <v/>
      </c>
    </row>
    <row r="22" ht="15" customHeight="1" s="13">
      <c r="A22" s="18" t="inlineStr">
        <is>
          <t>*Other non-current assets</t>
        </is>
      </c>
      <c r="B22" s="26">
        <f>'SOFP-Sub-CuNonCu'!B198</f>
        <v/>
      </c>
      <c r="C22" s="26">
        <f>'SOFP-Sub-CuNonCu'!C198</f>
        <v/>
      </c>
    </row>
    <row r="23" ht="15" customHeight="1" s="13">
      <c r="A23" s="22" t="inlineStr">
        <is>
          <t>*Total non-current assets</t>
        </is>
      </c>
      <c r="B23" s="23">
        <f>1*B8+1*B9+1*B10+1*B11+1*B12+1*B13+1*B14+1*B15+1*B16+1*B17+1*B18+1*B19+1*B20+1*B21+1*B22</f>
        <v/>
      </c>
      <c r="C23" s="23">
        <f>1*C8+1*C9+1*C10+1*C11+1*C12+1*C13+1*C14+1*C15+1*C16+1*C17+1*C18+1*C19+1*C20+1*C21+1*C22</f>
        <v/>
      </c>
    </row>
    <row r="24" ht="15" customHeight="1" s="13">
      <c r="A24" s="16" t="inlineStr">
        <is>
          <t>Current assets</t>
        </is>
      </c>
      <c r="B24" s="25" t="n"/>
      <c r="C24" s="25" t="n"/>
    </row>
    <row r="25" ht="15" customHeight="1" s="13">
      <c r="A25" s="18" t="inlineStr">
        <is>
          <t>*Inventories</t>
        </is>
      </c>
      <c r="B25" s="26">
        <f>'SOFP-Sub-CuNonCu'!B136</f>
        <v/>
      </c>
      <c r="C25" s="26">
        <f>'SOFP-Sub-CuNonCu'!C136</f>
        <v/>
      </c>
    </row>
    <row r="26" ht="15" customHeight="1" s="13">
      <c r="A26" s="20" t="inlineStr">
        <is>
          <t>Biological assets</t>
        </is>
      </c>
      <c r="B26" s="21" t="n"/>
      <c r="C26" s="21" t="n"/>
    </row>
    <row r="27" ht="15" customHeight="1" s="13">
      <c r="A27" s="20" t="inlineStr">
        <is>
          <t>Other investments</t>
        </is>
      </c>
      <c r="B27" s="21" t="n"/>
      <c r="C27" s="21" t="n"/>
    </row>
    <row r="28" ht="15" customHeight="1" s="13">
      <c r="A28" s="20" t="inlineStr">
        <is>
          <t>Current tax assets</t>
        </is>
      </c>
      <c r="B28" s="21" t="n"/>
      <c r="C28" s="21" t="n"/>
    </row>
    <row r="29" ht="15" customHeight="1" s="13">
      <c r="A29" s="18" t="inlineStr">
        <is>
          <t>*Trade and other current receivables</t>
        </is>
      </c>
      <c r="B29" s="26">
        <f>'SOFP-Sub-CuNonCu'!B169</f>
        <v/>
      </c>
      <c r="C29" s="26">
        <f>'SOFP-Sub-CuNonCu'!C169</f>
        <v/>
      </c>
    </row>
    <row r="30" ht="15" customHeight="1" s="13">
      <c r="A30" s="20" t="inlineStr">
        <is>
          <t>Contract assets</t>
        </is>
      </c>
      <c r="B30" s="21" t="n"/>
      <c r="C30" s="21" t="n"/>
    </row>
    <row r="31" ht="15" customHeight="1" s="13">
      <c r="A31" s="18" t="inlineStr">
        <is>
          <t>*Derivative financial assets</t>
        </is>
      </c>
      <c r="B31" s="26">
        <f>'SOFP-Sub-CuNonCu'!B178</f>
        <v/>
      </c>
      <c r="C31" s="26">
        <f>'SOFP-Sub-CuNonCu'!C178</f>
        <v/>
      </c>
    </row>
    <row r="32" ht="15" customHeight="1" s="13">
      <c r="A32" s="18" t="inlineStr">
        <is>
          <t>*Cash and cash equivalents</t>
        </is>
      </c>
      <c r="B32" s="26">
        <f>'SOFP-Sub-CuNonCu'!B193</f>
        <v/>
      </c>
      <c r="C32" s="26">
        <f>'SOFP-Sub-CuNonCu'!C193</f>
        <v/>
      </c>
    </row>
    <row r="33" ht="15" customHeight="1" s="13">
      <c r="A33" s="18" t="inlineStr">
        <is>
          <t>*Other current assets</t>
        </is>
      </c>
      <c r="B33" s="21" t="n"/>
      <c r="C33" s="21" t="n"/>
    </row>
    <row r="34" ht="15" customHeight="1" s="13">
      <c r="A34" s="22" t="inlineStr">
        <is>
          <t>Total current assets other than assets held for sale</t>
        </is>
      </c>
      <c r="B34" s="23">
        <f>1*B25+1*B26+1*B27+1*B28+1*B29+1*B30+1*B31+1*B32+1*B33</f>
        <v/>
      </c>
      <c r="C34" s="23">
        <f>1*C25+1*C26+1*C27+1*C28+1*C29+1*C30+1*C31+1*C32+1*C33</f>
        <v/>
      </c>
    </row>
    <row r="35" ht="23.25" customHeight="1" s="13">
      <c r="A35" s="20" t="inlineStr">
        <is>
          <t>Non-current assets or disposal groups classified as held for sale or as held for distribution to owners</t>
        </is>
      </c>
      <c r="B35" s="21" t="n"/>
      <c r="C35" s="21" t="n"/>
    </row>
    <row r="36" ht="15" customHeight="1" s="13">
      <c r="A36" s="22" t="inlineStr">
        <is>
          <t>*Total current assets</t>
        </is>
      </c>
      <c r="B36" s="23">
        <f>1*B25+1*B26+1*B27+1*B28+1*B29+1*B30+1*B31+1*B32+1*B33+1*B35</f>
        <v/>
      </c>
      <c r="C36" s="23">
        <f>1*C25+1*C26+1*C27+1*C28+1*C29+1*C30+1*C31+1*C32+1*C33+1*C35</f>
        <v/>
      </c>
    </row>
    <row r="37" ht="15" customHeight="1" s="13">
      <c r="A37" s="22" t="inlineStr">
        <is>
          <t>*Total assets</t>
        </is>
      </c>
      <c r="B37" s="23">
        <f>1*B8+1*B9+1*B11+1*B12+1*B13+1*B14+1*B15+1*B16+1*B17+1*B18+1*B19+1*B20+1*B21+1*B22+1*B25+1*B27+1*B28+1*B29+1*B30+1*B31+1*B32+1*B33+1*B35+1*B26+1*B10</f>
        <v/>
      </c>
      <c r="C37" s="23">
        <f>1*C8+1*C9+1*C11+1*C12+1*C13+1*C14+1*C15+1*C16+1*C17+1*C18+1*C19+1*C20+1*C21+1*C22+1*C25+1*C27+1*C28+1*C29+1*C30+1*C31+1*C32+1*C33+1*C35+1*C26+1*C10</f>
        <v/>
      </c>
    </row>
    <row r="38" ht="15" customHeight="1" s="13">
      <c r="A38" s="16" t="inlineStr">
        <is>
          <t>Equity and liabilities</t>
        </is>
      </c>
      <c r="B38" s="25" t="n"/>
      <c r="C38" s="25" t="n"/>
    </row>
    <row r="39" ht="15" customHeight="1" s="13">
      <c r="A39" s="16" t="inlineStr">
        <is>
          <t>Equity</t>
        </is>
      </c>
      <c r="B39" s="25" t="n"/>
      <c r="C39" s="25" t="n"/>
    </row>
    <row r="40" ht="15" customHeight="1" s="13">
      <c r="A40" s="18" t="inlineStr">
        <is>
          <t>*Issued capital</t>
        </is>
      </c>
      <c r="B40" s="26">
        <f>'SOFP-Sub-CuNonCu'!B203</f>
        <v/>
      </c>
      <c r="C40" s="26">
        <f>'SOFP-Sub-CuNonCu'!C203</f>
        <v/>
      </c>
    </row>
    <row r="41" ht="15" customHeight="1" s="13">
      <c r="A41" s="18" t="inlineStr">
        <is>
          <t>*Retained earnings</t>
        </is>
      </c>
      <c r="B41" s="21" t="n"/>
      <c r="C41" s="21" t="n"/>
    </row>
    <row r="42" ht="15" customHeight="1" s="13">
      <c r="A42" s="20" t="inlineStr">
        <is>
          <t>Treasury shares</t>
        </is>
      </c>
      <c r="B42" s="21" t="n"/>
      <c r="C42" s="21" t="n"/>
    </row>
    <row r="43" ht="15" customHeight="1" s="13">
      <c r="A43" s="18" t="inlineStr">
        <is>
          <t>*Reserves</t>
        </is>
      </c>
      <c r="B43" s="26">
        <f>'SOFP-Sub-CuNonCu'!B222</f>
        <v/>
      </c>
      <c r="C43" s="26">
        <f>'SOFP-Sub-CuNonCu'!C222</f>
        <v/>
      </c>
    </row>
    <row r="44" ht="15" customHeight="1" s="13">
      <c r="A44" s="22" t="inlineStr">
        <is>
          <t>*Total equity attributable to owners</t>
        </is>
      </c>
      <c r="B44" s="23">
        <f>1*B40+1*B41+-1*B42+1*B43</f>
        <v/>
      </c>
      <c r="C44" s="23">
        <f>1*C40+1*C41+-1*C42+1*C43</f>
        <v/>
      </c>
    </row>
    <row r="45" ht="15" customHeight="1" s="13">
      <c r="A45" s="18" t="inlineStr">
        <is>
          <t>*Equity - other components</t>
        </is>
      </c>
      <c r="B45" s="26">
        <f>'SOFP-Sub-CuNonCu'!B229</f>
        <v/>
      </c>
      <c r="C45" s="26">
        <f>'SOFP-Sub-CuNonCu'!C229</f>
        <v/>
      </c>
    </row>
    <row r="46" ht="15" customHeight="1" s="13">
      <c r="A46" s="18" t="inlineStr">
        <is>
          <t>*Non-controlling interests</t>
        </is>
      </c>
      <c r="B46" s="21" t="n"/>
      <c r="C46" s="21" t="n"/>
    </row>
    <row r="47" ht="15" customHeight="1" s="13">
      <c r="A47" s="22" t="inlineStr">
        <is>
          <t>*Total equity</t>
        </is>
      </c>
      <c r="B47" s="23">
        <f>1*B40+1*B41+-1*B42+1*B43+1*B45+1*B46</f>
        <v/>
      </c>
      <c r="C47" s="23">
        <f>1*C40+1*C41+-1*C42+1*C43+1*C45+1*C46</f>
        <v/>
      </c>
    </row>
    <row r="48" ht="15" customHeight="1" s="13">
      <c r="A48" s="16" t="inlineStr">
        <is>
          <t>Liabilities</t>
        </is>
      </c>
      <c r="B48" s="25" t="n"/>
      <c r="C48" s="25" t="n"/>
    </row>
    <row r="49" ht="15" customHeight="1" s="13">
      <c r="A49" s="16" t="inlineStr">
        <is>
          <t>Non-current liabilities</t>
        </is>
      </c>
      <c r="B49" s="25" t="n"/>
      <c r="C49" s="25" t="n"/>
    </row>
    <row r="50" ht="15" customHeight="1" s="13">
      <c r="A50" s="20" t="inlineStr">
        <is>
          <t>Service concession liabilities</t>
        </is>
      </c>
      <c r="B50" s="21" t="n"/>
      <c r="C50" s="21" t="n"/>
    </row>
    <row r="51" ht="15" customHeight="1" s="13">
      <c r="A51" s="18" t="inlineStr">
        <is>
          <t>*Borrowings</t>
        </is>
      </c>
      <c r="B51" s="26">
        <f>'SOFP-Sub-CuNonCu'!B271</f>
        <v/>
      </c>
      <c r="C51" s="26">
        <f>'SOFP-Sub-CuNonCu'!C271</f>
        <v/>
      </c>
    </row>
    <row r="52" ht="15" customHeight="1" s="13">
      <c r="A52" s="20" t="inlineStr">
        <is>
          <t>Lease liabilities</t>
        </is>
      </c>
      <c r="B52" s="21" t="n"/>
      <c r="C52" s="21" t="n"/>
    </row>
    <row r="53" ht="15" customHeight="1" s="13">
      <c r="A53" s="18" t="inlineStr">
        <is>
          <t>*Employee benefit liabilities</t>
        </is>
      </c>
      <c r="B53" s="26">
        <f>'SOFP-Sub-CuNonCu'!B280</f>
        <v/>
      </c>
      <c r="C53" s="26">
        <f>'SOFP-Sub-CuNonCu'!C280</f>
        <v/>
      </c>
    </row>
    <row r="54" ht="15" customHeight="1" s="13">
      <c r="A54" s="18" t="inlineStr">
        <is>
          <t>*Provisions</t>
        </is>
      </c>
      <c r="B54" s="26">
        <f>'SOFP-Sub-CuNonCu'!B289</f>
        <v/>
      </c>
      <c r="C54" s="26">
        <f>'SOFP-Sub-CuNonCu'!C289</f>
        <v/>
      </c>
    </row>
    <row r="55" ht="15" customHeight="1" s="13">
      <c r="A55" s="18" t="inlineStr">
        <is>
          <t>*Trade and other non-current payables</t>
        </is>
      </c>
      <c r="B55" s="26">
        <f>'SOFP-Sub-CuNonCu'!B321</f>
        <v/>
      </c>
      <c r="C55" s="26">
        <f>'SOFP-Sub-CuNonCu'!C321</f>
        <v/>
      </c>
    </row>
    <row r="56" ht="15" customHeight="1" s="13">
      <c r="A56" s="20" t="inlineStr">
        <is>
          <t>Contract liabilities</t>
        </is>
      </c>
      <c r="B56" s="21" t="n"/>
      <c r="C56" s="21" t="n"/>
    </row>
    <row r="57" ht="15" customHeight="1" s="13">
      <c r="A57" s="20" t="inlineStr">
        <is>
          <t>Deferred tax liabilities</t>
        </is>
      </c>
      <c r="B57" s="21" t="n"/>
      <c r="C57" s="21" t="n"/>
    </row>
    <row r="58" ht="15" customHeight="1" s="13">
      <c r="A58" s="18" t="inlineStr">
        <is>
          <t>*Derivative financial liabilities</t>
        </is>
      </c>
      <c r="B58" s="26">
        <f>'SOFP-Sub-CuNonCu'!B336</f>
        <v/>
      </c>
      <c r="C58" s="26">
        <f>'SOFP-Sub-CuNonCu'!C336</f>
        <v/>
      </c>
    </row>
    <row r="59" ht="15" customHeight="1" s="13">
      <c r="A59" s="20" t="inlineStr">
        <is>
          <t>Other non-current liabilities</t>
        </is>
      </c>
      <c r="B59" s="21" t="n"/>
      <c r="C59" s="21" t="n"/>
    </row>
    <row r="60" ht="15" customHeight="1" s="13">
      <c r="A60" s="22" t="inlineStr">
        <is>
          <t>*Total non-current liabilities</t>
        </is>
      </c>
      <c r="B60" s="23">
        <f>1*B50+1*B51+1*B52+1*B53+1*B54+1*B55+1*B56+1*B57+1*B58+1*B59</f>
        <v/>
      </c>
      <c r="C60" s="23">
        <f>1*C50+1*C51+1*C52+1*C53+1*C54+1*C55+1*C56+1*C57+1*C58+1*C59</f>
        <v/>
      </c>
    </row>
    <row r="61" ht="15" customHeight="1" s="13">
      <c r="A61" s="16" t="inlineStr">
        <is>
          <t>Current liabilities</t>
        </is>
      </c>
      <c r="B61" s="25" t="n"/>
      <c r="C61" s="25" t="n"/>
    </row>
    <row r="62" ht="15" customHeight="1" s="13">
      <c r="A62" s="18" t="inlineStr">
        <is>
          <t>*Borrowings</t>
        </is>
      </c>
      <c r="B62" s="26">
        <f>'SOFP-Sub-CuNonCu'!B383</f>
        <v/>
      </c>
      <c r="C62" s="26">
        <f>'SOFP-Sub-CuNonCu'!C383</f>
        <v/>
      </c>
    </row>
    <row r="63" ht="15" customHeight="1" s="13">
      <c r="A63" s="20" t="inlineStr">
        <is>
          <t>Lease liabilities</t>
        </is>
      </c>
      <c r="B63" s="21" t="n"/>
      <c r="C63" s="21" t="n"/>
    </row>
    <row r="64" ht="15" customHeight="1" s="13">
      <c r="A64" s="18" t="inlineStr">
        <is>
          <t>*Employee benefit liabilities</t>
        </is>
      </c>
      <c r="B64" s="26">
        <f>'SOFP-Sub-CuNonCu'!B392</f>
        <v/>
      </c>
      <c r="C64" s="26">
        <f>'SOFP-Sub-CuNonCu'!C392</f>
        <v/>
      </c>
    </row>
    <row r="65" ht="15" customHeight="1" s="13">
      <c r="A65" s="18" t="inlineStr">
        <is>
          <t>*Provisions</t>
        </is>
      </c>
      <c r="B65" s="26">
        <f>'SOFP-Sub-CuNonCu'!B401</f>
        <v/>
      </c>
      <c r="C65" s="26">
        <f>'SOFP-Sub-CuNonCu'!C401</f>
        <v/>
      </c>
    </row>
    <row r="66" ht="15" customHeight="1" s="13">
      <c r="A66" s="20" t="inlineStr">
        <is>
          <t>Current tax liabilities</t>
        </is>
      </c>
      <c r="B66" s="21" t="n"/>
      <c r="C66" s="21" t="n"/>
    </row>
    <row r="67" ht="15" customHeight="1" s="13">
      <c r="A67" s="18" t="inlineStr">
        <is>
          <t>*Trade and other current payables</t>
        </is>
      </c>
      <c r="B67" s="26">
        <f>'SOFP-Sub-CuNonCu'!B437</f>
        <v/>
      </c>
      <c r="C67" s="26">
        <f>'SOFP-Sub-CuNonCu'!C437</f>
        <v/>
      </c>
    </row>
    <row r="68" ht="15" customHeight="1" s="13">
      <c r="A68" s="20" t="inlineStr">
        <is>
          <t>Contract liabilities</t>
        </is>
      </c>
      <c r="B68" s="21" t="n"/>
      <c r="C68" s="21" t="n"/>
    </row>
    <row r="69" ht="15" customHeight="1" s="13">
      <c r="A69" s="18" t="inlineStr">
        <is>
          <t>*Derivative financial liabilities</t>
        </is>
      </c>
      <c r="B69" s="26">
        <f>'SOFP-Sub-CuNonCu'!B452</f>
        <v/>
      </c>
      <c r="C69" s="26">
        <f>'SOFP-Sub-CuNonCu'!C452</f>
        <v/>
      </c>
    </row>
    <row r="70" ht="15" customHeight="1" s="13">
      <c r="A70" s="20" t="inlineStr">
        <is>
          <t>Other current liabilities</t>
        </is>
      </c>
      <c r="B70" s="21" t="n"/>
      <c r="C70" s="21" t="n"/>
    </row>
    <row r="71" ht="15" customHeight="1" s="13">
      <c r="A71" s="22" t="inlineStr">
        <is>
          <t>Total current liabilities other than liabilities held for sale</t>
        </is>
      </c>
      <c r="B71" s="23">
        <f>1*B62+1*B63+1*B64+1*B65+1*B66+1*B67+1*B68+1*B69+1*B70</f>
        <v/>
      </c>
      <c r="C71" s="23">
        <f>1*C62+1*C63+1*C64+1*C65+1*C66+1*C67+1*C68+1*C69+1*C70</f>
        <v/>
      </c>
    </row>
    <row r="72" ht="23.25" customHeight="1" s="13">
      <c r="A72" s="18" t="inlineStr">
        <is>
          <t>*Liabilities included in disposal groups classified as held for sale</t>
        </is>
      </c>
      <c r="B72" s="21" t="n"/>
      <c r="C72" s="21" t="n"/>
    </row>
    <row r="73" ht="15" customHeight="1" s="13">
      <c r="A73" s="22" t="inlineStr">
        <is>
          <t>*Total current liabilities</t>
        </is>
      </c>
      <c r="B73" s="23">
        <f>1*B62+1*B63+1*B64+1*B65+1*B66+1*B67+1*B68+1*B69+1*B70+1*B72</f>
        <v/>
      </c>
      <c r="C73" s="23">
        <f>1*C62+1*C63+1*C64+1*C65+1*C66+1*C67+1*C68+1*C69+1*C70+1*C72</f>
        <v/>
      </c>
    </row>
    <row r="74" ht="15" customHeight="1" s="13">
      <c r="A74" s="22" t="inlineStr">
        <is>
          <t>*Total liabilities</t>
        </is>
      </c>
      <c r="B74" s="23">
        <f>1*B60+1*B73</f>
        <v/>
      </c>
      <c r="C74" s="23">
        <f>1*C60+1*C73</f>
        <v/>
      </c>
    </row>
    <row r="75" ht="15" customHeight="1" s="13">
      <c r="A75" s="22" t="inlineStr">
        <is>
          <t>*Total equity and liabilities</t>
        </is>
      </c>
      <c r="B75" s="23">
        <f>1*B47+1*B74</f>
        <v/>
      </c>
      <c r="C75" s="23">
        <f>1*C47+1*C74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22" customWidth="1" style="12" min="2" max="3"/>
  </cols>
  <sheetData>
    <row r="1" ht="15" customHeight="1" s="13">
      <c r="B1" s="28" t="inlineStr">
        <is>
          <t>01/01/YYYY - 31/12/YYYY</t>
        </is>
      </c>
      <c r="C1" s="28" t="inlineStr">
        <is>
          <t>01/01/YYYY - 31/12/YYYY</t>
        </is>
      </c>
    </row>
    <row r="3" ht="15" customHeight="1" s="13">
      <c r="A3" s="15" t="inlineStr">
        <is>
          <t>Sub-classification of assets, liabilities and equity</t>
        </is>
      </c>
    </row>
    <row r="4" ht="15" customHeight="1" s="13">
      <c r="A4" s="16" t="inlineStr">
        <is>
          <t>Statement on sub-classification of assets, liabilities and equity</t>
        </is>
      </c>
      <c r="B4" s="25" t="n"/>
      <c r="C4" s="25" t="n"/>
    </row>
    <row r="5" ht="15" customHeight="1" s="13">
      <c r="A5" s="16" t="inlineStr">
        <is>
          <t>Statement on sub-classification of assets, liabilities and equity</t>
        </is>
      </c>
      <c r="B5" s="25" t="n"/>
      <c r="C5" s="25" t="n"/>
    </row>
    <row r="6" ht="15" customHeight="1" s="13">
      <c r="A6" s="16" t="inlineStr">
        <is>
          <t>Sub-classification of assets, liabilities and equity</t>
        </is>
      </c>
      <c r="B6" s="25" t="n"/>
      <c r="C6" s="25" t="n"/>
    </row>
    <row r="7" ht="15" customHeight="1" s="13">
      <c r="A7" s="16" t="inlineStr">
        <is>
          <t>Property, plant and equipment</t>
        </is>
      </c>
      <c r="B7" s="25" t="n"/>
      <c r="C7" s="25" t="n"/>
    </row>
    <row r="8" ht="15" customHeight="1" s="13">
      <c r="A8" s="16" t="inlineStr">
        <is>
          <t>Land and buildings</t>
        </is>
      </c>
      <c r="B8" s="25" t="n"/>
      <c r="C8" s="25" t="n"/>
    </row>
    <row r="9" ht="15" customHeight="1" s="13">
      <c r="A9" s="16" t="inlineStr">
        <is>
          <t>Land</t>
        </is>
      </c>
      <c r="B9" s="25" t="n"/>
      <c r="C9" s="25" t="n"/>
    </row>
    <row r="10" ht="15" customHeight="1" s="13">
      <c r="A10" s="20" t="inlineStr">
        <is>
          <t>Freehold land</t>
        </is>
      </c>
      <c r="B10" s="21" t="n"/>
      <c r="C10" s="21" t="n"/>
    </row>
    <row r="11" ht="15" customHeight="1" s="13">
      <c r="A11" s="20" t="inlineStr">
        <is>
          <t>Long term leasehold land</t>
        </is>
      </c>
      <c r="B11" s="21" t="n"/>
      <c r="C11" s="21" t="n"/>
    </row>
    <row r="12" ht="15" customHeight="1" s="13">
      <c r="A12" s="20" t="inlineStr">
        <is>
          <t>Short term leasehold land</t>
        </is>
      </c>
      <c r="B12" s="21" t="n"/>
      <c r="C12" s="21" t="n"/>
    </row>
    <row r="13" ht="15" customHeight="1" s="13">
      <c r="A13" s="22" t="inlineStr">
        <is>
          <t>*Land</t>
        </is>
      </c>
      <c r="B13" s="23">
        <f>1*B10+1*B11+1*B12</f>
        <v/>
      </c>
      <c r="C13" s="23">
        <f>1*C10+1*C11+1*C12</f>
        <v/>
      </c>
    </row>
    <row r="14" ht="15" customHeight="1" s="13">
      <c r="A14" s="16" t="inlineStr">
        <is>
          <t>Buildings</t>
        </is>
      </c>
      <c r="B14" s="25" t="n"/>
      <c r="C14" s="25" t="n"/>
    </row>
    <row r="15" ht="15" customHeight="1" s="13">
      <c r="A15" s="20" t="inlineStr">
        <is>
          <t>Building on freehold land</t>
        </is>
      </c>
      <c r="B15" s="19" t="n"/>
      <c r="C15" s="19" t="n"/>
    </row>
    <row r="16" ht="15" customHeight="1" s="13">
      <c r="A16" s="20" t="inlineStr">
        <is>
          <t>Building on long term leasehold land</t>
        </is>
      </c>
      <c r="B16" s="21" t="n"/>
      <c r="C16" s="21" t="n"/>
    </row>
    <row r="17" ht="15" customHeight="1" s="13">
      <c r="A17" s="20" t="inlineStr">
        <is>
          <t>Building on short term leasehold land</t>
        </is>
      </c>
      <c r="B17" s="21" t="n"/>
      <c r="C17" s="21" t="n"/>
    </row>
    <row r="18" ht="15" customHeight="1" s="13">
      <c r="A18" s="20" t="inlineStr">
        <is>
          <t>Leased properties</t>
        </is>
      </c>
      <c r="B18" s="21" t="n"/>
      <c r="C18" s="21" t="n"/>
    </row>
    <row r="19" ht="15" customHeight="1" s="13">
      <c r="A19" s="22" t="inlineStr">
        <is>
          <t>Total buildings</t>
        </is>
      </c>
      <c r="B19" s="23">
        <f>1*B15+1*B16+1*B17+1*B18</f>
        <v/>
      </c>
      <c r="C19" s="23">
        <f>1*C15+1*C16+1*C17+1*C18</f>
        <v/>
      </c>
    </row>
    <row r="20" ht="15" customHeight="1" s="13">
      <c r="A20" s="22" t="inlineStr">
        <is>
          <t>*Total land and buildings</t>
        </is>
      </c>
      <c r="B20" s="23">
        <f>1*B13+1*B19</f>
        <v/>
      </c>
      <c r="C20" s="23">
        <f>1*C13+1*C19</f>
        <v/>
      </c>
    </row>
    <row r="21" ht="15" customHeight="1" s="13">
      <c r="A21" s="16" t="inlineStr">
        <is>
          <t>Vehicles</t>
        </is>
      </c>
      <c r="B21" s="25" t="n"/>
      <c r="C21" s="25" t="n"/>
    </row>
    <row r="22" ht="15" customHeight="1" s="13">
      <c r="A22" s="20" t="inlineStr">
        <is>
          <t>Vessels</t>
        </is>
      </c>
      <c r="B22" s="21" t="n"/>
      <c r="C22" s="21" t="n"/>
    </row>
    <row r="23" ht="15" customHeight="1" s="13">
      <c r="A23" s="20" t="inlineStr">
        <is>
          <t>Aircraft</t>
        </is>
      </c>
      <c r="B23" s="21" t="n"/>
      <c r="C23" s="21" t="n"/>
    </row>
    <row r="24" ht="15" customHeight="1" s="13">
      <c r="A24" s="20" t="inlineStr">
        <is>
          <t>Motor vehicles</t>
        </is>
      </c>
      <c r="B24" s="21" t="n"/>
      <c r="C24" s="21" t="n"/>
    </row>
    <row r="25" ht="15" customHeight="1" s="13">
      <c r="A25" s="20" t="inlineStr">
        <is>
          <t>Other vehicles</t>
        </is>
      </c>
      <c r="B25" s="21" t="n"/>
      <c r="C25" s="21" t="n"/>
    </row>
    <row r="26" ht="15" customHeight="1" s="13">
      <c r="A26" s="22" t="inlineStr">
        <is>
          <t>*Total vehicles</t>
        </is>
      </c>
      <c r="B26" s="23">
        <f>1*B22+1*B23+1*B24+1*B25</f>
        <v/>
      </c>
      <c r="C26" s="23">
        <f>1*C22+1*C23+1*C24+1*C25</f>
        <v/>
      </c>
    </row>
    <row r="27" ht="15" customHeight="1" s="13">
      <c r="A27" s="20" t="inlineStr">
        <is>
          <t>Machinery</t>
        </is>
      </c>
      <c r="B27" s="21" t="n"/>
      <c r="C27" s="21" t="n"/>
    </row>
    <row r="28" ht="15" customHeight="1" s="13">
      <c r="A28" s="20" t="inlineStr">
        <is>
          <t>Plant and equipment</t>
        </is>
      </c>
      <c r="B28" s="21" t="n"/>
      <c r="C28" s="21" t="n"/>
    </row>
    <row r="29" ht="15" customHeight="1" s="13">
      <c r="A29" s="20" t="inlineStr">
        <is>
          <t>Office equipment, fixture and fittings</t>
        </is>
      </c>
      <c r="B29" s="21" t="n"/>
      <c r="C29" s="21" t="n"/>
    </row>
    <row r="30" ht="15" customHeight="1" s="13">
      <c r="A30" s="20" t="inlineStr">
        <is>
          <t>Computer software and hardware</t>
        </is>
      </c>
      <c r="B30" s="21" t="n"/>
      <c r="C30" s="21" t="n"/>
    </row>
    <row r="31" ht="15" customHeight="1" s="13">
      <c r="A31" s="20" t="inlineStr">
        <is>
          <t>Bearer plants</t>
        </is>
      </c>
      <c r="B31" s="21" t="n"/>
      <c r="C31" s="21" t="n"/>
    </row>
    <row r="32" ht="15" customHeight="1" s="13">
      <c r="A32" s="20" t="inlineStr">
        <is>
          <t>Infrastructure and site facilities</t>
        </is>
      </c>
      <c r="B32" s="21" t="n"/>
      <c r="C32" s="21" t="n"/>
    </row>
    <row r="33" ht="15" customHeight="1" s="13">
      <c r="A33" s="20" t="inlineStr">
        <is>
          <t>Mining assets</t>
        </is>
      </c>
      <c r="B33" s="21" t="n"/>
      <c r="C33" s="21" t="n"/>
    </row>
    <row r="34" ht="15" customHeight="1" s="13">
      <c r="A34" s="20" t="inlineStr">
        <is>
          <t>Oil and gas assets</t>
        </is>
      </c>
      <c r="B34" s="21" t="n"/>
      <c r="C34" s="21" t="n"/>
    </row>
    <row r="35" ht="15" customHeight="1" s="13">
      <c r="A35" s="20" t="inlineStr">
        <is>
          <t>Tangible exploration and evaluation assets</t>
        </is>
      </c>
      <c r="B35" s="21" t="n"/>
      <c r="C35" s="21" t="n"/>
    </row>
    <row r="36" ht="15" customHeight="1" s="13">
      <c r="A36" s="20" t="inlineStr">
        <is>
          <t>Telecommunication equipments</t>
        </is>
      </c>
      <c r="B36" s="21" t="n"/>
      <c r="C36" s="21" t="n"/>
    </row>
    <row r="37" ht="15" customHeight="1" s="13">
      <c r="A37" s="20" t="inlineStr">
        <is>
          <t>Construction in progress/Asset work-in progress</t>
        </is>
      </c>
      <c r="B37" s="21" t="n"/>
      <c r="C37" s="21" t="n"/>
    </row>
    <row r="38" ht="15" customHeight="1" s="13">
      <c r="A38" s="20" t="inlineStr">
        <is>
          <t>Other property, plant and equipment</t>
        </is>
      </c>
      <c r="B38" s="21" t="n"/>
      <c r="C38" s="21" t="n"/>
    </row>
    <row r="39" ht="15" customHeight="1" s="13">
      <c r="A39" s="22" t="inlineStr">
        <is>
          <t>*Total property, plant and equipment</t>
        </is>
      </c>
      <c r="B39" s="23">
        <f>1*B20+1*B26+1*B27+1*B28+1*B29+1*B30+1*B31+1*B32+1*B33+1*B34+1*B35+1*B36+1*B37+1*B38</f>
        <v/>
      </c>
      <c r="C39" s="23">
        <f>1*C20+1*C26+1*C27+1*C28+1*C29+1*C30+1*C31+1*C32+1*C33+1*C34+1*C35+1*C36+1*C37+1*C38</f>
        <v/>
      </c>
    </row>
    <row r="40" ht="15" customHeight="1" s="13">
      <c r="A40" s="16" t="inlineStr">
        <is>
          <t>Investment property</t>
        </is>
      </c>
      <c r="B40" s="25" t="n"/>
      <c r="C40" s="25" t="n"/>
    </row>
    <row r="41" ht="15" customHeight="1" s="13">
      <c r="A41" s="16" t="inlineStr">
        <is>
          <t>Investment properties completed, at carrying value</t>
        </is>
      </c>
      <c r="B41" s="25" t="n"/>
      <c r="C41" s="25" t="n"/>
    </row>
    <row r="42" ht="15" customHeight="1" s="13">
      <c r="A42" s="20" t="inlineStr">
        <is>
          <t>Freehold land and building</t>
        </is>
      </c>
      <c r="B42" s="21" t="n"/>
      <c r="C42" s="21" t="n"/>
    </row>
    <row r="43" ht="15" customHeight="1" s="13">
      <c r="A43" s="20" t="inlineStr">
        <is>
          <t>Leasehold land and building</t>
        </is>
      </c>
      <c r="B43" s="21" t="n"/>
      <c r="C43" s="21" t="n"/>
    </row>
    <row r="44" ht="15" customHeight="1" s="13">
      <c r="A44" s="22" t="inlineStr">
        <is>
          <t>Total investment properties completed, at carrying value</t>
        </is>
      </c>
      <c r="B44" s="23">
        <f>1*B42+1*B43</f>
        <v/>
      </c>
      <c r="C44" s="23">
        <f>1*C42+1*C43</f>
        <v/>
      </c>
    </row>
    <row r="45" ht="23.25" customHeight="1" s="13">
      <c r="A45" s="16" t="inlineStr">
        <is>
          <t>Investment properties under construction or development, at cost</t>
        </is>
      </c>
      <c r="B45" s="25" t="n"/>
      <c r="C45" s="25" t="n"/>
    </row>
    <row r="46" ht="15" customHeight="1" s="13">
      <c r="A46" s="20" t="inlineStr">
        <is>
          <t>Building under construction</t>
        </is>
      </c>
      <c r="B46" s="21" t="n"/>
      <c r="C46" s="21" t="n"/>
    </row>
    <row r="47" ht="23.25" customHeight="1" s="13">
      <c r="A47" s="22" t="inlineStr">
        <is>
          <t>Total investment properties under construction or development, at cost</t>
        </is>
      </c>
      <c r="B47" s="23">
        <f>1*B46</f>
        <v/>
      </c>
      <c r="C47" s="23">
        <f>1*C46</f>
        <v/>
      </c>
    </row>
    <row r="48" ht="15" customHeight="1" s="13">
      <c r="A48" s="20" t="inlineStr">
        <is>
          <t>Other investment property</t>
        </is>
      </c>
      <c r="B48" s="21" t="n"/>
      <c r="C48" s="21" t="n"/>
    </row>
    <row r="49" ht="15" customHeight="1" s="13">
      <c r="A49" s="22" t="inlineStr">
        <is>
          <t>*Total investment properties</t>
        </is>
      </c>
      <c r="B49" s="23">
        <f>1*B44+1*B47+1*B48</f>
        <v/>
      </c>
      <c r="C49" s="23">
        <f>1*C44+1*C47+1*C48</f>
        <v/>
      </c>
    </row>
    <row r="50" ht="15" customHeight="1" s="13">
      <c r="A50" s="16" t="inlineStr">
        <is>
          <t>Biological assets</t>
        </is>
      </c>
      <c r="B50" s="25" t="n"/>
      <c r="C50" s="25" t="n"/>
    </row>
    <row r="51" ht="15" customHeight="1" s="13">
      <c r="A51" s="20" t="inlineStr">
        <is>
          <t>Consumable biological assets</t>
        </is>
      </c>
      <c r="B51" s="21" t="n"/>
      <c r="C51" s="21" t="n"/>
    </row>
    <row r="52" ht="15" customHeight="1" s="13">
      <c r="A52" s="20" t="inlineStr">
        <is>
          <t>Bearer biological assets</t>
        </is>
      </c>
      <c r="B52" s="21" t="n"/>
      <c r="C52" s="21" t="n"/>
    </row>
    <row r="53" ht="15" customHeight="1" s="13">
      <c r="A53" s="22" t="inlineStr">
        <is>
          <t>Total biological assets</t>
        </is>
      </c>
      <c r="B53" s="23">
        <f>1*B51+1*B52</f>
        <v/>
      </c>
      <c r="C53" s="23">
        <f>1*C51+1*C52</f>
        <v/>
      </c>
    </row>
    <row r="54" ht="15" customHeight="1" s="13">
      <c r="A54" s="16" t="inlineStr">
        <is>
          <t>Intangible assets and goodwill</t>
        </is>
      </c>
      <c r="B54" s="25" t="n"/>
      <c r="C54" s="25" t="n"/>
    </row>
    <row r="55" ht="15" customHeight="1" s="13">
      <c r="A55" s="16" t="inlineStr">
        <is>
          <t>Intangible assets other than goodwill</t>
        </is>
      </c>
      <c r="B55" s="25" t="n"/>
      <c r="C55" s="25" t="n"/>
    </row>
    <row r="56" ht="15" customHeight="1" s="13">
      <c r="A56" s="20" t="inlineStr">
        <is>
          <t>Customer acquisition costs</t>
        </is>
      </c>
      <c r="B56" s="21" t="n"/>
      <c r="C56" s="21" t="n"/>
    </row>
    <row r="57" ht="15" customHeight="1" s="13">
      <c r="A57" s="20" t="inlineStr">
        <is>
          <t>Brand names</t>
        </is>
      </c>
      <c r="B57" s="21" t="n"/>
      <c r="C57" s="21" t="n"/>
    </row>
    <row r="58" ht="15" customHeight="1" s="13">
      <c r="A58" s="20" t="inlineStr">
        <is>
          <t>Customer relationships</t>
        </is>
      </c>
      <c r="B58" s="21" t="n"/>
      <c r="C58" s="21" t="n"/>
    </row>
    <row r="59" ht="23.25" customHeight="1" s="13">
      <c r="A59" s="20" t="inlineStr">
        <is>
          <t>Copyrights, patents and other industrial property rights, service and operating rights</t>
        </is>
      </c>
      <c r="B59" s="21" t="n"/>
      <c r="C59" s="21" t="n"/>
    </row>
    <row r="60" ht="15" customHeight="1" s="13">
      <c r="A60" s="20" t="inlineStr">
        <is>
          <t>Intangible assets under development</t>
        </is>
      </c>
      <c r="B60" s="21" t="n"/>
      <c r="C60" s="21" t="n"/>
    </row>
    <row r="61" ht="15" customHeight="1" s="13">
      <c r="A61" s="20" t="inlineStr">
        <is>
          <t>Intangible exploration and evaluation assets</t>
        </is>
      </c>
      <c r="B61" s="21" t="n"/>
      <c r="C61" s="21" t="n"/>
    </row>
    <row r="62" ht="15" customHeight="1" s="13">
      <c r="A62" s="20" t="inlineStr">
        <is>
          <t>Licences and franchises</t>
        </is>
      </c>
      <c r="B62" s="21" t="n"/>
      <c r="C62" s="21" t="n"/>
    </row>
    <row r="63" ht="15" customHeight="1" s="13">
      <c r="A63" s="20" t="inlineStr">
        <is>
          <t>Recipes, formulae, models, designs and prototypes</t>
        </is>
      </c>
      <c r="B63" s="21" t="n"/>
      <c r="C63" s="21" t="n"/>
    </row>
    <row r="64" ht="15" customHeight="1" s="13">
      <c r="A64" s="20" t="inlineStr">
        <is>
          <t>Computer software</t>
        </is>
      </c>
      <c r="B64" s="21" t="n"/>
      <c r="C64" s="21" t="n"/>
    </row>
    <row r="65" ht="15" customHeight="1" s="13">
      <c r="A65" s="20" t="inlineStr">
        <is>
          <t>Small holder relationship</t>
        </is>
      </c>
      <c r="B65" s="21" t="n"/>
      <c r="C65" s="21" t="n"/>
    </row>
    <row r="66" ht="15" customHeight="1" s="13">
      <c r="A66" s="20" t="inlineStr">
        <is>
          <t>Other intangible assets</t>
        </is>
      </c>
      <c r="B66" s="21" t="n"/>
      <c r="C66" s="21" t="n"/>
    </row>
    <row r="67" ht="15" customHeight="1" s="13">
      <c r="A67" s="22" t="inlineStr">
        <is>
          <t>*Total intangible assets other than goodwill</t>
        </is>
      </c>
      <c r="B67" s="23">
        <f>1*B56+1*B57+1*B58+1*B59+1*B60+1*B61+1*B62+1*B63+1*B64+1*B65+1*B66</f>
        <v/>
      </c>
      <c r="C67" s="23">
        <f>1*C56+1*C57+1*C58+1*C59+1*C60+1*C61+1*C62+1*C63+1*C64+1*C65+1*C66</f>
        <v/>
      </c>
    </row>
    <row r="68" ht="15" customHeight="1" s="13">
      <c r="A68" s="20" t="inlineStr">
        <is>
          <t>Goodwill</t>
        </is>
      </c>
      <c r="B68" s="21" t="n"/>
      <c r="C68" s="21" t="n"/>
    </row>
    <row r="69" ht="15" customHeight="1" s="13">
      <c r="A69" s="22" t="inlineStr">
        <is>
          <t>*Total intangible assets and goodwill</t>
        </is>
      </c>
      <c r="B69" s="23">
        <f>1*B67+1*B68</f>
        <v/>
      </c>
      <c r="C69" s="23">
        <f>1*C67+1*C68</f>
        <v/>
      </c>
    </row>
    <row r="70" ht="15" customHeight="1" s="13">
      <c r="A70" s="16" t="inlineStr">
        <is>
          <t>Investments in subsidiaries</t>
        </is>
      </c>
      <c r="B70" s="25" t="n"/>
      <c r="C70" s="25" t="n"/>
    </row>
    <row r="71" ht="15" customHeight="1" s="13">
      <c r="A71" s="20" t="inlineStr">
        <is>
          <t>Unquoted shares, net of impairment losses</t>
        </is>
      </c>
      <c r="B71" s="21" t="n"/>
      <c r="C71" s="21" t="n"/>
    </row>
    <row r="72" ht="15" customHeight="1" s="13">
      <c r="A72" s="20" t="inlineStr">
        <is>
          <t>Quoted shares in Malaysia</t>
        </is>
      </c>
      <c r="B72" s="21" t="n"/>
      <c r="C72" s="21" t="n"/>
    </row>
    <row r="73" ht="15" customHeight="1" s="13">
      <c r="A73" s="20" t="inlineStr">
        <is>
          <t>Quoted shares outside Malaysia</t>
        </is>
      </c>
      <c r="B73" s="21" t="n"/>
      <c r="C73" s="21" t="n"/>
    </row>
    <row r="74" ht="23.25" customHeight="1" s="13">
      <c r="A74" s="20" t="inlineStr">
        <is>
          <t>Fair value adjustments on loans and advances and financial guarantee</t>
        </is>
      </c>
      <c r="B74" s="21" t="n"/>
      <c r="C74" s="21" t="n"/>
    </row>
    <row r="75" ht="15" customHeight="1" s="13">
      <c r="A75" s="20" t="inlineStr">
        <is>
          <t>Contributions to subsidiaries, net of impairment losses</t>
        </is>
      </c>
      <c r="B75" s="21" t="n"/>
      <c r="C75" s="21" t="n"/>
    </row>
    <row r="76" ht="15" customHeight="1" s="13">
      <c r="A76" s="20" t="inlineStr">
        <is>
          <t>Other investments in subsidiaries</t>
        </is>
      </c>
      <c r="B76" s="21" t="n"/>
      <c r="C76" s="21" t="n"/>
    </row>
    <row r="77" ht="15" customHeight="1" s="13">
      <c r="A77" s="22" t="inlineStr">
        <is>
          <t>*Total investments in subsidiaries</t>
        </is>
      </c>
      <c r="B77" s="23">
        <f>1*B71+1*B72+1*B73+1*B74+1*B75+1*B76</f>
        <v/>
      </c>
      <c r="C77" s="23">
        <f>1*C71+1*C72+1*C73+1*C74+1*C75+1*C76</f>
        <v/>
      </c>
    </row>
    <row r="78" ht="15" customHeight="1" s="13">
      <c r="A78" s="16" t="inlineStr">
        <is>
          <t>Investments in associates</t>
        </is>
      </c>
      <c r="B78" s="25" t="n"/>
      <c r="C78" s="25" t="n"/>
    </row>
    <row r="79" ht="15" customHeight="1" s="13">
      <c r="A79" s="20" t="inlineStr">
        <is>
          <t>Unquoted shares, net of impairment losses</t>
        </is>
      </c>
      <c r="B79" s="21" t="n"/>
      <c r="C79" s="21" t="n"/>
    </row>
    <row r="80" ht="15" customHeight="1" s="13">
      <c r="A80" s="20" t="inlineStr">
        <is>
          <t>Quoted shares in Malaysia</t>
        </is>
      </c>
      <c r="B80" s="21" t="n"/>
      <c r="C80" s="21" t="n"/>
    </row>
    <row r="81" ht="15" customHeight="1" s="13">
      <c r="A81" s="20" t="inlineStr">
        <is>
          <t>Quoted shares outside Malaysia</t>
        </is>
      </c>
      <c r="B81" s="21" t="n"/>
      <c r="C81" s="21" t="n"/>
    </row>
    <row r="82" ht="23.25" customHeight="1" s="13">
      <c r="A82" s="20" t="inlineStr">
        <is>
          <t>Fair value adjustments on loans and advances and financial guarantee</t>
        </is>
      </c>
      <c r="B82" s="21" t="n"/>
      <c r="C82" s="21" t="n"/>
    </row>
    <row r="83" ht="15" customHeight="1" s="13">
      <c r="A83" s="20" t="inlineStr">
        <is>
          <t>Share of post-acquisition profits and reserves</t>
        </is>
      </c>
      <c r="B83" s="21" t="n"/>
      <c r="C83" s="21" t="n"/>
    </row>
    <row r="84" ht="15" customHeight="1" s="13">
      <c r="A84" s="20" t="inlineStr">
        <is>
          <t>Unrealised profit on transactions with associates</t>
        </is>
      </c>
      <c r="B84" s="21" t="n"/>
      <c r="C84" s="21" t="n"/>
    </row>
    <row r="85" ht="15" customHeight="1" s="13">
      <c r="A85" s="20" t="inlineStr">
        <is>
          <t>Other investments in associates</t>
        </is>
      </c>
      <c r="B85" s="21" t="n"/>
      <c r="C85" s="21" t="n"/>
    </row>
    <row r="86" ht="15" customHeight="1" s="13">
      <c r="A86" s="22" t="inlineStr">
        <is>
          <t>*Total investments in associates</t>
        </is>
      </c>
      <c r="B86" s="23">
        <f>1*B79+1*B80+1*B81+1*B82+1*B83+1*B84+1*B85</f>
        <v/>
      </c>
      <c r="C86" s="23">
        <f>1*C79+1*C80+1*C81+1*C82+1*C83+1*C84+1*C85</f>
        <v/>
      </c>
    </row>
    <row r="87" ht="15" customHeight="1" s="13">
      <c r="A87" s="16" t="inlineStr">
        <is>
          <t>Investments in joint ventures</t>
        </is>
      </c>
      <c r="B87" s="25" t="n"/>
      <c r="C87" s="25" t="n"/>
    </row>
    <row r="88" ht="15" customHeight="1" s="13">
      <c r="A88" s="20" t="inlineStr">
        <is>
          <t>Unquoted shares, net of impairment losses</t>
        </is>
      </c>
      <c r="B88" s="21" t="n"/>
      <c r="C88" s="21" t="n"/>
    </row>
    <row r="89" ht="15" customHeight="1" s="13">
      <c r="A89" s="20" t="inlineStr">
        <is>
          <t>Quoted shares in Malaysia</t>
        </is>
      </c>
      <c r="B89" s="21" t="n"/>
      <c r="C89" s="21" t="n"/>
    </row>
    <row r="90" ht="15" customHeight="1" s="13">
      <c r="A90" s="20" t="inlineStr">
        <is>
          <t>Quoted shares outside Malaysia</t>
        </is>
      </c>
      <c r="B90" s="21" t="n"/>
      <c r="C90" s="21" t="n"/>
    </row>
    <row r="91" ht="23.25" customHeight="1" s="13">
      <c r="A91" s="20" t="inlineStr">
        <is>
          <t>Fair value adjustments on loans and advances and financial guarantee</t>
        </is>
      </c>
      <c r="B91" s="21" t="n"/>
      <c r="C91" s="21" t="n"/>
    </row>
    <row r="92" ht="15" customHeight="1" s="13">
      <c r="A92" s="20" t="inlineStr">
        <is>
          <t>Share of post-acquisition profits and reserves</t>
        </is>
      </c>
      <c r="B92" s="21" t="n"/>
      <c r="C92" s="21" t="n"/>
    </row>
    <row r="93" ht="15" customHeight="1" s="13">
      <c r="A93" s="20" t="inlineStr">
        <is>
          <t>Unrealised profit on transactions with joint ventures</t>
        </is>
      </c>
      <c r="B93" s="21" t="n"/>
      <c r="C93" s="21" t="n"/>
    </row>
    <row r="94" ht="15" customHeight="1" s="13">
      <c r="A94" s="20" t="inlineStr">
        <is>
          <t>Other investments in joint ventures</t>
        </is>
      </c>
      <c r="B94" s="21" t="n"/>
      <c r="C94" s="21" t="n"/>
    </row>
    <row r="95" ht="15" customHeight="1" s="13">
      <c r="A95" s="22" t="inlineStr">
        <is>
          <t>*Total investments in joint ventures</t>
        </is>
      </c>
      <c r="B95" s="23">
        <f>1*B88+1*B89+1*B90+1*B91+1*B92+1*B93+1*B94</f>
        <v/>
      </c>
      <c r="C95" s="23">
        <f>1*C88+1*C89+1*C90+1*C91+1*C92+1*C93+1*C94</f>
        <v/>
      </c>
    </row>
    <row r="96" ht="15" customHeight="1" s="13">
      <c r="A96" s="16" t="inlineStr">
        <is>
          <t>Trade and other non-current receivables</t>
        </is>
      </c>
      <c r="B96" s="25" t="n"/>
      <c r="C96" s="25" t="n"/>
    </row>
    <row r="97" ht="15" customHeight="1" s="13">
      <c r="A97" s="16" t="inlineStr">
        <is>
          <t>Non-current trade receivables</t>
        </is>
      </c>
      <c r="B97" s="25" t="n"/>
      <c r="C97" s="25" t="n"/>
    </row>
    <row r="98" ht="15" customHeight="1" s="13">
      <c r="A98" s="20" t="inlineStr">
        <is>
          <t>Trade receivables</t>
        </is>
      </c>
      <c r="B98" s="21" t="n"/>
      <c r="C98" s="21" t="n"/>
    </row>
    <row r="99" ht="15" customHeight="1" s="13">
      <c r="A99" s="20" t="inlineStr">
        <is>
          <t>Trade receivables due from holding company</t>
        </is>
      </c>
      <c r="B99" s="21" t="n"/>
      <c r="C99" s="21" t="n"/>
    </row>
    <row r="100" ht="15" customHeight="1" s="13">
      <c r="A100" s="20" t="inlineStr">
        <is>
          <t>Trade receivables due from subsidiaries</t>
        </is>
      </c>
      <c r="B100" s="21" t="n"/>
      <c r="C100" s="21" t="n"/>
    </row>
    <row r="101" ht="15" customHeight="1" s="13">
      <c r="A101" s="20" t="inlineStr">
        <is>
          <t>Trade receivables from associates</t>
        </is>
      </c>
      <c r="B101" s="21" t="n"/>
      <c r="C101" s="21" t="n"/>
    </row>
    <row r="102" ht="15" customHeight="1" s="13">
      <c r="A102" s="20" t="inlineStr">
        <is>
          <t>Trade receivables due from joint ventures</t>
        </is>
      </c>
      <c r="B102" s="21" t="n"/>
      <c r="C102" s="21" t="n"/>
    </row>
    <row r="103" ht="15" customHeight="1" s="13">
      <c r="A103" s="20" t="inlineStr">
        <is>
          <t>Trade receivables due from other related parties</t>
        </is>
      </c>
      <c r="B103" s="21" t="n"/>
      <c r="C103" s="21" t="n"/>
    </row>
    <row r="104" ht="15" customHeight="1" s="13">
      <c r="A104" s="20" t="inlineStr">
        <is>
          <t>Other non-current trade receivables</t>
        </is>
      </c>
      <c r="B104" s="21" t="n"/>
      <c r="C104" s="21" t="n"/>
    </row>
    <row r="105" ht="15" customHeight="1" s="13">
      <c r="A105" s="22" t="inlineStr">
        <is>
          <t>Total non-current trade receivables</t>
        </is>
      </c>
      <c r="B105" s="23">
        <f>1*B98+1*B99+1*B100+1*B101+1*B102+1*B103+1*B104</f>
        <v/>
      </c>
      <c r="C105" s="23">
        <f>1*C98+1*C99+1*C100+1*C101+1*C102+1*C103+1*C104</f>
        <v/>
      </c>
    </row>
    <row r="106" ht="15" customHeight="1" s="13">
      <c r="A106" s="16" t="inlineStr">
        <is>
          <t>Other non-current receivables</t>
        </is>
      </c>
      <c r="B106" s="25" t="n"/>
      <c r="C106" s="25" t="n"/>
    </row>
    <row r="107" ht="15" customHeight="1" s="13">
      <c r="A107" s="16" t="inlineStr">
        <is>
          <t>Other non-current receivables due from related parties</t>
        </is>
      </c>
      <c r="B107" s="25" t="n"/>
      <c r="C107" s="25" t="n"/>
    </row>
    <row r="108" ht="15" customHeight="1" s="13">
      <c r="A108" s="20" t="inlineStr">
        <is>
          <t>Other receivables due from holding company</t>
        </is>
      </c>
      <c r="B108" s="21" t="n"/>
      <c r="C108" s="21" t="n"/>
    </row>
    <row r="109" ht="15" customHeight="1" s="13">
      <c r="A109" s="20" t="inlineStr">
        <is>
          <t>Other receivables due from subsidiaries</t>
        </is>
      </c>
      <c r="B109" s="21" t="n"/>
      <c r="C109" s="21" t="n"/>
    </row>
    <row r="110" ht="15" customHeight="1" s="13">
      <c r="A110" s="20" t="inlineStr">
        <is>
          <t>Other receivables due from associates</t>
        </is>
      </c>
      <c r="B110" s="21" t="n"/>
      <c r="C110" s="21" t="n"/>
    </row>
    <row r="111" ht="15" customHeight="1" s="13">
      <c r="A111" s="20" t="inlineStr">
        <is>
          <t>Other receivables due from joint ventures</t>
        </is>
      </c>
      <c r="B111" s="21" t="n"/>
      <c r="C111" s="21" t="n"/>
    </row>
    <row r="112" ht="15" customHeight="1" s="13">
      <c r="A112" s="20" t="inlineStr">
        <is>
          <t>Other receivables due from other related companies</t>
        </is>
      </c>
      <c r="B112" s="21" t="n"/>
      <c r="C112" s="21" t="n"/>
    </row>
    <row r="113" ht="15" customHeight="1" s="13">
      <c r="A113" s="22" t="inlineStr">
        <is>
          <t>*Total other non-current receivables due from related parties</t>
        </is>
      </c>
      <c r="B113" s="23">
        <f>1*B108+1*B109+1*B110+1*B111+1*B112</f>
        <v/>
      </c>
      <c r="C113" s="23">
        <f>1*C108+1*C109+1*C110+1*C111+1*C112</f>
        <v/>
      </c>
    </row>
    <row r="114" ht="15" customHeight="1" s="13">
      <c r="A114" s="16" t="inlineStr">
        <is>
          <t>Non-current non-trade receivables</t>
        </is>
      </c>
      <c r="B114" s="25" t="n"/>
      <c r="C114" s="25" t="n"/>
    </row>
    <row r="115" ht="15" customHeight="1" s="13">
      <c r="A115" s="20" t="inlineStr">
        <is>
          <t>Accrued income</t>
        </is>
      </c>
      <c r="B115" s="21" t="n"/>
      <c r="C115" s="21" t="n"/>
    </row>
    <row r="116" ht="15" customHeight="1" s="13">
      <c r="A116" s="20" t="inlineStr">
        <is>
          <t>Lease and hire purchase receivables</t>
        </is>
      </c>
      <c r="B116" s="21" t="n"/>
      <c r="C116" s="21" t="n"/>
    </row>
    <row r="117" ht="15" customHeight="1" s="13">
      <c r="A117" s="20" t="inlineStr">
        <is>
          <t>Other non-current non-trade receivables</t>
        </is>
      </c>
      <c r="B117" s="21" t="n"/>
      <c r="C117" s="21" t="n"/>
    </row>
    <row r="118" ht="15" customHeight="1" s="13">
      <c r="A118" s="22" t="inlineStr">
        <is>
          <t>*Total non-current non-trade receivables</t>
        </is>
      </c>
      <c r="B118" s="23">
        <f>1*B115+1*B116+1*B117</f>
        <v/>
      </c>
      <c r="C118" s="23">
        <f>1*C115+1*C116+1*C117</f>
        <v/>
      </c>
    </row>
    <row r="119" ht="15" customHeight="1" s="13">
      <c r="A119" s="22" t="inlineStr">
        <is>
          <t>Total other non-current receivables</t>
        </is>
      </c>
      <c r="B119" s="23">
        <f>1*B113+1*B118</f>
        <v/>
      </c>
      <c r="C119" s="23">
        <f>1*C113+1*C118</f>
        <v/>
      </c>
    </row>
    <row r="120" ht="15" customHeight="1" s="13">
      <c r="A120" s="22" t="inlineStr">
        <is>
          <t>*Total trade and other non-current receivables</t>
        </is>
      </c>
      <c r="B120" s="23">
        <f>1*B105+1*B119</f>
        <v/>
      </c>
      <c r="C120" s="23">
        <f>1*C105+1*C119</f>
        <v/>
      </c>
    </row>
    <row r="121" ht="15" customHeight="1" s="13">
      <c r="A121" s="16" t="inlineStr">
        <is>
          <t>Non-current derivative financial assets</t>
        </is>
      </c>
      <c r="B121" s="25" t="n"/>
      <c r="C121" s="25" t="n"/>
    </row>
    <row r="122" ht="15" customHeight="1" s="13">
      <c r="A122" s="16" t="inlineStr">
        <is>
          <t>Non-current derivatives at fair value through profit or loss</t>
        </is>
      </c>
      <c r="B122" s="25" t="n"/>
      <c r="C122" s="25" t="n"/>
    </row>
    <row r="123" ht="15" customHeight="1" s="13">
      <c r="A123" s="20" t="inlineStr">
        <is>
          <t>Forward contract</t>
        </is>
      </c>
      <c r="B123" s="21" t="n"/>
      <c r="C123" s="21" t="n"/>
    </row>
    <row r="124" ht="15" customHeight="1" s="13">
      <c r="A124" s="20" t="inlineStr">
        <is>
          <t>Options</t>
        </is>
      </c>
      <c r="B124" s="21" t="n"/>
      <c r="C124" s="21" t="n"/>
    </row>
    <row r="125" ht="15" customHeight="1" s="13">
      <c r="A125" s="20" t="inlineStr">
        <is>
          <t>Swap</t>
        </is>
      </c>
      <c r="B125" s="21" t="n"/>
      <c r="C125" s="21" t="n"/>
    </row>
    <row r="126" ht="15" customHeight="1" s="13">
      <c r="A126" s="20" t="inlineStr">
        <is>
          <t>Other derivatives</t>
        </is>
      </c>
      <c r="B126" s="21" t="n"/>
      <c r="C126" s="21" t="n"/>
    </row>
    <row r="127" ht="15" customHeight="1" s="13">
      <c r="A127" s="22" t="inlineStr">
        <is>
          <t>Total non-current derivatives at fair value through profit or loss</t>
        </is>
      </c>
      <c r="B127" s="23">
        <f>1*B123+1*B124+1*B125+1*B126</f>
        <v/>
      </c>
      <c r="C127" s="23">
        <f>1*C123+1*C124+1*C125+1*C126</f>
        <v/>
      </c>
    </row>
    <row r="128" ht="15" customHeight="1" s="13">
      <c r="A128" s="20" t="inlineStr">
        <is>
          <t>Other non-current derivative financial assets</t>
        </is>
      </c>
      <c r="B128" s="21" t="n"/>
      <c r="C128" s="21" t="n"/>
    </row>
    <row r="129" ht="15" customHeight="1" s="13">
      <c r="A129" s="22" t="inlineStr">
        <is>
          <t>*Total non-current derivative financial assets</t>
        </is>
      </c>
      <c r="B129" s="23">
        <f>1*B127+1*B128</f>
        <v/>
      </c>
      <c r="C129" s="23">
        <f>1*C127+1*C128</f>
        <v/>
      </c>
    </row>
    <row r="130" ht="15" customHeight="1" s="13">
      <c r="A130" s="16" t="inlineStr">
        <is>
          <t>Inventories</t>
        </is>
      </c>
      <c r="B130" s="25" t="n"/>
      <c r="C130" s="25" t="n"/>
    </row>
    <row r="131" ht="15" customHeight="1" s="13">
      <c r="A131" s="20" t="inlineStr">
        <is>
          <t>Raw materials</t>
        </is>
      </c>
      <c r="B131" s="21" t="n"/>
      <c r="C131" s="21" t="n"/>
    </row>
    <row r="132" ht="15" customHeight="1" s="13">
      <c r="A132" s="20" t="inlineStr">
        <is>
          <t>Work in progress</t>
        </is>
      </c>
      <c r="B132" s="21" t="n"/>
      <c r="C132" s="21" t="n"/>
    </row>
    <row r="133" ht="15" customHeight="1" s="13">
      <c r="A133" s="20" t="inlineStr">
        <is>
          <t>Finished goods</t>
        </is>
      </c>
      <c r="B133" s="21" t="n"/>
      <c r="C133" s="21" t="n"/>
    </row>
    <row r="134" ht="15" customHeight="1" s="13">
      <c r="A134" s="20" t="inlineStr">
        <is>
          <t>Spare parts</t>
        </is>
      </c>
      <c r="B134" s="21" t="n"/>
      <c r="C134" s="21" t="n"/>
    </row>
    <row r="135" ht="15" customHeight="1" s="13">
      <c r="A135" s="20" t="inlineStr">
        <is>
          <t>Other inventories</t>
        </is>
      </c>
      <c r="B135" s="21" t="n"/>
      <c r="C135" s="21" t="n"/>
    </row>
    <row r="136" ht="15" customHeight="1" s="13">
      <c r="A136" s="22" t="inlineStr">
        <is>
          <t>*Total inventories</t>
        </is>
      </c>
      <c r="B136" s="23">
        <f>1*B131+1*B132+1*B133+1*B134+1*B135</f>
        <v/>
      </c>
      <c r="C136" s="23">
        <f>1*C131+1*C132+1*C133+1*C134+1*C135</f>
        <v/>
      </c>
    </row>
    <row r="137" ht="15" customHeight="1" s="13">
      <c r="A137" s="16" t="inlineStr">
        <is>
          <t>Trade and other current receivables</t>
        </is>
      </c>
      <c r="B137" s="25" t="n"/>
      <c r="C137" s="25" t="n"/>
    </row>
    <row r="138" ht="15" customHeight="1" s="13">
      <c r="A138" s="16" t="inlineStr">
        <is>
          <t>Current trade receivables</t>
        </is>
      </c>
      <c r="B138" s="25" t="n"/>
      <c r="C138" s="25" t="n"/>
    </row>
    <row r="139" ht="15" customHeight="1" s="13">
      <c r="A139" s="20" t="inlineStr">
        <is>
          <t>Trade receivables</t>
        </is>
      </c>
      <c r="B139" s="21" t="n"/>
      <c r="C139" s="21" t="n"/>
    </row>
    <row r="140" ht="15" customHeight="1" s="13">
      <c r="A140" s="20" t="inlineStr">
        <is>
          <t>Trade receivables due from contract customers</t>
        </is>
      </c>
      <c r="B140" s="21" t="n"/>
      <c r="C140" s="21" t="n"/>
    </row>
    <row r="141" ht="15" customHeight="1" s="13">
      <c r="A141" s="20" t="inlineStr">
        <is>
          <t>Trade receivables due from holding company</t>
        </is>
      </c>
      <c r="B141" s="21" t="n"/>
      <c r="C141" s="21" t="n"/>
    </row>
    <row r="142" ht="15" customHeight="1" s="13">
      <c r="A142" s="20" t="inlineStr">
        <is>
          <t>Trade receivables due from subsidiaries</t>
        </is>
      </c>
      <c r="B142" s="21" t="n"/>
      <c r="C142" s="21" t="n"/>
    </row>
    <row r="143" ht="15" customHeight="1" s="13">
      <c r="A143" s="20" t="inlineStr">
        <is>
          <t>Trade receivables due from associates</t>
        </is>
      </c>
      <c r="B143" s="21" t="n"/>
      <c r="C143" s="21" t="n"/>
    </row>
    <row r="144" ht="15" customHeight="1" s="13">
      <c r="A144" s="20" t="inlineStr">
        <is>
          <t>Trade receivables due from joint ventures</t>
        </is>
      </c>
      <c r="B144" s="21" t="n"/>
      <c r="C144" s="21" t="n"/>
    </row>
    <row r="145" ht="15" customHeight="1" s="13">
      <c r="A145" s="20" t="inlineStr">
        <is>
          <t>Trade receivables due from other related parties</t>
        </is>
      </c>
      <c r="B145" s="21" t="n"/>
      <c r="C145" s="21" t="n"/>
    </row>
    <row r="146" ht="15" customHeight="1" s="13">
      <c r="A146" s="20" t="inlineStr">
        <is>
          <t>Unearned current carrying charges</t>
        </is>
      </c>
      <c r="B146" s="21" t="n"/>
      <c r="C146" s="21" t="n"/>
    </row>
    <row r="147" ht="15" customHeight="1" s="13">
      <c r="A147" s="20" t="inlineStr">
        <is>
          <t>Other current trade receivables</t>
        </is>
      </c>
      <c r="B147" s="21" t="n"/>
      <c r="C147" s="21" t="n"/>
    </row>
    <row r="148" ht="15" customHeight="1" s="13">
      <c r="A148" s="22" t="inlineStr">
        <is>
          <t>Total current trade receivables</t>
        </is>
      </c>
      <c r="B148" s="23">
        <f>1*B139+1*B140+1*B141+1*B142+1*B143+1*B144+1*B145+1*B146+1*B147</f>
        <v/>
      </c>
      <c r="C148" s="23">
        <f>1*C139+1*C140+1*C141+1*C142+1*C143+1*C144+1*C145+1*C146+1*C147</f>
        <v/>
      </c>
    </row>
    <row r="149" ht="15" customHeight="1" s="13">
      <c r="A149" s="16" t="inlineStr">
        <is>
          <t>Other current receivables</t>
        </is>
      </c>
      <c r="B149" s="25" t="n"/>
      <c r="C149" s="25" t="n"/>
    </row>
    <row r="150" ht="15" customHeight="1" s="13">
      <c r="A150" s="16" t="inlineStr">
        <is>
          <t>Other current receivables due from related parties</t>
        </is>
      </c>
      <c r="B150" s="25" t="n"/>
      <c r="C150" s="25" t="n"/>
    </row>
    <row r="151" ht="15" customHeight="1" s="13">
      <c r="A151" s="20" t="inlineStr">
        <is>
          <t>Other receivables due from holding company</t>
        </is>
      </c>
      <c r="B151" s="21" t="n"/>
      <c r="C151" s="21" t="n"/>
    </row>
    <row r="152" ht="15" customHeight="1" s="13">
      <c r="A152" s="20" t="inlineStr">
        <is>
          <t>Other receivables due from subsidiaries</t>
        </is>
      </c>
      <c r="B152" s="21" t="n"/>
      <c r="C152" s="21" t="n"/>
    </row>
    <row r="153" ht="15" customHeight="1" s="13">
      <c r="A153" s="20" t="inlineStr">
        <is>
          <t>Other receivables due from associates</t>
        </is>
      </c>
      <c r="B153" s="21" t="n"/>
      <c r="C153" s="21" t="n"/>
    </row>
    <row r="154" ht="15" customHeight="1" s="13">
      <c r="A154" s="20" t="inlineStr">
        <is>
          <t>Other receivables due from joint ventures</t>
        </is>
      </c>
      <c r="B154" s="21" t="n"/>
      <c r="C154" s="21" t="n"/>
    </row>
    <row r="155" ht="15" customHeight="1" s="13">
      <c r="A155" s="20" t="inlineStr">
        <is>
          <t>Other receivables due from other related parties</t>
        </is>
      </c>
      <c r="B155" s="21" t="n"/>
      <c r="C155" s="21" t="n"/>
    </row>
    <row r="156" ht="15" customHeight="1" s="13">
      <c r="A156" s="22" t="inlineStr">
        <is>
          <t>Total other current receivables due from related parties</t>
        </is>
      </c>
      <c r="B156" s="23">
        <f>1*B151+1*B152+1*B153+1*B154+1*B155</f>
        <v/>
      </c>
      <c r="C156" s="23">
        <f>1*C151+1*C152+1*C153+1*C154+1*C155</f>
        <v/>
      </c>
    </row>
    <row r="157" ht="15" customHeight="1" s="13">
      <c r="A157" s="16" t="inlineStr">
        <is>
          <t>Current prepayments and current accrued income</t>
        </is>
      </c>
      <c r="B157" s="25" t="n"/>
      <c r="C157" s="25" t="n"/>
    </row>
    <row r="158" ht="15" customHeight="1" s="13">
      <c r="A158" s="20" t="inlineStr">
        <is>
          <t>Prepayments</t>
        </is>
      </c>
      <c r="B158" s="21" t="n"/>
      <c r="C158" s="21" t="n"/>
    </row>
    <row r="159" ht="15" customHeight="1" s="13">
      <c r="A159" s="20" t="inlineStr">
        <is>
          <t>Accrued income</t>
        </is>
      </c>
      <c r="B159" s="21" t="n"/>
      <c r="C159" s="21" t="n"/>
    </row>
    <row r="160" ht="15" customHeight="1" s="13">
      <c r="A160" s="22" t="inlineStr">
        <is>
          <t>Total current prepayments and current accrued income</t>
        </is>
      </c>
      <c r="B160" s="23">
        <f>1*B158+1*B159</f>
        <v/>
      </c>
      <c r="C160" s="23">
        <f>1*C158+1*C159</f>
        <v/>
      </c>
    </row>
    <row r="161" ht="15" customHeight="1" s="13">
      <c r="A161" s="16" t="inlineStr">
        <is>
          <t>Current non-trade receivables</t>
        </is>
      </c>
      <c r="B161" s="25" t="n"/>
      <c r="C161" s="25" t="n"/>
    </row>
    <row r="162" ht="15" customHeight="1" s="13">
      <c r="A162" s="20" t="inlineStr">
        <is>
          <t>Interest receivables</t>
        </is>
      </c>
      <c r="B162" s="21" t="n"/>
      <c r="C162" s="21" t="n"/>
    </row>
    <row r="163" ht="15" customHeight="1" s="13">
      <c r="A163" s="20" t="inlineStr">
        <is>
          <t>Deposits</t>
        </is>
      </c>
      <c r="B163" s="21" t="n"/>
      <c r="C163" s="21" t="n"/>
    </row>
    <row r="164" ht="15" customHeight="1" s="13">
      <c r="A164" s="20" t="inlineStr">
        <is>
          <t>Dividend receivables</t>
        </is>
      </c>
      <c r="B164" s="21" t="n"/>
      <c r="C164" s="21" t="n"/>
    </row>
    <row r="165" ht="15" customHeight="1" s="13">
      <c r="A165" s="20" t="inlineStr">
        <is>
          <t>Lease and hire purchase receivables</t>
        </is>
      </c>
      <c r="B165" s="21" t="n"/>
      <c r="C165" s="21" t="n"/>
    </row>
    <row r="166" ht="15" customHeight="1" s="13">
      <c r="A166" s="20" t="inlineStr">
        <is>
          <t>Other current non-trade receivables</t>
        </is>
      </c>
      <c r="B166" s="21" t="n"/>
      <c r="C166" s="21" t="n"/>
    </row>
    <row r="167" ht="15" customHeight="1" s="13">
      <c r="A167" s="22" t="inlineStr">
        <is>
          <t>Total current non-trade receivables</t>
        </is>
      </c>
      <c r="B167" s="23">
        <f>1*B162+1*B163+1*B164+1*B165+1*B166</f>
        <v/>
      </c>
      <c r="C167" s="23">
        <f>1*C162+1*C163+1*C164+1*C165+1*C166</f>
        <v/>
      </c>
    </row>
    <row r="168" ht="15" customHeight="1" s="13">
      <c r="A168" s="22" t="inlineStr">
        <is>
          <t>Total other current receivables</t>
        </is>
      </c>
      <c r="B168" s="23">
        <f>1*B156+1*B160+1*B167</f>
        <v/>
      </c>
      <c r="C168" s="23">
        <f>1*C156+1*C160+1*C167</f>
        <v/>
      </c>
    </row>
    <row r="169" ht="15" customHeight="1" s="13">
      <c r="A169" s="22" t="inlineStr">
        <is>
          <t>*Total trade and other current receivables</t>
        </is>
      </c>
      <c r="B169" s="23">
        <f>1*B148+1*B168</f>
        <v/>
      </c>
      <c r="C169" s="23">
        <f>1*C148+1*C168</f>
        <v/>
      </c>
    </row>
    <row r="170" ht="15" customHeight="1" s="13">
      <c r="A170" s="16" t="inlineStr">
        <is>
          <t>Current derivative financial assets</t>
        </is>
      </c>
      <c r="B170" s="25" t="n"/>
      <c r="C170" s="25" t="n"/>
    </row>
    <row r="171" ht="15" customHeight="1" s="13">
      <c r="A171" s="16" t="inlineStr">
        <is>
          <t>Current derivatives at fair value through profit or loss</t>
        </is>
      </c>
      <c r="B171" s="25" t="n"/>
      <c r="C171" s="25" t="n"/>
    </row>
    <row r="172" ht="15" customHeight="1" s="13">
      <c r="A172" s="20" t="inlineStr">
        <is>
          <t>Forward contract</t>
        </is>
      </c>
      <c r="B172" s="21" t="n"/>
      <c r="C172" s="21" t="n"/>
    </row>
    <row r="173" ht="15" customHeight="1" s="13">
      <c r="A173" s="20" t="inlineStr">
        <is>
          <t>Options</t>
        </is>
      </c>
      <c r="B173" s="21" t="n"/>
      <c r="C173" s="21" t="n"/>
    </row>
    <row r="174" ht="15" customHeight="1" s="13">
      <c r="A174" s="20" t="inlineStr">
        <is>
          <t>Swap</t>
        </is>
      </c>
      <c r="B174" s="21" t="n"/>
      <c r="C174" s="21" t="n"/>
    </row>
    <row r="175" ht="15" customHeight="1" s="13">
      <c r="A175" s="20" t="inlineStr">
        <is>
          <t>Other derivatives</t>
        </is>
      </c>
      <c r="B175" s="21" t="n"/>
      <c r="C175" s="21" t="n"/>
    </row>
    <row r="176" ht="15" customHeight="1" s="13">
      <c r="A176" s="22" t="inlineStr">
        <is>
          <t>Total current derivatives at fair value through profit or loss</t>
        </is>
      </c>
      <c r="B176" s="23">
        <f>1*B172+1*B173+1*B174+1*B175</f>
        <v/>
      </c>
      <c r="C176" s="23">
        <f>1*C172+1*C173+1*C174+1*C175</f>
        <v/>
      </c>
    </row>
    <row r="177" ht="15" customHeight="1" s="13">
      <c r="A177" s="20" t="inlineStr">
        <is>
          <t>Other current derivative financial assets</t>
        </is>
      </c>
      <c r="B177" s="21" t="n"/>
      <c r="C177" s="21" t="n"/>
    </row>
    <row r="178" ht="15" customHeight="1" s="13">
      <c r="A178" s="22" t="inlineStr">
        <is>
          <t>*Total current derivative financial assets</t>
        </is>
      </c>
      <c r="B178" s="23">
        <f>1*B176+1*B177</f>
        <v/>
      </c>
      <c r="C178" s="23">
        <f>1*C176+1*C177</f>
        <v/>
      </c>
    </row>
    <row r="179" ht="15" customHeight="1" s="13">
      <c r="A179" s="16" t="inlineStr">
        <is>
          <t>Cash and cash equivalents</t>
        </is>
      </c>
      <c r="B179" s="25" t="n"/>
      <c r="C179" s="25" t="n"/>
    </row>
    <row r="180" ht="15" customHeight="1" s="13">
      <c r="A180" s="16" t="inlineStr">
        <is>
          <t>Cash</t>
        </is>
      </c>
      <c r="B180" s="25" t="n"/>
      <c r="C180" s="25" t="n"/>
    </row>
    <row r="181" ht="15" customHeight="1" s="13">
      <c r="A181" s="20" t="inlineStr">
        <is>
          <t>Cash in hand</t>
        </is>
      </c>
      <c r="B181" s="21" t="n"/>
      <c r="C181" s="21" t="n"/>
    </row>
    <row r="182" ht="15" customHeight="1" s="13">
      <c r="A182" s="20" t="inlineStr">
        <is>
          <t>Balances with Licensed Banks</t>
        </is>
      </c>
      <c r="B182" s="21" t="n"/>
      <c r="C182" s="21" t="n"/>
    </row>
    <row r="183" ht="15" customHeight="1" s="13">
      <c r="A183" s="22" t="inlineStr">
        <is>
          <t>*Total cash</t>
        </is>
      </c>
      <c r="B183" s="23">
        <f>1*B181+1*B182</f>
        <v/>
      </c>
      <c r="C183" s="23">
        <f>1*C181+1*C182</f>
        <v/>
      </c>
    </row>
    <row r="184" ht="15" customHeight="1" s="13">
      <c r="A184" s="16" t="inlineStr">
        <is>
          <t>Cash equivalents</t>
        </is>
      </c>
      <c r="B184" s="25" t="n"/>
      <c r="C184" s="25" t="n"/>
    </row>
    <row r="185" ht="15" customHeight="1" s="13">
      <c r="A185" s="20" t="inlineStr">
        <is>
          <t>Deposits placed with licensed banks</t>
        </is>
      </c>
      <c r="B185" s="21" t="n"/>
      <c r="C185" s="21" t="n"/>
    </row>
    <row r="186" ht="15" customHeight="1" s="13">
      <c r="A186" s="20" t="inlineStr">
        <is>
          <t>Deposit placed with other corporations</t>
        </is>
      </c>
      <c r="B186" s="21" t="n"/>
      <c r="C186" s="21" t="n"/>
    </row>
    <row r="187" ht="15" customHeight="1" s="13">
      <c r="A187" s="20" t="inlineStr">
        <is>
          <t>Cash equivalents with other financial institutions</t>
        </is>
      </c>
      <c r="B187" s="21" t="n"/>
      <c r="C187" s="21" t="n"/>
    </row>
    <row r="188" ht="15" customHeight="1" s="13">
      <c r="A188" s="20" t="inlineStr">
        <is>
          <t>Short-term deposits</t>
        </is>
      </c>
      <c r="B188" s="21" t="n"/>
      <c r="C188" s="21" t="n"/>
    </row>
    <row r="189" ht="15" customHeight="1" s="13">
      <c r="A189" s="20" t="inlineStr">
        <is>
          <t>Short-term investments</t>
        </is>
      </c>
      <c r="B189" s="21" t="n"/>
      <c r="C189" s="21" t="n"/>
    </row>
    <row r="190" ht="15" customHeight="1" s="13">
      <c r="A190" s="20" t="inlineStr">
        <is>
          <t>Other banking arrangements</t>
        </is>
      </c>
      <c r="B190" s="21" t="n"/>
      <c r="C190" s="21" t="n"/>
    </row>
    <row r="191" ht="15" customHeight="1" s="13">
      <c r="A191" s="22" t="inlineStr">
        <is>
          <t>*Total cash equivalents</t>
        </is>
      </c>
      <c r="B191" s="23">
        <f>1*B185+1*B186+1*B187+1*B188+1*B189+1*B190</f>
        <v/>
      </c>
      <c r="C191" s="23">
        <f>1*C185+1*C186+1*C187+1*C188+1*C189+1*C190</f>
        <v/>
      </c>
    </row>
    <row r="192" ht="15" customHeight="1" s="13">
      <c r="A192" s="20" t="inlineStr">
        <is>
          <t>Other cash and cash equivalents</t>
        </is>
      </c>
      <c r="B192" s="21" t="n"/>
      <c r="C192" s="21" t="n"/>
    </row>
    <row r="193" ht="15" customHeight="1" s="13">
      <c r="A193" s="22" t="inlineStr">
        <is>
          <t>*Total cash and cash equivalents</t>
        </is>
      </c>
      <c r="B193" s="23">
        <f>1*B183+1*B191+1*B192</f>
        <v/>
      </c>
      <c r="C193" s="23">
        <f>1*C183+1*C191+1*C192</f>
        <v/>
      </c>
    </row>
    <row r="194" ht="15" customHeight="1" s="13">
      <c r="A194" s="16" t="inlineStr">
        <is>
          <t>Other non-current assets</t>
        </is>
      </c>
      <c r="B194" s="25" t="n"/>
      <c r="C194" s="25" t="n"/>
    </row>
    <row r="195" ht="15" customHeight="1" s="13">
      <c r="A195" s="20" t="inlineStr">
        <is>
          <t>Prepaid rental of buildings and facilities</t>
        </is>
      </c>
      <c r="B195" s="21" t="n"/>
      <c r="C195" s="21" t="n"/>
    </row>
    <row r="196" ht="15" customHeight="1" s="13">
      <c r="A196" s="20" t="inlineStr">
        <is>
          <t>Prepaid land lease</t>
        </is>
      </c>
      <c r="B196" s="21" t="n"/>
      <c r="C196" s="21" t="n"/>
    </row>
    <row r="197" ht="15" customHeight="1" s="13">
      <c r="A197" s="20" t="inlineStr">
        <is>
          <t>Other non-current assets</t>
        </is>
      </c>
      <c r="B197" s="21" t="n"/>
      <c r="C197" s="21" t="n"/>
    </row>
    <row r="198" ht="15" customHeight="1" s="13">
      <c r="A198" s="22" t="inlineStr">
        <is>
          <t>*Total other non-current assets</t>
        </is>
      </c>
      <c r="B198" s="23">
        <f>1*B195+1*B196+1*B197</f>
        <v/>
      </c>
      <c r="C198" s="23">
        <f>1*C195+1*C196+1*C197</f>
        <v/>
      </c>
    </row>
    <row r="199" ht="15" customHeight="1" s="13">
      <c r="A199" s="16" t="inlineStr">
        <is>
          <t>Issued capital</t>
        </is>
      </c>
      <c r="B199" s="25" t="n"/>
      <c r="C199" s="25" t="n"/>
    </row>
    <row r="200" ht="15" customHeight="1" s="13">
      <c r="A200" s="20" t="inlineStr">
        <is>
          <t>Capital from ordinary shares</t>
        </is>
      </c>
      <c r="B200" s="21" t="n"/>
      <c r="C200" s="21" t="n"/>
    </row>
    <row r="201" ht="15" customHeight="1" s="13">
      <c r="A201" s="20" t="inlineStr">
        <is>
          <t>Capital from redeemable preference shares</t>
        </is>
      </c>
      <c r="B201" s="21" t="n"/>
      <c r="C201" s="21" t="n"/>
    </row>
    <row r="202" ht="15" customHeight="1" s="13">
      <c r="A202" s="20" t="inlineStr">
        <is>
          <t>Capital from non-redeemable preference shares</t>
        </is>
      </c>
      <c r="B202" s="21" t="n"/>
      <c r="C202" s="21" t="n"/>
    </row>
    <row r="203" ht="15" customHeight="1" s="13">
      <c r="A203" s="22" t="inlineStr">
        <is>
          <t>*Total issued capital</t>
        </is>
      </c>
      <c r="B203" s="23">
        <f>1*B200+1*B201+1*B202</f>
        <v/>
      </c>
      <c r="C203" s="23">
        <f>1*C200+1*C201+1*C202</f>
        <v/>
      </c>
    </row>
    <row r="204" ht="15" customHeight="1" s="13">
      <c r="A204" s="16" t="inlineStr">
        <is>
          <t>Reserves</t>
        </is>
      </c>
      <c r="B204" s="25" t="n"/>
      <c r="C204" s="25" t="n"/>
    </row>
    <row r="205" ht="15" customHeight="1" s="13">
      <c r="A205" s="16" t="inlineStr">
        <is>
          <t>Non-distributable</t>
        </is>
      </c>
      <c r="B205" s="25" t="n"/>
      <c r="C205" s="25" t="n"/>
    </row>
    <row r="206" ht="15" customHeight="1" s="13">
      <c r="A206" s="20" t="inlineStr">
        <is>
          <t>Capital reserve</t>
        </is>
      </c>
      <c r="B206" s="21" t="n"/>
      <c r="C206" s="21" t="n"/>
    </row>
    <row r="207" ht="15" customHeight="1" s="13">
      <c r="A207" s="20" t="inlineStr">
        <is>
          <t>Hedging reserve</t>
        </is>
      </c>
      <c r="B207" s="21" t="n"/>
      <c r="C207" s="21" t="n"/>
    </row>
    <row r="208" ht="15" customHeight="1" s="13">
      <c r="A208" s="20" t="inlineStr">
        <is>
          <t>Foreign currency translation reserve</t>
        </is>
      </c>
      <c r="B208" s="21" t="n"/>
      <c r="C208" s="21" t="n"/>
    </row>
    <row r="209" ht="15" customHeight="1" s="13">
      <c r="A209" s="20" t="inlineStr">
        <is>
          <t>Reserve of share-based payments</t>
        </is>
      </c>
      <c r="B209" s="21" t="n"/>
      <c r="C209" s="21" t="n"/>
    </row>
    <row r="210" ht="15" customHeight="1" s="13">
      <c r="A210" s="20" t="inlineStr">
        <is>
          <t>Revaluation surplus</t>
        </is>
      </c>
      <c r="B210" s="21" t="n"/>
      <c r="C210" s="21" t="n"/>
    </row>
    <row r="211" ht="15" customHeight="1" s="13">
      <c r="A211" s="20" t="inlineStr">
        <is>
          <t>Statutory reserve</t>
        </is>
      </c>
      <c r="B211" s="21" t="n"/>
      <c r="C211" s="21" t="n"/>
    </row>
    <row r="212" ht="15" customHeight="1" s="13">
      <c r="A212" s="20" t="inlineStr">
        <is>
          <t>Warrant reserve</t>
        </is>
      </c>
      <c r="B212" s="21" t="n"/>
      <c r="C212" s="21" t="n"/>
    </row>
    <row r="213" ht="15" customHeight="1" s="13">
      <c r="A213" s="20" t="inlineStr">
        <is>
          <t>Other non-distributable reserves</t>
        </is>
      </c>
      <c r="B213" s="21" t="n"/>
      <c r="C213" s="21" t="n"/>
    </row>
    <row r="214" ht="15" customHeight="1" s="13">
      <c r="A214" s="22" t="inlineStr">
        <is>
          <t>Total non-distributable reserves</t>
        </is>
      </c>
      <c r="B214" s="23">
        <f>1*B206+1*B207+1*B208+1*B209+1*B210+1*B211+1*B213+1*B212</f>
        <v/>
      </c>
      <c r="C214" s="23">
        <f>1*C206+1*C207+1*C208+1*C209+1*C210+1*C211+1*C213+1*C212</f>
        <v/>
      </c>
    </row>
    <row r="215" ht="15" customHeight="1" s="13">
      <c r="A215" s="16" t="inlineStr">
        <is>
          <t>Distributable</t>
        </is>
      </c>
      <c r="B215" s="25" t="n"/>
      <c r="C215" s="25" t="n"/>
    </row>
    <row r="216" ht="15" customHeight="1" s="13">
      <c r="A216" s="20" t="inlineStr">
        <is>
          <t>Fair value reserves</t>
        </is>
      </c>
      <c r="B216" s="21" t="n"/>
      <c r="C216" s="21" t="n"/>
    </row>
    <row r="217" ht="15" customHeight="1" s="13">
      <c r="A217" s="20" t="inlineStr">
        <is>
          <t>Reserve of non-current assets classified as held for sale</t>
        </is>
      </c>
      <c r="B217" s="21" t="n"/>
      <c r="C217" s="21" t="n"/>
    </row>
    <row r="218" ht="15" customHeight="1" s="13">
      <c r="A218" s="20" t="inlineStr">
        <is>
          <t>Consolidation reserve</t>
        </is>
      </c>
      <c r="B218" s="21" t="n"/>
      <c r="C218" s="21" t="n"/>
    </row>
    <row r="219" ht="15" customHeight="1" s="13">
      <c r="A219" s="20" t="inlineStr">
        <is>
          <t>Warranty reserve</t>
        </is>
      </c>
      <c r="B219" s="21" t="n"/>
      <c r="C219" s="21" t="n"/>
    </row>
    <row r="220" ht="15" customHeight="1" s="13">
      <c r="A220" s="20" t="inlineStr">
        <is>
          <t>Other distributable reserves</t>
        </is>
      </c>
      <c r="B220" s="21" t="n"/>
      <c r="C220" s="21" t="n"/>
    </row>
    <row r="221" ht="15" customHeight="1" s="13">
      <c r="A221" s="22" t="inlineStr">
        <is>
          <t>Total distributable reserves</t>
        </is>
      </c>
      <c r="B221" s="23">
        <f>1*B216+1*B217+1*B218+1*B219+1*B220</f>
        <v/>
      </c>
      <c r="C221" s="23">
        <f>1*C216+1*C217+1*C218+1*C219+1*C220</f>
        <v/>
      </c>
    </row>
    <row r="222" ht="15" customHeight="1" s="13">
      <c r="A222" s="22" t="inlineStr">
        <is>
          <t>*Total reserves</t>
        </is>
      </c>
      <c r="B222" s="23">
        <f>1*B214+1*B221</f>
        <v/>
      </c>
      <c r="C222" s="23">
        <f>1*C214+1*C221</f>
        <v/>
      </c>
    </row>
    <row r="223" ht="15" customHeight="1" s="13">
      <c r="A223" s="16" t="inlineStr">
        <is>
          <t>Equity - others components</t>
        </is>
      </c>
      <c r="B223" s="25" t="n"/>
      <c r="C223" s="25" t="n"/>
    </row>
    <row r="224" ht="15" customHeight="1" s="13">
      <c r="A224" s="20" t="inlineStr">
        <is>
          <t>Perpetual sukuk</t>
        </is>
      </c>
      <c r="B224" s="21" t="n"/>
      <c r="C224" s="21" t="n"/>
    </row>
    <row r="225" ht="23.25" customHeight="1" s="13">
      <c r="A225" s="20" t="inlineStr">
        <is>
          <t>Equity component of Irredeemable Convertible Unsecured Loan Stocks (ICULS)</t>
        </is>
      </c>
      <c r="B225" s="21" t="n"/>
      <c r="C225" s="21" t="n"/>
    </row>
    <row r="226" ht="15" customHeight="1" s="13">
      <c r="A226" s="20" t="inlineStr">
        <is>
          <t>Equity component of preference shares</t>
        </is>
      </c>
      <c r="B226" s="21" t="n"/>
      <c r="C226" s="21" t="n"/>
    </row>
    <row r="227" ht="15" customHeight="1" s="13">
      <c r="A227" s="20" t="inlineStr">
        <is>
          <t>Head office accounts</t>
        </is>
      </c>
      <c r="B227" s="21" t="n"/>
      <c r="C227" s="21" t="n"/>
    </row>
    <row r="228" ht="15" customHeight="1" s="13">
      <c r="A228" s="20" t="inlineStr">
        <is>
          <t>Equity components of other financial instruments</t>
        </is>
      </c>
      <c r="B228" s="21" t="n"/>
      <c r="C228" s="21" t="n"/>
    </row>
    <row r="229" ht="15" customHeight="1" s="13">
      <c r="A229" s="22" t="inlineStr">
        <is>
          <t>*Total equity - other components</t>
        </is>
      </c>
      <c r="B229" s="23">
        <f>1*B224+1*B225+1*B226+1*B227+1*B228</f>
        <v/>
      </c>
      <c r="C229" s="23">
        <f>1*C224+1*C225+1*C226+1*C227+1*C228</f>
        <v/>
      </c>
    </row>
    <row r="230" ht="15" customHeight="1" s="13">
      <c r="A230" s="16" t="inlineStr">
        <is>
          <t>Non-current borrowings</t>
        </is>
      </c>
      <c r="B230" s="25" t="n"/>
      <c r="C230" s="25" t="n"/>
    </row>
    <row r="231" ht="23.25" customHeight="1" s="13">
      <c r="A231" s="16" t="inlineStr">
        <is>
          <t>Non-current portion of non-current secured bank loans received</t>
        </is>
      </c>
      <c r="B231" s="25" t="n"/>
      <c r="C231" s="25" t="n"/>
    </row>
    <row r="232" ht="15" customHeight="1" s="13">
      <c r="A232" s="20" t="inlineStr">
        <is>
          <t>Term loans</t>
        </is>
      </c>
      <c r="B232" s="21" t="n"/>
      <c r="C232" s="21" t="n"/>
    </row>
    <row r="233" ht="15" customHeight="1" s="13">
      <c r="A233" s="20" t="inlineStr">
        <is>
          <t>Islamic financing facilities</t>
        </is>
      </c>
      <c r="B233" s="21" t="n"/>
      <c r="C233" s="21" t="n"/>
    </row>
    <row r="234" ht="15" customHeight="1" s="13">
      <c r="A234" s="20" t="inlineStr">
        <is>
          <t>Hire purchase and finance lease liabilities</t>
        </is>
      </c>
      <c r="B234" s="21" t="n"/>
      <c r="C234" s="21" t="n"/>
    </row>
    <row r="235" ht="15" customHeight="1" s="13">
      <c r="A235" s="20" t="inlineStr">
        <is>
          <t>Islamic medium term notes</t>
        </is>
      </c>
      <c r="B235" s="21" t="n"/>
      <c r="C235" s="21" t="n"/>
    </row>
    <row r="236" ht="15" customHeight="1" s="13">
      <c r="A236" s="20" t="inlineStr">
        <is>
          <t>Sukuk</t>
        </is>
      </c>
      <c r="B236" s="21" t="n"/>
      <c r="C236" s="21" t="n"/>
    </row>
    <row r="237" ht="15" customHeight="1" s="13">
      <c r="A237" s="20" t="inlineStr">
        <is>
          <t>Revolving credit and others</t>
        </is>
      </c>
      <c r="B237" s="21" t="n"/>
      <c r="C237" s="21" t="n"/>
    </row>
    <row r="238" ht="15" customHeight="1" s="13">
      <c r="A238" s="20" t="inlineStr">
        <is>
          <t>Other secured bank loans</t>
        </is>
      </c>
      <c r="B238" s="21" t="n"/>
      <c r="C238" s="21" t="n"/>
    </row>
    <row r="239" ht="23.25" customHeight="1" s="13">
      <c r="A239" s="22" t="inlineStr">
        <is>
          <t>Total non-current portion of non-current secured bank loans received</t>
        </is>
      </c>
      <c r="B239" s="23">
        <f>1*B232+1*B233+1*B234+1*B235+1*B236+1*B237+1*B238</f>
        <v/>
      </c>
      <c r="C239" s="23">
        <f>1*C232+1*C233+1*C234+1*C235+1*C236+1*C237+1*C238</f>
        <v/>
      </c>
    </row>
    <row r="240" ht="23.25" customHeight="1" s="13">
      <c r="A240" s="16" t="inlineStr">
        <is>
          <t>Non-current portion of non-current unsecured bank loans received</t>
        </is>
      </c>
      <c r="B240" s="25" t="n"/>
      <c r="C240" s="25" t="n"/>
    </row>
    <row r="241" ht="15" customHeight="1" s="13">
      <c r="A241" s="20" t="inlineStr">
        <is>
          <t>Term loans</t>
        </is>
      </c>
      <c r="B241" s="21" t="n"/>
      <c r="C241" s="21" t="n"/>
    </row>
    <row r="242" ht="15" customHeight="1" s="13">
      <c r="A242" s="20" t="inlineStr">
        <is>
          <t>Irredeemable Convertible Unsecured Loan Stocks (ICULS)</t>
        </is>
      </c>
      <c r="B242" s="21" t="n"/>
      <c r="C242" s="21" t="n"/>
    </row>
    <row r="243" ht="15" customHeight="1" s="13">
      <c r="A243" s="20" t="inlineStr">
        <is>
          <t>Islamic financing facilities</t>
        </is>
      </c>
      <c r="B243" s="21" t="n"/>
      <c r="C243" s="21" t="n"/>
    </row>
    <row r="244" ht="15" customHeight="1" s="13">
      <c r="A244" s="20" t="inlineStr">
        <is>
          <t>Hire purchase and finance lease liabilities</t>
        </is>
      </c>
      <c r="B244" s="21" t="n"/>
      <c r="C244" s="21" t="n"/>
    </row>
    <row r="245" ht="15" customHeight="1" s="13">
      <c r="A245" s="20" t="inlineStr">
        <is>
          <t>Islamic medium term notes</t>
        </is>
      </c>
      <c r="B245" s="21" t="n"/>
      <c r="C245" s="21" t="n"/>
    </row>
    <row r="246" ht="15" customHeight="1" s="13">
      <c r="A246" s="20" t="inlineStr">
        <is>
          <t>Sukuk</t>
        </is>
      </c>
      <c r="B246" s="21" t="n"/>
      <c r="C246" s="21" t="n"/>
    </row>
    <row r="247" ht="15" customHeight="1" s="13">
      <c r="A247" s="20" t="inlineStr">
        <is>
          <t>Revolving credit and others</t>
        </is>
      </c>
      <c r="B247" s="21" t="n"/>
      <c r="C247" s="21" t="n"/>
    </row>
    <row r="248" ht="15" customHeight="1" s="13">
      <c r="A248" s="20" t="inlineStr">
        <is>
          <t>Other unsecured bank loans received</t>
        </is>
      </c>
      <c r="B248" s="21" t="n"/>
      <c r="C248" s="21" t="n"/>
    </row>
    <row r="249" ht="23.25" customHeight="1" s="13">
      <c r="A249" s="22" t="inlineStr">
        <is>
          <t>Total non-current portion of non-current unsecured bank loans received</t>
        </is>
      </c>
      <c r="B249" s="23">
        <f>1*B241+1*B242+1*B243+1*B244+1*B245+1*B246+1*B247+1*B248</f>
        <v/>
      </c>
      <c r="C249" s="23">
        <f>1*C241+1*C242+1*C243+1*C244+1*C245+1*C246+1*C247+1*C248</f>
        <v/>
      </c>
    </row>
    <row r="250" ht="15" customHeight="1" s="13">
      <c r="A250" s="16" t="inlineStr">
        <is>
          <t>Non-current portion of secured bonds, sukuk and loan stock</t>
        </is>
      </c>
      <c r="B250" s="25" t="n"/>
      <c r="C250" s="25" t="n"/>
    </row>
    <row r="251" ht="15" customHeight="1" s="13">
      <c r="A251" s="20" t="inlineStr">
        <is>
          <t>Bonds</t>
        </is>
      </c>
      <c r="B251" s="21" t="n"/>
      <c r="C251" s="21" t="n"/>
    </row>
    <row r="252" ht="15" customHeight="1" s="13">
      <c r="A252" s="20" t="inlineStr">
        <is>
          <t>Sukuk</t>
        </is>
      </c>
      <c r="B252" s="21" t="n"/>
      <c r="C252" s="21" t="n"/>
    </row>
    <row r="253" ht="15" customHeight="1" s="13">
      <c r="A253" s="20" t="inlineStr">
        <is>
          <t>Medium term notes</t>
        </is>
      </c>
      <c r="B253" s="21" t="n"/>
      <c r="C253" s="21" t="n"/>
    </row>
    <row r="254" ht="15" customHeight="1" s="13">
      <c r="A254" s="20" t="inlineStr">
        <is>
          <t>Loan stocks</t>
        </is>
      </c>
      <c r="B254" s="21" t="n"/>
      <c r="C254" s="21" t="n"/>
    </row>
    <row r="255" ht="15" customHeight="1" s="13">
      <c r="A255" s="20" t="inlineStr">
        <is>
          <t>Preference shares</t>
        </is>
      </c>
      <c r="B255" s="21" t="n"/>
      <c r="C255" s="21" t="n"/>
    </row>
    <row r="256" ht="15" customHeight="1" s="13">
      <c r="A256" s="22" t="inlineStr">
        <is>
          <t>Total non-current portion of secured bonds/sukuk/loan stocks</t>
        </is>
      </c>
      <c r="B256" s="23">
        <f>1*B251+1*B252+1*B253+1*B254+1*B255</f>
        <v/>
      </c>
      <c r="C256" s="23">
        <f>1*C251+1*C252+1*C253+1*C254+1*C255</f>
        <v/>
      </c>
    </row>
    <row r="257" ht="15" customHeight="1" s="13">
      <c r="A257" s="16" t="inlineStr">
        <is>
          <t>Non-current portion of unsecured bonds, sukuk and loan stock</t>
        </is>
      </c>
      <c r="B257" s="25" t="n"/>
      <c r="C257" s="25" t="n"/>
    </row>
    <row r="258" ht="15" customHeight="1" s="13">
      <c r="A258" s="20" t="inlineStr">
        <is>
          <t>Bonds</t>
        </is>
      </c>
      <c r="B258" s="21" t="n"/>
      <c r="C258" s="21" t="n"/>
    </row>
    <row r="259" ht="15" customHeight="1" s="13">
      <c r="A259" s="20" t="inlineStr">
        <is>
          <t>Sukuk</t>
        </is>
      </c>
      <c r="B259" s="21" t="n"/>
      <c r="C259" s="21" t="n"/>
    </row>
    <row r="260" ht="15" customHeight="1" s="13">
      <c r="A260" s="20" t="inlineStr">
        <is>
          <t>Medium term notes</t>
        </is>
      </c>
      <c r="B260" s="21" t="n"/>
      <c r="C260" s="21" t="n"/>
    </row>
    <row r="261" ht="15" customHeight="1" s="13">
      <c r="A261" s="20" t="inlineStr">
        <is>
          <t>Loan stocks</t>
        </is>
      </c>
      <c r="B261" s="21" t="n"/>
      <c r="C261" s="21" t="n"/>
    </row>
    <row r="262" ht="15" customHeight="1" s="13">
      <c r="A262" s="20" t="inlineStr">
        <is>
          <t>Preference shares</t>
        </is>
      </c>
      <c r="B262" s="21" t="n"/>
      <c r="C262" s="21" t="n"/>
    </row>
    <row r="263" ht="23.25" customHeight="1" s="13">
      <c r="A263" s="22" t="inlineStr">
        <is>
          <t>Total non-current portion of unsecured bonds/sukuk/loan stocks</t>
        </is>
      </c>
      <c r="B263" s="23">
        <f>1*B278+1*B259+1*B260+1*B261+1*B262</f>
        <v/>
      </c>
      <c r="C263" s="23">
        <f>1*C278+1*C259+1*C260+1*C261+1*C262</f>
        <v/>
      </c>
    </row>
    <row r="264" ht="15" customHeight="1" s="13">
      <c r="A264" s="16" t="inlineStr">
        <is>
          <t>Other non-current borrowings</t>
        </is>
      </c>
      <c r="B264" s="25" t="n"/>
      <c r="C264" s="25" t="n"/>
    </row>
    <row r="265" ht="15" customHeight="1" s="13">
      <c r="A265" s="20" t="inlineStr">
        <is>
          <t>Loan from subsidiaries</t>
        </is>
      </c>
      <c r="B265" s="21" t="n"/>
      <c r="C265" s="21" t="n"/>
    </row>
    <row r="266" ht="15" customHeight="1" s="13">
      <c r="A266" s="20" t="inlineStr">
        <is>
          <t>Loan from associates</t>
        </is>
      </c>
      <c r="B266" s="21" t="n"/>
      <c r="C266" s="21" t="n"/>
    </row>
    <row r="267" ht="15" customHeight="1" s="13">
      <c r="A267" s="20" t="inlineStr">
        <is>
          <t>Loan from joint ventures</t>
        </is>
      </c>
      <c r="B267" s="21" t="n"/>
      <c r="C267" s="21" t="n"/>
    </row>
    <row r="268" ht="15" customHeight="1" s="13">
      <c r="A268" s="20" t="inlineStr">
        <is>
          <t>Redeemable preference shares</t>
        </is>
      </c>
      <c r="B268" s="21" t="n"/>
      <c r="C268" s="21" t="n"/>
    </row>
    <row r="269" ht="15" customHeight="1" s="13">
      <c r="A269" s="20" t="inlineStr">
        <is>
          <t>Other non-current borrowings</t>
        </is>
      </c>
      <c r="B269" s="21" t="n"/>
      <c r="C269" s="21" t="n"/>
    </row>
    <row r="270" ht="15" customHeight="1" s="13">
      <c r="A270" s="22" t="inlineStr">
        <is>
          <t>Total other non-current borrowings</t>
        </is>
      </c>
      <c r="B270" s="23">
        <f>1*B265+1*B266+1*B267+1*B268+1*B269</f>
        <v/>
      </c>
      <c r="C270" s="23">
        <f>1*C265+1*C266+1*C267+1*C268+1*C269</f>
        <v/>
      </c>
    </row>
    <row r="271" ht="15" customHeight="1" s="13">
      <c r="A271" s="22" t="inlineStr">
        <is>
          <t>*Total non-current borrowings</t>
        </is>
      </c>
      <c r="B271" s="23">
        <f>1*B239+1*B249+1*B256+1*B263+1*B270</f>
        <v/>
      </c>
      <c r="C271" s="23">
        <f>1*C239+1*C249+1*C256+1*C263+1*C270</f>
        <v/>
      </c>
    </row>
    <row r="272" ht="15" customHeight="1" s="13">
      <c r="A272" s="16" t="inlineStr">
        <is>
          <t>Non-current employee benefit liabilities</t>
        </is>
      </c>
      <c r="B272" s="25" t="n"/>
      <c r="C272" s="25" t="n"/>
    </row>
    <row r="273" ht="15" customHeight="1" s="13">
      <c r="A273" s="20" t="inlineStr">
        <is>
          <t>Cash-settled share-based payment liability</t>
        </is>
      </c>
      <c r="B273" s="21" t="n"/>
      <c r="C273" s="21" t="n"/>
    </row>
    <row r="274" ht="15" customHeight="1" s="13">
      <c r="A274" s="20" t="inlineStr">
        <is>
          <t>Retirement benefits</t>
        </is>
      </c>
      <c r="B274" s="21" t="n"/>
      <c r="C274" s="21" t="n"/>
    </row>
    <row r="275" ht="15" customHeight="1" s="13">
      <c r="A275" s="20" t="inlineStr">
        <is>
          <t>Employment termination benefits</t>
        </is>
      </c>
      <c r="B275" s="21" t="n"/>
      <c r="C275" s="21" t="n"/>
    </row>
    <row r="276" ht="15" customHeight="1" s="13">
      <c r="A276" s="20" t="inlineStr">
        <is>
          <t>Provision for unconsumed leave</t>
        </is>
      </c>
      <c r="B276" s="21" t="n"/>
      <c r="C276" s="21" t="n"/>
    </row>
    <row r="277" ht="15" customHeight="1" s="13">
      <c r="A277" s="20" t="inlineStr">
        <is>
          <t>Defined contribution plan</t>
        </is>
      </c>
      <c r="B277" s="21" t="n"/>
      <c r="C277" s="21" t="n"/>
    </row>
    <row r="278" ht="15" customHeight="1" s="13">
      <c r="A278" s="20" t="inlineStr">
        <is>
          <t>Defined benefit plan</t>
        </is>
      </c>
      <c r="B278" s="21" t="n"/>
      <c r="C278" s="21" t="n"/>
    </row>
    <row r="279" ht="15" customHeight="1" s="13">
      <c r="A279" s="20" t="inlineStr">
        <is>
          <t>Other non-current employee benefit liabilities</t>
        </is>
      </c>
      <c r="B279" s="21" t="n"/>
      <c r="C279" s="21" t="n"/>
    </row>
    <row r="280" ht="15" customHeight="1" s="13">
      <c r="A280" s="22" t="inlineStr">
        <is>
          <t>*Total non-current employee benefit liabilities</t>
        </is>
      </c>
      <c r="B280" s="23">
        <f>1*B273+1*B274+1*B275+1*B276+1*B277+1*B278+1*B279</f>
        <v/>
      </c>
      <c r="C280" s="23">
        <f>1*C273+1*C274+1*C275+1*C276+1*C277+1*C278+1*C279</f>
        <v/>
      </c>
    </row>
    <row r="281" ht="15" customHeight="1" s="13">
      <c r="A281" s="16" t="inlineStr">
        <is>
          <t>Non-current provisions</t>
        </is>
      </c>
      <c r="B281" s="25" t="n"/>
      <c r="C281" s="25" t="n"/>
    </row>
    <row r="282" ht="15" customHeight="1" s="13">
      <c r="A282" s="20" t="inlineStr">
        <is>
          <t>Warranty provision</t>
        </is>
      </c>
      <c r="B282" s="21" t="n"/>
      <c r="C282" s="21" t="n"/>
    </row>
    <row r="283" ht="15" customHeight="1" s="13">
      <c r="A283" s="20" t="inlineStr">
        <is>
          <t>Restructuring provision</t>
        </is>
      </c>
      <c r="B283" s="21" t="n"/>
      <c r="C283" s="21" t="n"/>
    </row>
    <row r="284" ht="15" customHeight="1" s="13">
      <c r="A284" s="20" t="inlineStr">
        <is>
          <t>Legal proceedings provision</t>
        </is>
      </c>
      <c r="B284" s="21" t="n"/>
      <c r="C284" s="21" t="n"/>
    </row>
    <row r="285" ht="15" customHeight="1" s="13">
      <c r="A285" s="20" t="inlineStr">
        <is>
          <t>Refund provision</t>
        </is>
      </c>
      <c r="B285" s="21" t="n"/>
      <c r="C285" s="21" t="n"/>
    </row>
    <row r="286" ht="15" customHeight="1" s="13">
      <c r="A286" s="20" t="inlineStr">
        <is>
          <t>Onerous contracts provision</t>
        </is>
      </c>
      <c r="B286" s="21" t="n"/>
      <c r="C286" s="21" t="n"/>
    </row>
    <row r="287" ht="15" customHeight="1" s="13">
      <c r="A287" s="20" t="inlineStr">
        <is>
          <t>Provision for decommissioning, restoration and rehabilitation costs</t>
        </is>
      </c>
      <c r="B287" s="21" t="n"/>
      <c r="C287" s="21" t="n"/>
    </row>
    <row r="288" ht="15" customHeight="1" s="13">
      <c r="A288" s="20" t="inlineStr">
        <is>
          <t>Other non-current provisions</t>
        </is>
      </c>
      <c r="B288" s="21" t="n"/>
      <c r="C288" s="21" t="n"/>
    </row>
    <row r="289" ht="15" customHeight="1" s="13">
      <c r="A289" s="22" t="inlineStr">
        <is>
          <t>*Total non-current provisions</t>
        </is>
      </c>
      <c r="B289" s="23">
        <f>1*B282+1*B283+1*B284+1*B285+1*B286+1*B287+1*B288</f>
        <v/>
      </c>
      <c r="C289" s="23">
        <f>1*C282+1*C283+1*C284+1*C285+1*C286+1*C287+1*C288</f>
        <v/>
      </c>
    </row>
    <row r="290" ht="15" customHeight="1" s="13">
      <c r="A290" s="16" t="inlineStr">
        <is>
          <t>Trade and other non-current payables</t>
        </is>
      </c>
      <c r="B290" s="25" t="n"/>
      <c r="C290" s="25" t="n"/>
    </row>
    <row r="291" ht="15" customHeight="1" s="13">
      <c r="A291" s="16" t="inlineStr">
        <is>
          <t>Non-current trade payables</t>
        </is>
      </c>
      <c r="B291" s="25" t="n"/>
      <c r="C291" s="25" t="n"/>
    </row>
    <row r="292" ht="15" customHeight="1" s="13">
      <c r="A292" s="20" t="inlineStr">
        <is>
          <t>Trade payables</t>
        </is>
      </c>
      <c r="B292" s="21" t="n"/>
      <c r="C292" s="21" t="n"/>
    </row>
    <row r="293" ht="15" customHeight="1" s="13">
      <c r="A293" s="20" t="inlineStr">
        <is>
          <t>Trade payables due to holding company</t>
        </is>
      </c>
      <c r="B293" s="21" t="n"/>
      <c r="C293" s="21" t="n"/>
    </row>
    <row r="294" ht="15" customHeight="1" s="13">
      <c r="A294" s="20" t="inlineStr">
        <is>
          <t>Trade payables due to subsidiaries</t>
        </is>
      </c>
      <c r="B294" s="21" t="n"/>
      <c r="C294" s="21" t="n"/>
    </row>
    <row r="295" ht="15" customHeight="1" s="13">
      <c r="A295" s="20" t="inlineStr">
        <is>
          <t>Trade payables due to associates</t>
        </is>
      </c>
      <c r="B295" s="21" t="n"/>
      <c r="C295" s="21" t="n"/>
    </row>
    <row r="296" ht="15" customHeight="1" s="13">
      <c r="A296" s="20" t="inlineStr">
        <is>
          <t>Trade payables due to joint ventures</t>
        </is>
      </c>
      <c r="B296" s="21" t="n"/>
      <c r="C296" s="21" t="n"/>
    </row>
    <row r="297" ht="15" customHeight="1" s="13">
      <c r="A297" s="20" t="inlineStr">
        <is>
          <t>Trade payables due to other related parties</t>
        </is>
      </c>
      <c r="B297" s="21" t="n"/>
      <c r="C297" s="21" t="n"/>
    </row>
    <row r="298" ht="15" customHeight="1" s="13">
      <c r="A298" s="20" t="inlineStr">
        <is>
          <t>Other non-current trade payables</t>
        </is>
      </c>
      <c r="B298" s="21" t="n"/>
      <c r="C298" s="21" t="n"/>
    </row>
    <row r="299" ht="15" customHeight="1" s="13">
      <c r="A299" s="22" t="inlineStr">
        <is>
          <t>Total non-current trade payables</t>
        </is>
      </c>
      <c r="B299" s="23">
        <f>1*B292+1*B293+1*B294+1*B295+1*B296+1*B297+1*B298</f>
        <v/>
      </c>
      <c r="C299" s="23">
        <f>1*C292+1*C293+1*C294+1*C295+1*C296+1*C297+1*C298</f>
        <v/>
      </c>
    </row>
    <row r="300" ht="15" customHeight="1" s="13">
      <c r="A300" s="16" t="inlineStr">
        <is>
          <t>Other non-current payables</t>
        </is>
      </c>
      <c r="B300" s="25" t="n"/>
      <c r="C300" s="25" t="n"/>
    </row>
    <row r="301" ht="15" customHeight="1" s="13">
      <c r="A301" s="16" t="inlineStr">
        <is>
          <t>Other non-current payables due to related parties</t>
        </is>
      </c>
      <c r="B301" s="25" t="n"/>
      <c r="C301" s="25" t="n"/>
    </row>
    <row r="302" ht="15" customHeight="1" s="13">
      <c r="A302" s="20" t="inlineStr">
        <is>
          <t>Other payables due to holding company</t>
        </is>
      </c>
      <c r="B302" s="21" t="n"/>
      <c r="C302" s="21" t="n"/>
    </row>
    <row r="303" ht="15" customHeight="1" s="13">
      <c r="A303" s="20" t="inlineStr">
        <is>
          <t>Other payables due to subsidiaries</t>
        </is>
      </c>
      <c r="B303" s="21" t="n"/>
      <c r="C303" s="21" t="n"/>
    </row>
    <row r="304" ht="15" customHeight="1" s="13">
      <c r="A304" s="20" t="inlineStr">
        <is>
          <t>Other payables due to associates</t>
        </is>
      </c>
      <c r="B304" s="21" t="n"/>
      <c r="C304" s="21" t="n"/>
    </row>
    <row r="305" ht="15" customHeight="1" s="13">
      <c r="A305" s="20" t="inlineStr">
        <is>
          <t>Other payables due to joint ventures</t>
        </is>
      </c>
      <c r="B305" s="21" t="n"/>
      <c r="C305" s="21" t="n"/>
    </row>
    <row r="306" ht="15" customHeight="1" s="13">
      <c r="A306" s="20" t="inlineStr">
        <is>
          <t>Other payables due to other related parties</t>
        </is>
      </c>
      <c r="B306" s="21" t="n"/>
      <c r="C306" s="21" t="n"/>
    </row>
    <row r="307" ht="15" customHeight="1" s="13">
      <c r="A307" s="22" t="inlineStr">
        <is>
          <t>Total other non-current payables due to related parties</t>
        </is>
      </c>
      <c r="B307" s="23">
        <f>1*B302+1*B303+1*B304+1*B305+1*B306</f>
        <v/>
      </c>
      <c r="C307" s="23">
        <f>1*C302+1*C303+1*C304+1*C305+1*C306</f>
        <v/>
      </c>
    </row>
    <row r="308" ht="15" customHeight="1" s="13">
      <c r="A308" s="16" t="inlineStr">
        <is>
          <t>Other payables due to non-controlling interests</t>
        </is>
      </c>
      <c r="B308" s="25" t="n"/>
      <c r="C308" s="25" t="n"/>
    </row>
    <row r="309" ht="15" customHeight="1" s="13">
      <c r="A309" s="20" t="inlineStr">
        <is>
          <t>Dividend payable to non-controlling interest</t>
        </is>
      </c>
      <c r="B309" s="21" t="n"/>
      <c r="C309" s="21" t="n"/>
    </row>
    <row r="310" ht="15" customHeight="1" s="13">
      <c r="A310" s="20" t="inlineStr">
        <is>
          <t>Loans from non-controlling interest</t>
        </is>
      </c>
      <c r="B310" s="21" t="n"/>
      <c r="C310" s="21" t="n"/>
    </row>
    <row r="311" ht="15" customHeight="1" s="13">
      <c r="A311" s="20" t="inlineStr">
        <is>
          <t>Miscellaneous payables due to non-controlling interests</t>
        </is>
      </c>
      <c r="B311" s="21" t="n"/>
      <c r="C311" s="21" t="n"/>
    </row>
    <row r="312" ht="15" customHeight="1" s="13">
      <c r="A312" s="22" t="inlineStr">
        <is>
          <t>Total other payables due to non-controlling interests</t>
        </is>
      </c>
      <c r="B312" s="23">
        <f>1*B309+1*B310+1*B311</f>
        <v/>
      </c>
      <c r="C312" s="23">
        <f>1*C309+1*C310+1*C311</f>
        <v/>
      </c>
    </row>
    <row r="313" ht="15" customHeight="1" s="13">
      <c r="A313" s="16" t="inlineStr">
        <is>
          <t>Non-current non-trade payables</t>
        </is>
      </c>
      <c r="B313" s="25" t="n"/>
      <c r="C313" s="25" t="n"/>
    </row>
    <row r="314" ht="15" customHeight="1" s="13">
      <c r="A314" s="20" t="inlineStr">
        <is>
          <t>Deferred income</t>
        </is>
      </c>
      <c r="B314" s="21" t="n"/>
      <c r="C314" s="21" t="n"/>
    </row>
    <row r="315" ht="15" customHeight="1" s="13">
      <c r="A315" s="20" t="inlineStr">
        <is>
          <t>Accruals</t>
        </is>
      </c>
      <c r="B315" s="21" t="n"/>
      <c r="C315" s="21" t="n"/>
    </row>
    <row r="316" ht="15" customHeight="1" s="13">
      <c r="A316" s="20" t="inlineStr">
        <is>
          <t>Retention payable</t>
        </is>
      </c>
      <c r="B316" s="21" t="n"/>
      <c r="C316" s="21" t="n"/>
    </row>
    <row r="317" ht="15" customHeight="1" s="13">
      <c r="A317" s="20" t="inlineStr">
        <is>
          <t>Deposits</t>
        </is>
      </c>
      <c r="B317" s="21" t="n"/>
      <c r="C317" s="21" t="n"/>
    </row>
    <row r="318" ht="15" customHeight="1" s="13">
      <c r="A318" s="20" t="inlineStr">
        <is>
          <t>Other non-current non-trade payables</t>
        </is>
      </c>
      <c r="B318" s="21" t="n"/>
      <c r="C318" s="21" t="n"/>
    </row>
    <row r="319" ht="15" customHeight="1" s="13">
      <c r="A319" s="22" t="inlineStr">
        <is>
          <t>Total non-current non-trade payables</t>
        </is>
      </c>
      <c r="B319" s="23">
        <f>1*B314+1*B315+1*B316+1*B317+1*B318</f>
        <v/>
      </c>
      <c r="C319" s="23">
        <f>1*C314+1*C315+1*C316+1*C317+1*C318</f>
        <v/>
      </c>
    </row>
    <row r="320" ht="15" customHeight="1" s="13">
      <c r="A320" s="20" t="inlineStr">
        <is>
          <t>Other non-current payables</t>
        </is>
      </c>
      <c r="B320" s="27">
        <f>1*B307+1*B312+1*B319</f>
        <v/>
      </c>
      <c r="C320" s="27">
        <f>1*C307+1*C312+1*C319</f>
        <v/>
      </c>
    </row>
    <row r="321" ht="15" customHeight="1" s="13">
      <c r="A321" s="22" t="inlineStr">
        <is>
          <t>*Total trade and other non-current payables</t>
        </is>
      </c>
      <c r="B321" s="23">
        <f>1*B299+1*B320</f>
        <v/>
      </c>
      <c r="C321" s="23">
        <f>1*C299+1*C320</f>
        <v/>
      </c>
    </row>
    <row r="322" ht="15" customHeight="1" s="13">
      <c r="A322" s="16" t="inlineStr">
        <is>
          <t>Non-current derivative financial liabilities</t>
        </is>
      </c>
      <c r="B322" s="25" t="n"/>
      <c r="C322" s="25" t="n"/>
    </row>
    <row r="323" ht="15" customHeight="1" s="13">
      <c r="A323" s="16" t="inlineStr">
        <is>
          <t>Non-current derivatives at fair value through profit or loss</t>
        </is>
      </c>
      <c r="B323" s="25" t="n"/>
      <c r="C323" s="25" t="n"/>
    </row>
    <row r="324" ht="15" customHeight="1" s="13">
      <c r="A324" s="20" t="inlineStr">
        <is>
          <t>Forward contract</t>
        </is>
      </c>
      <c r="B324" s="21" t="n"/>
      <c r="C324" s="21" t="n"/>
    </row>
    <row r="325" ht="15" customHeight="1" s="13">
      <c r="A325" s="20" t="inlineStr">
        <is>
          <t>Options</t>
        </is>
      </c>
      <c r="B325" s="21" t="n"/>
      <c r="C325" s="21" t="n"/>
    </row>
    <row r="326" ht="15" customHeight="1" s="13">
      <c r="A326" s="20" t="inlineStr">
        <is>
          <t>Swap</t>
        </is>
      </c>
      <c r="B326" s="21" t="n"/>
      <c r="C326" s="21" t="n"/>
    </row>
    <row r="327" ht="15" customHeight="1" s="13">
      <c r="A327" s="20" t="inlineStr">
        <is>
          <t>Other derivatives</t>
        </is>
      </c>
      <c r="B327" s="21" t="n"/>
      <c r="C327" s="21" t="n"/>
    </row>
    <row r="328" ht="15" customHeight="1" s="13">
      <c r="A328" s="22" t="inlineStr">
        <is>
          <t>Total non-current derivatives at fair value through profit or loss</t>
        </is>
      </c>
      <c r="B328" s="23">
        <f>1*B324+1*B325+1*B326+1*B327</f>
        <v/>
      </c>
      <c r="C328" s="23">
        <f>1*C324+1*C325+1*C326+1*C327</f>
        <v/>
      </c>
    </row>
    <row r="329" ht="15" customHeight="1" s="13">
      <c r="A329" s="16" t="inlineStr">
        <is>
          <t>Non-current Derivates used for hedging</t>
        </is>
      </c>
      <c r="B329" s="25" t="n"/>
      <c r="C329" s="25" t="n"/>
    </row>
    <row r="330" ht="15" customHeight="1" s="13">
      <c r="A330" s="20" t="inlineStr">
        <is>
          <t>Forward contract</t>
        </is>
      </c>
      <c r="B330" s="21" t="n"/>
      <c r="C330" s="21" t="n"/>
    </row>
    <row r="331" ht="15" customHeight="1" s="13">
      <c r="A331" s="20" t="inlineStr">
        <is>
          <t>Options</t>
        </is>
      </c>
      <c r="B331" s="21" t="n"/>
      <c r="C331" s="21" t="n"/>
    </row>
    <row r="332" ht="15" customHeight="1" s="13">
      <c r="A332" s="20" t="inlineStr">
        <is>
          <t>Swap</t>
        </is>
      </c>
      <c r="B332" s="21" t="n"/>
      <c r="C332" s="21" t="n"/>
    </row>
    <row r="333" ht="15" customHeight="1" s="13">
      <c r="A333" s="20" t="inlineStr">
        <is>
          <t>Other derivatives</t>
        </is>
      </c>
      <c r="B333" s="21" t="n"/>
      <c r="C333" s="21" t="n"/>
    </row>
    <row r="334" ht="15" customHeight="1" s="13">
      <c r="A334" s="22" t="inlineStr">
        <is>
          <t>Total non-current derivatives used for hedging</t>
        </is>
      </c>
      <c r="B334" s="23">
        <f>1*B330+1*B331+1*B332+1*B333</f>
        <v/>
      </c>
      <c r="C334" s="23">
        <f>1*C330+1*C331+1*C332+1*C333</f>
        <v/>
      </c>
    </row>
    <row r="335" ht="15" customHeight="1" s="13">
      <c r="A335" s="20" t="inlineStr">
        <is>
          <t>Other non-current derivative financial liabilities</t>
        </is>
      </c>
      <c r="B335" s="21" t="n"/>
      <c r="C335" s="21" t="n"/>
    </row>
    <row r="336" ht="15" customHeight="1" s="13">
      <c r="A336" s="22" t="inlineStr">
        <is>
          <t>*Total non-current derivative financial liabilities</t>
        </is>
      </c>
      <c r="B336" s="23">
        <f>1*B328+1*B334+1*B335</f>
        <v/>
      </c>
      <c r="C336" s="23">
        <f>1*C328+1*C334+1*C335</f>
        <v/>
      </c>
    </row>
    <row r="337" ht="15" customHeight="1" s="13">
      <c r="A337" s="16" t="inlineStr">
        <is>
          <t>Current borrowings</t>
        </is>
      </c>
      <c r="B337" s="25" t="n"/>
      <c r="C337" s="25" t="n"/>
    </row>
    <row r="338" ht="23.25" customHeight="1" s="13">
      <c r="A338" s="16" t="inlineStr">
        <is>
          <t>Current secured bank loans received and current portion of non-current secured bank loans received</t>
        </is>
      </c>
      <c r="B338" s="25" t="n"/>
      <c r="C338" s="25" t="n"/>
    </row>
    <row r="339" ht="15" customHeight="1" s="13">
      <c r="A339" s="20" t="inlineStr">
        <is>
          <t>Bankers' acceptance</t>
        </is>
      </c>
      <c r="B339" s="21" t="n"/>
      <c r="C339" s="21" t="n"/>
    </row>
    <row r="340" ht="15" customHeight="1" s="13">
      <c r="A340" s="20" t="inlineStr">
        <is>
          <t>Bank overdrafts</t>
        </is>
      </c>
      <c r="B340" s="21" t="n"/>
      <c r="C340" s="21" t="n"/>
    </row>
    <row r="341" ht="15" customHeight="1" s="13">
      <c r="A341" s="20" t="inlineStr">
        <is>
          <t>Trade financing facilities</t>
        </is>
      </c>
      <c r="B341" s="21" t="n"/>
      <c r="C341" s="21" t="n"/>
    </row>
    <row r="342" ht="15" customHeight="1" s="13">
      <c r="A342" s="20" t="inlineStr">
        <is>
          <t>Term loans</t>
        </is>
      </c>
      <c r="B342" s="21" t="n"/>
      <c r="C342" s="21" t="n"/>
    </row>
    <row r="343" ht="15" customHeight="1" s="13">
      <c r="A343" s="20" t="inlineStr">
        <is>
          <t>Islamic financing facilities</t>
        </is>
      </c>
      <c r="B343" s="21" t="n"/>
      <c r="C343" s="21" t="n"/>
    </row>
    <row r="344" ht="15" customHeight="1" s="13">
      <c r="A344" s="20" t="inlineStr">
        <is>
          <t>Hire purchase and finance lease liabilities</t>
        </is>
      </c>
      <c r="B344" s="21" t="n"/>
      <c r="C344" s="21" t="n"/>
    </row>
    <row r="345" ht="15" customHeight="1" s="13">
      <c r="A345" s="20" t="inlineStr">
        <is>
          <t>Islamic medium term notes</t>
        </is>
      </c>
      <c r="B345" s="21" t="n"/>
      <c r="C345" s="21" t="n"/>
    </row>
    <row r="346" ht="15" customHeight="1" s="13">
      <c r="A346" s="20" t="inlineStr">
        <is>
          <t>Sukuk</t>
        </is>
      </c>
      <c r="B346" s="21" t="n"/>
      <c r="C346" s="21" t="n"/>
    </row>
    <row r="347" ht="15" customHeight="1" s="13">
      <c r="A347" s="20" t="inlineStr">
        <is>
          <t>Revolving credit and others</t>
        </is>
      </c>
      <c r="B347" s="21" t="n"/>
      <c r="C347" s="21" t="n"/>
    </row>
    <row r="348" ht="15" customHeight="1" s="13">
      <c r="A348" s="20" t="inlineStr">
        <is>
          <t>Other secured bank loans received</t>
        </is>
      </c>
      <c r="B348" s="21" t="n"/>
      <c r="C348" s="21" t="n"/>
    </row>
    <row r="349" ht="23.25" customHeight="1" s="13">
      <c r="A349" s="22" t="inlineStr">
        <is>
          <t>Total current secured bank loans received and current portion of non-current secured bank loans received</t>
        </is>
      </c>
      <c r="B349" s="23">
        <f>1*B339+1*B340+1*B341+1*B342+1*B343+1*B344+1*B345+1*B346+1*B347+1*B348</f>
        <v/>
      </c>
      <c r="C349" s="23">
        <f>1*C339+1*C340+1*C341+1*C342+1*C343+1*C344+1*C345+1*C346+1*C347+1*C348</f>
        <v/>
      </c>
    </row>
    <row r="350" ht="23.25" customHeight="1" s="13">
      <c r="A350" s="16" t="inlineStr">
        <is>
          <t>Current unsecured bank loans received and current portion of non-current unsecured bank loans received</t>
        </is>
      </c>
      <c r="B350" s="25" t="n"/>
      <c r="C350" s="25" t="n"/>
    </row>
    <row r="351" ht="15" customHeight="1" s="13">
      <c r="A351" s="20" t="inlineStr">
        <is>
          <t>Block discounting payables</t>
        </is>
      </c>
      <c r="B351" s="21" t="n"/>
      <c r="C351" s="21" t="n"/>
    </row>
    <row r="352" ht="15" customHeight="1" s="13">
      <c r="A352" s="20" t="inlineStr">
        <is>
          <t>Term loans</t>
        </is>
      </c>
      <c r="B352" s="21" t="n"/>
      <c r="C352" s="21" t="n"/>
    </row>
    <row r="353" ht="15" customHeight="1" s="13">
      <c r="A353" s="20" t="inlineStr">
        <is>
          <t>Irredeemable convertible unsecured loan stocks (ICULS)</t>
        </is>
      </c>
      <c r="B353" s="21" t="n"/>
      <c r="C353" s="21" t="n"/>
    </row>
    <row r="354" ht="15" customHeight="1" s="13">
      <c r="A354" s="20" t="inlineStr">
        <is>
          <t>Islamic financing facilities</t>
        </is>
      </c>
      <c r="B354" s="21" t="n"/>
      <c r="C354" s="21" t="n"/>
    </row>
    <row r="355" ht="15" customHeight="1" s="13">
      <c r="A355" s="20" t="inlineStr">
        <is>
          <t>Hire purchase and finance lease liabilities</t>
        </is>
      </c>
      <c r="B355" s="21" t="n"/>
      <c r="C355" s="21" t="n"/>
    </row>
    <row r="356" ht="15" customHeight="1" s="13">
      <c r="A356" s="20" t="inlineStr">
        <is>
          <t>Islamic medium term notes</t>
        </is>
      </c>
      <c r="B356" s="21" t="n"/>
      <c r="C356" s="21" t="n"/>
    </row>
    <row r="357" ht="15" customHeight="1" s="13">
      <c r="A357" s="20" t="inlineStr">
        <is>
          <t>Sukuk</t>
        </is>
      </c>
      <c r="B357" s="21" t="n"/>
      <c r="C357" s="21" t="n"/>
    </row>
    <row r="358" ht="15" customHeight="1" s="13">
      <c r="A358" s="20" t="inlineStr">
        <is>
          <t>Revolving credit and others</t>
        </is>
      </c>
      <c r="B358" s="21" t="n"/>
      <c r="C358" s="21" t="n"/>
    </row>
    <row r="359" ht="15" customHeight="1" s="13">
      <c r="A359" s="20" t="inlineStr">
        <is>
          <t>Other unsecured bank loans received</t>
        </is>
      </c>
      <c r="B359" s="21" t="n"/>
      <c r="C359" s="21" t="n"/>
    </row>
    <row r="360" ht="23.25" customHeight="1" s="13">
      <c r="A360" s="22" t="inlineStr">
        <is>
          <t>Total current unsecured bank loans received and current portion of non-current unsecured bank loans received</t>
        </is>
      </c>
      <c r="B360" s="23">
        <f>1*B351+1*B352+1*B353+1*B354+1*B355+1*B356+1*B357+1*B358+1*B359</f>
        <v/>
      </c>
      <c r="C360" s="23">
        <f>1*C351+1*C352+1*C353+1*C354+1*C355+1*C356+1*C357+1*C358+1*C359</f>
        <v/>
      </c>
    </row>
    <row r="361" ht="15" customHeight="1" s="13">
      <c r="A361" s="16" t="inlineStr">
        <is>
          <t>Current portion of secured bonds/sukuk/loan stocks</t>
        </is>
      </c>
      <c r="B361" s="25" t="n"/>
      <c r="C361" s="25" t="n"/>
    </row>
    <row r="362" ht="15" customHeight="1" s="13">
      <c r="A362" s="20" t="inlineStr">
        <is>
          <t>Bonds</t>
        </is>
      </c>
      <c r="B362" s="21" t="n"/>
      <c r="C362" s="21" t="n"/>
    </row>
    <row r="363" ht="15" customHeight="1" s="13">
      <c r="A363" s="20" t="inlineStr">
        <is>
          <t>Sukuk</t>
        </is>
      </c>
      <c r="B363" s="21" t="n"/>
      <c r="C363" s="21" t="n"/>
    </row>
    <row r="364" ht="15" customHeight="1" s="13">
      <c r="A364" s="20" t="inlineStr">
        <is>
          <t>Medium term notes</t>
        </is>
      </c>
      <c r="B364" s="21" t="n"/>
      <c r="C364" s="21" t="n"/>
    </row>
    <row r="365" ht="15" customHeight="1" s="13">
      <c r="A365" s="20" t="inlineStr">
        <is>
          <t>Loan stocks</t>
        </is>
      </c>
      <c r="B365" s="21" t="n"/>
      <c r="C365" s="21" t="n"/>
    </row>
    <row r="366" ht="15" customHeight="1" s="13">
      <c r="A366" s="20" t="inlineStr">
        <is>
          <t>Preference shares</t>
        </is>
      </c>
      <c r="B366" s="21" t="n"/>
      <c r="C366" s="21" t="n"/>
    </row>
    <row r="367" ht="15" customHeight="1" s="13">
      <c r="A367" s="22" t="inlineStr">
        <is>
          <t>Total current portion of secured bonds/sukuk/loan stocks</t>
        </is>
      </c>
      <c r="B367" s="23">
        <f>1*B382+1*B363+1*B364+1*B365+1*B366</f>
        <v/>
      </c>
      <c r="C367" s="23">
        <f>1*C382+1*C363+1*C364+1*C365+1*C366</f>
        <v/>
      </c>
    </row>
    <row r="368" ht="15" customHeight="1" s="13">
      <c r="A368" s="16" t="inlineStr">
        <is>
          <t>Current portion of unsecured bonds/sukuk/loan stocks</t>
        </is>
      </c>
      <c r="B368" s="25" t="n"/>
      <c r="C368" s="25" t="n"/>
    </row>
    <row r="369" ht="15" customHeight="1" s="13">
      <c r="A369" s="20" t="inlineStr">
        <is>
          <t>Bonds</t>
        </is>
      </c>
      <c r="B369" s="21" t="n"/>
      <c r="C369" s="21" t="n"/>
    </row>
    <row r="370" ht="15" customHeight="1" s="13">
      <c r="A370" s="20" t="inlineStr">
        <is>
          <t>Sukuk</t>
        </is>
      </c>
      <c r="B370" s="21" t="n"/>
      <c r="C370" s="21" t="n"/>
    </row>
    <row r="371" ht="15" customHeight="1" s="13">
      <c r="A371" s="20" t="inlineStr">
        <is>
          <t>Medium term notes</t>
        </is>
      </c>
      <c r="B371" s="21" t="n"/>
      <c r="C371" s="21" t="n"/>
    </row>
    <row r="372" ht="15" customHeight="1" s="13">
      <c r="A372" s="20" t="inlineStr">
        <is>
          <t>Loan stocks</t>
        </is>
      </c>
      <c r="B372" s="21" t="n"/>
      <c r="C372" s="21" t="n"/>
    </row>
    <row r="373" ht="15" customHeight="1" s="13">
      <c r="A373" s="20" t="inlineStr">
        <is>
          <t>Preference shares</t>
        </is>
      </c>
      <c r="B373" s="21" t="n"/>
      <c r="C373" s="21" t="n"/>
    </row>
    <row r="374" ht="15" customHeight="1" s="13">
      <c r="A374" s="22" t="inlineStr">
        <is>
          <t>Total current portion of unsecured bonds/sukuk/loan stocks</t>
        </is>
      </c>
      <c r="B374" s="23">
        <f>1*B389+1*B370+1*B371+1*B372+1*B373</f>
        <v/>
      </c>
      <c r="C374" s="23">
        <f>1*C389+1*C370+1*C371+1*C372+1*C373</f>
        <v/>
      </c>
    </row>
    <row r="375" ht="15" customHeight="1" s="13">
      <c r="A375" s="16" t="inlineStr">
        <is>
          <t>Other current borrowings</t>
        </is>
      </c>
      <c r="B375" s="25" t="n"/>
      <c r="C375" s="25" t="n"/>
    </row>
    <row r="376" ht="15" customHeight="1" s="13">
      <c r="A376" s="20" t="inlineStr">
        <is>
          <t>Trade loans</t>
        </is>
      </c>
      <c r="B376" s="21" t="n"/>
      <c r="C376" s="21" t="n"/>
    </row>
    <row r="377" ht="15" customHeight="1" s="13">
      <c r="A377" s="20" t="inlineStr">
        <is>
          <t>Loan from subsidiaries</t>
        </is>
      </c>
      <c r="B377" s="21" t="n"/>
      <c r="C377" s="21" t="n"/>
    </row>
    <row r="378" ht="15" customHeight="1" s="13">
      <c r="A378" s="20" t="inlineStr">
        <is>
          <t>Loan from associates</t>
        </is>
      </c>
      <c r="B378" s="21" t="n"/>
      <c r="C378" s="21" t="n"/>
    </row>
    <row r="379" ht="15" customHeight="1" s="13">
      <c r="A379" s="20" t="inlineStr">
        <is>
          <t>Loan from joint ventures</t>
        </is>
      </c>
      <c r="B379" s="21" t="n"/>
      <c r="C379" s="21" t="n"/>
    </row>
    <row r="380" ht="15" customHeight="1" s="13">
      <c r="A380" s="20" t="inlineStr">
        <is>
          <t>Redeemable preference shares</t>
        </is>
      </c>
      <c r="B380" s="21" t="n"/>
      <c r="C380" s="21" t="n"/>
    </row>
    <row r="381" ht="15" customHeight="1" s="13">
      <c r="A381" s="20" t="inlineStr">
        <is>
          <t>Other current borrowings</t>
        </is>
      </c>
      <c r="B381" s="21" t="n"/>
      <c r="C381" s="21" t="n"/>
    </row>
    <row r="382" ht="15" customHeight="1" s="13">
      <c r="A382" s="22" t="inlineStr">
        <is>
          <t>Total other current borrowings</t>
        </is>
      </c>
      <c r="B382" s="23">
        <f>1*B376+1*B377+1*B378+1*B379+1*B380+1*B381</f>
        <v/>
      </c>
      <c r="C382" s="23">
        <f>1*C376+1*C377+1*C378+1*C379+1*C380+1*C381</f>
        <v/>
      </c>
    </row>
    <row r="383" ht="15" customHeight="1" s="13">
      <c r="A383" s="22" t="inlineStr">
        <is>
          <t>Total current borrowings</t>
        </is>
      </c>
      <c r="B383" s="23">
        <f>1*B349+1*B360+1*B387+1*B394+1*B382</f>
        <v/>
      </c>
      <c r="C383" s="23">
        <f>1*C349+1*C360+1*C387+1*C394+1*C382</f>
        <v/>
      </c>
    </row>
    <row r="384" ht="15" customHeight="1" s="13">
      <c r="A384" s="16" t="inlineStr">
        <is>
          <t>Current employee benefit liabilities</t>
        </is>
      </c>
      <c r="B384" s="25" t="n"/>
      <c r="C384" s="25" t="n"/>
    </row>
    <row r="385" ht="15" customHeight="1" s="13">
      <c r="A385" s="20" t="inlineStr">
        <is>
          <t>Cash-settled share-based payment liability</t>
        </is>
      </c>
      <c r="B385" s="21" t="n"/>
      <c r="C385" s="21" t="n"/>
    </row>
    <row r="386" ht="15" customHeight="1" s="13">
      <c r="A386" s="20" t="inlineStr">
        <is>
          <t>Retirement benefits</t>
        </is>
      </c>
      <c r="B386" s="21" t="n"/>
      <c r="C386" s="21" t="n"/>
    </row>
    <row r="387" ht="15" customHeight="1" s="13">
      <c r="A387" s="20" t="inlineStr">
        <is>
          <t>Employment termination benefits</t>
        </is>
      </c>
      <c r="B387" s="21" t="n"/>
      <c r="C387" s="21" t="n"/>
    </row>
    <row r="388" ht="15" customHeight="1" s="13">
      <c r="A388" s="20" t="inlineStr">
        <is>
          <t>Provision for unconsumed leave</t>
        </is>
      </c>
      <c r="B388" s="21" t="n"/>
      <c r="C388" s="21" t="n"/>
    </row>
    <row r="389" ht="15" customHeight="1" s="13">
      <c r="A389" s="20" t="inlineStr">
        <is>
          <t>Defined contribution plan</t>
        </is>
      </c>
      <c r="B389" s="21" t="n"/>
      <c r="C389" s="21" t="n"/>
    </row>
    <row r="390" ht="15" customHeight="1" s="13">
      <c r="A390" s="20" t="inlineStr">
        <is>
          <t>Defined benefit plan</t>
        </is>
      </c>
      <c r="B390" s="21" t="n"/>
      <c r="C390" s="21" t="n"/>
    </row>
    <row r="391" ht="15" customHeight="1" s="13">
      <c r="A391" s="20" t="inlineStr">
        <is>
          <t>Other current employee benefit liabilities</t>
        </is>
      </c>
      <c r="B391" s="21" t="n"/>
      <c r="C391" s="21" t="n"/>
    </row>
    <row r="392" ht="15" customHeight="1" s="13">
      <c r="A392" s="22" t="inlineStr">
        <is>
          <t>*Total current employee benefit liabilities</t>
        </is>
      </c>
      <c r="B392" s="23">
        <f>1*B385+1*B386+1*B387+1*B388+1*B389+1*B390+1*B391</f>
        <v/>
      </c>
      <c r="C392" s="23">
        <f>1*C385+1*C386+1*C387+1*C388+1*C389+1*C390+1*C391</f>
        <v/>
      </c>
    </row>
    <row r="393" ht="15" customHeight="1" s="13">
      <c r="A393" s="16" t="inlineStr">
        <is>
          <t>Current provisions</t>
        </is>
      </c>
      <c r="B393" s="25" t="n"/>
      <c r="C393" s="25" t="n"/>
    </row>
    <row r="394" ht="15" customHeight="1" s="13">
      <c r="A394" s="20" t="inlineStr">
        <is>
          <t>Warranty provision</t>
        </is>
      </c>
      <c r="B394" s="21" t="n"/>
      <c r="C394" s="21" t="n"/>
    </row>
    <row r="395" ht="15" customHeight="1" s="13">
      <c r="A395" s="20" t="inlineStr">
        <is>
          <t>Restructuring provision</t>
        </is>
      </c>
      <c r="B395" s="21" t="n"/>
      <c r="C395" s="21" t="n"/>
    </row>
    <row r="396" ht="15" customHeight="1" s="13">
      <c r="A396" s="20" t="inlineStr">
        <is>
          <t>Legal proceedings provision</t>
        </is>
      </c>
      <c r="B396" s="21" t="n"/>
      <c r="C396" s="21" t="n"/>
    </row>
    <row r="397" ht="15" customHeight="1" s="13">
      <c r="A397" s="20" t="inlineStr">
        <is>
          <t>Refunds provision</t>
        </is>
      </c>
      <c r="B397" s="21" t="n"/>
      <c r="C397" s="21" t="n"/>
    </row>
    <row r="398" ht="15" customHeight="1" s="13">
      <c r="A398" s="20" t="inlineStr">
        <is>
          <t>Onerous contracts provision</t>
        </is>
      </c>
      <c r="B398" s="21" t="n"/>
      <c r="C398" s="21" t="n"/>
    </row>
    <row r="399" ht="15" customHeight="1" s="13">
      <c r="A399" s="20" t="inlineStr">
        <is>
          <t>Provision for decommissioning, restoration and rehabilitation costs</t>
        </is>
      </c>
      <c r="B399" s="21" t="n"/>
      <c r="C399" s="21" t="n"/>
    </row>
    <row r="400" ht="15" customHeight="1" s="13">
      <c r="A400" s="20" t="inlineStr">
        <is>
          <t>Other current provisions</t>
        </is>
      </c>
      <c r="B400" s="21" t="n"/>
      <c r="C400" s="21" t="n"/>
    </row>
    <row r="401" ht="15" customHeight="1" s="13">
      <c r="A401" s="22" t="inlineStr">
        <is>
          <t>*Total current provisions</t>
        </is>
      </c>
      <c r="B401" s="23">
        <f>1*B394+1*B395+1*B396+1*B397+1*B398+1*B399+1*B400</f>
        <v/>
      </c>
      <c r="C401" s="23">
        <f>1*C394+1*C395+1*C396+1*C397+1*C398+1*C399+1*C400</f>
        <v/>
      </c>
    </row>
    <row r="402" ht="15" customHeight="1" s="13">
      <c r="A402" s="16" t="inlineStr">
        <is>
          <t>Trade and other current payables</t>
        </is>
      </c>
      <c r="B402" s="25" t="n"/>
      <c r="C402" s="25" t="n"/>
    </row>
    <row r="403" ht="15" customHeight="1" s="13">
      <c r="A403" s="16" t="inlineStr">
        <is>
          <t>Current trade payables</t>
        </is>
      </c>
      <c r="B403" s="25" t="n"/>
      <c r="C403" s="25" t="n"/>
    </row>
    <row r="404" ht="15" customHeight="1" s="13">
      <c r="A404" s="20" t="inlineStr">
        <is>
          <t>Trade payables</t>
        </is>
      </c>
      <c r="B404" s="21" t="n"/>
      <c r="C404" s="21" t="n"/>
    </row>
    <row r="405" ht="15" customHeight="1" s="13">
      <c r="A405" s="20" t="inlineStr">
        <is>
          <t>Trade payable due to contract suppliers</t>
        </is>
      </c>
      <c r="B405" s="21" t="n"/>
      <c r="C405" s="21" t="n"/>
    </row>
    <row r="406" ht="15" customHeight="1" s="13">
      <c r="A406" s="20" t="inlineStr">
        <is>
          <t>Trade payables due to holding company</t>
        </is>
      </c>
      <c r="B406" s="21" t="n"/>
      <c r="C406" s="21" t="n"/>
    </row>
    <row r="407" ht="15" customHeight="1" s="13">
      <c r="A407" s="20" t="inlineStr">
        <is>
          <t>Trade payables due to subsidiaries</t>
        </is>
      </c>
      <c r="B407" s="21" t="n"/>
      <c r="C407" s="21" t="n"/>
    </row>
    <row r="408" ht="15" customHeight="1" s="13">
      <c r="A408" s="20" t="inlineStr">
        <is>
          <t>Trade payables due to associates</t>
        </is>
      </c>
      <c r="B408" s="21" t="n"/>
      <c r="C408" s="21" t="n"/>
    </row>
    <row r="409" ht="15" customHeight="1" s="13">
      <c r="A409" s="20" t="inlineStr">
        <is>
          <t>Trade payables due to joint ventures</t>
        </is>
      </c>
      <c r="B409" s="21" t="n"/>
      <c r="C409" s="21" t="n"/>
    </row>
    <row r="410" ht="15" customHeight="1" s="13">
      <c r="A410" s="20" t="inlineStr">
        <is>
          <t>Trade payables due to other related parties</t>
        </is>
      </c>
      <c r="B410" s="21" t="n"/>
      <c r="C410" s="21" t="n"/>
    </row>
    <row r="411" ht="15" customHeight="1" s="13">
      <c r="A411" s="20" t="inlineStr">
        <is>
          <t>Other current trade payables</t>
        </is>
      </c>
      <c r="B411" s="21" t="n"/>
      <c r="C411" s="21" t="n"/>
    </row>
    <row r="412" ht="15" customHeight="1" s="13">
      <c r="A412" s="22" t="inlineStr">
        <is>
          <t>Total current trade payables</t>
        </is>
      </c>
      <c r="B412" s="23">
        <f>1*B404+1*B405+1*B406+1*B407+1*B408+1*B409+1*B410+1*B411</f>
        <v/>
      </c>
      <c r="C412" s="23">
        <f>1*C404+1*C405+1*C406+1*C407+1*C408+1*C409+1*C410+1*C411</f>
        <v/>
      </c>
    </row>
    <row r="413" ht="15" customHeight="1" s="13">
      <c r="A413" s="16" t="inlineStr">
        <is>
          <t>Other current payables</t>
        </is>
      </c>
      <c r="B413" s="25" t="n"/>
      <c r="C413" s="25" t="n"/>
    </row>
    <row r="414" ht="15" customHeight="1" s="13">
      <c r="A414" s="16" t="inlineStr">
        <is>
          <t xml:space="preserve"> Other current payables due to related parties</t>
        </is>
      </c>
      <c r="B414" s="25" t="n"/>
      <c r="C414" s="25" t="n"/>
    </row>
    <row r="415" ht="15" customHeight="1" s="13">
      <c r="A415" s="20" t="inlineStr">
        <is>
          <t>Other payables due to holding company</t>
        </is>
      </c>
      <c r="B415" s="21" t="n"/>
      <c r="C415" s="21" t="n"/>
    </row>
    <row r="416" ht="15" customHeight="1" s="13">
      <c r="A416" s="20" t="inlineStr">
        <is>
          <t>Other payables due to subsidiaries</t>
        </is>
      </c>
      <c r="B416" s="21" t="n"/>
      <c r="C416" s="21" t="n"/>
    </row>
    <row r="417" ht="15" customHeight="1" s="13">
      <c r="A417" s="20" t="inlineStr">
        <is>
          <t>Other payables due to associates</t>
        </is>
      </c>
      <c r="B417" s="21" t="n"/>
      <c r="C417" s="21" t="n"/>
    </row>
    <row r="418" ht="15" customHeight="1" s="13">
      <c r="A418" s="20" t="inlineStr">
        <is>
          <t>Other payables due to joint ventures</t>
        </is>
      </c>
      <c r="B418" s="21" t="n"/>
      <c r="C418" s="21" t="n"/>
    </row>
    <row r="419" ht="15" customHeight="1" s="13">
      <c r="A419" s="20" t="inlineStr">
        <is>
          <t>Other payables due to other related parties</t>
        </is>
      </c>
      <c r="B419" s="21" t="n"/>
      <c r="C419" s="21" t="n"/>
    </row>
    <row r="420" ht="15" customHeight="1" s="13">
      <c r="A420" s="22" t="inlineStr">
        <is>
          <t>Total other current payables due to related parties</t>
        </is>
      </c>
      <c r="B420" s="23">
        <f>1*B415+1*B416+1*B417+1*B418+1*B419</f>
        <v/>
      </c>
      <c r="C420" s="23">
        <f>1*C415+1*C416+1*C417+1*C418+1*C419</f>
        <v/>
      </c>
    </row>
    <row r="421" ht="15" customHeight="1" s="13">
      <c r="A421" s="16" t="inlineStr">
        <is>
          <t>Other payables due to non-controlling interests</t>
        </is>
      </c>
      <c r="B421" s="25" t="n"/>
      <c r="C421" s="25" t="n"/>
    </row>
    <row r="422" ht="15" customHeight="1" s="13">
      <c r="A422" s="20" t="inlineStr">
        <is>
          <t>Dividend payable to non-controlling interest</t>
        </is>
      </c>
      <c r="B422" s="21" t="n"/>
      <c r="C422" s="21" t="n"/>
    </row>
    <row r="423" ht="15" customHeight="1" s="13">
      <c r="A423" s="20" t="inlineStr">
        <is>
          <t>Loans from non-controlling interest</t>
        </is>
      </c>
      <c r="B423" s="21" t="n"/>
      <c r="C423" s="21" t="n"/>
    </row>
    <row r="424" ht="15" customHeight="1" s="13">
      <c r="A424" s="20" t="inlineStr">
        <is>
          <t>Miscellaneous payable due to non-controlling interests</t>
        </is>
      </c>
      <c r="B424" s="21" t="n"/>
      <c r="C424" s="21" t="n"/>
    </row>
    <row r="425" ht="15" customHeight="1" s="13">
      <c r="A425" s="22" t="inlineStr">
        <is>
          <t>Total other payables due to non-controlling interests</t>
        </is>
      </c>
      <c r="B425" s="23">
        <f>1*B422+1*B423+1*B424</f>
        <v/>
      </c>
      <c r="C425" s="23">
        <f>1*C422+1*C423+1*C424</f>
        <v/>
      </c>
    </row>
    <row r="426" ht="15" customHeight="1" s="13">
      <c r="A426" s="16" t="inlineStr">
        <is>
          <t>Current non-trade payables</t>
        </is>
      </c>
      <c r="B426" s="25" t="n"/>
      <c r="C426" s="25" t="n"/>
    </row>
    <row r="427" ht="15" customHeight="1" s="13">
      <c r="A427" s="20" t="inlineStr">
        <is>
          <t>Accruals</t>
        </is>
      </c>
      <c r="B427" s="21" t="n"/>
      <c r="C427" s="21" t="n"/>
    </row>
    <row r="428" ht="15" customHeight="1" s="13">
      <c r="A428" s="20" t="inlineStr">
        <is>
          <t>Retention payable</t>
        </is>
      </c>
      <c r="B428" s="21" t="n"/>
      <c r="C428" s="21" t="n"/>
    </row>
    <row r="429" ht="15" customHeight="1" s="13">
      <c r="A429" s="20" t="inlineStr">
        <is>
          <t>Deferred income</t>
        </is>
      </c>
      <c r="B429" s="21" t="n"/>
      <c r="C429" s="21" t="n"/>
    </row>
    <row r="430" ht="15" customHeight="1" s="13">
      <c r="A430" s="20" t="inlineStr">
        <is>
          <t>Deposits and advanced billings</t>
        </is>
      </c>
      <c r="B430" s="21" t="n"/>
      <c r="C430" s="21" t="n"/>
    </row>
    <row r="431" ht="15" customHeight="1" s="13">
      <c r="A431" s="20" t="inlineStr">
        <is>
          <t>Financing costs</t>
        </is>
      </c>
      <c r="B431" s="21" t="n"/>
      <c r="C431" s="21" t="n"/>
    </row>
    <row r="432" ht="15" customHeight="1" s="13">
      <c r="A432" s="20" t="inlineStr">
        <is>
          <t>Dividend payable</t>
        </is>
      </c>
      <c r="B432" s="21" t="n"/>
      <c r="C432" s="21" t="n"/>
    </row>
    <row r="433" ht="15" customHeight="1" s="13">
      <c r="A433" s="20" t="inlineStr">
        <is>
          <t>Interest payables</t>
        </is>
      </c>
      <c r="B433" s="21" t="n"/>
      <c r="C433" s="21" t="n"/>
    </row>
    <row r="434" ht="15" customHeight="1" s="13">
      <c r="A434" s="20" t="inlineStr">
        <is>
          <t>Other current non-trade payables</t>
        </is>
      </c>
      <c r="B434" s="21" t="n"/>
      <c r="C434" s="21" t="n"/>
    </row>
    <row r="435" ht="15" customHeight="1" s="13">
      <c r="A435" s="22" t="inlineStr">
        <is>
          <t>Total current non-trade payables</t>
        </is>
      </c>
      <c r="B435" s="23">
        <f>1*B427+1*B428+1*B429+1*B430+1*B431+1*B432+1*B433+1*B434</f>
        <v/>
      </c>
      <c r="C435" s="23">
        <f>1*C427+1*C428+1*C429+1*C430+1*C431+1*C432+1*C433+1*C434</f>
        <v/>
      </c>
    </row>
    <row r="436" ht="15" customHeight="1" s="13">
      <c r="A436" s="22" t="inlineStr">
        <is>
          <t>Total other current payables</t>
        </is>
      </c>
      <c r="B436" s="23">
        <f>1*B420+1*B425+1*B435</f>
        <v/>
      </c>
      <c r="C436" s="23">
        <f>1*C420+1*C425+1*C435</f>
        <v/>
      </c>
    </row>
    <row r="437" ht="15" customHeight="1" s="13">
      <c r="A437" s="22" t="inlineStr">
        <is>
          <t>*Total trade and other current payables</t>
        </is>
      </c>
      <c r="B437" s="23">
        <f>1*B412+1*B436</f>
        <v/>
      </c>
      <c r="C437" s="23">
        <f>1*C412+1*C436</f>
        <v/>
      </c>
    </row>
    <row r="438" ht="15" customHeight="1" s="13">
      <c r="A438" s="16" t="inlineStr">
        <is>
          <t>Current derivative financial liabilities</t>
        </is>
      </c>
      <c r="B438" s="25" t="n"/>
      <c r="C438" s="25" t="n"/>
    </row>
    <row r="439" ht="15" customHeight="1" s="13">
      <c r="A439" s="16" t="inlineStr">
        <is>
          <t>Current derivatives at fair value through profit or loss</t>
        </is>
      </c>
      <c r="B439" s="25" t="n"/>
      <c r="C439" s="25" t="n"/>
    </row>
    <row r="440" ht="15" customHeight="1" s="13">
      <c r="A440" s="20" t="inlineStr">
        <is>
          <t>Forward contract</t>
        </is>
      </c>
      <c r="B440" s="21" t="n"/>
      <c r="C440" s="21" t="n"/>
    </row>
    <row r="441" ht="15" customHeight="1" s="13">
      <c r="A441" s="20" t="inlineStr">
        <is>
          <t>Options</t>
        </is>
      </c>
      <c r="B441" s="21" t="n"/>
      <c r="C441" s="21" t="n"/>
    </row>
    <row r="442" ht="15" customHeight="1" s="13">
      <c r="A442" s="20" t="inlineStr">
        <is>
          <t>Swap</t>
        </is>
      </c>
      <c r="B442" s="21" t="n"/>
      <c r="C442" s="21" t="n"/>
    </row>
    <row r="443" ht="15" customHeight="1" s="13">
      <c r="A443" s="20" t="inlineStr">
        <is>
          <t>Other derivatives</t>
        </is>
      </c>
      <c r="B443" s="21" t="n"/>
      <c r="C443" s="21" t="n"/>
    </row>
    <row r="444" ht="15" customHeight="1" s="13">
      <c r="A444" s="22" t="inlineStr">
        <is>
          <t>Total current derivatives at fair value through profit or loss</t>
        </is>
      </c>
      <c r="B444" s="23">
        <f>1*B440+1*B441+1*B442+1*B443</f>
        <v/>
      </c>
      <c r="C444" s="23">
        <f>1*C440+1*C441+1*C442+1*C443</f>
        <v/>
      </c>
    </row>
    <row r="445" ht="15" customHeight="1" s="13">
      <c r="A445" s="16" t="inlineStr">
        <is>
          <t>Current derivatives used for hedging</t>
        </is>
      </c>
      <c r="B445" s="25" t="n"/>
      <c r="C445" s="25" t="n"/>
    </row>
    <row r="446" ht="15" customHeight="1" s="13">
      <c r="A446" s="20" t="inlineStr">
        <is>
          <t>Forward contract</t>
        </is>
      </c>
      <c r="B446" s="19" t="n"/>
      <c r="C446" s="19" t="n"/>
    </row>
    <row r="447" ht="15" customHeight="1" s="13">
      <c r="A447" s="20" t="inlineStr">
        <is>
          <t>Options</t>
        </is>
      </c>
      <c r="B447" s="19" t="n"/>
      <c r="C447" s="19" t="n"/>
    </row>
    <row r="448" ht="15" customHeight="1" s="13">
      <c r="A448" s="20" t="inlineStr">
        <is>
          <t>Swap</t>
        </is>
      </c>
      <c r="B448" s="21" t="n"/>
      <c r="C448" s="21" t="n"/>
    </row>
    <row r="449" ht="15" customHeight="1" s="13">
      <c r="A449" s="20" t="inlineStr">
        <is>
          <t>Other derivatives</t>
        </is>
      </c>
      <c r="B449" s="21" t="n"/>
      <c r="C449" s="21" t="n"/>
    </row>
    <row r="450" ht="15" customHeight="1" s="13">
      <c r="A450" s="22" t="inlineStr">
        <is>
          <t>Total current derivatives used for hedging</t>
        </is>
      </c>
      <c r="B450" s="23">
        <f>1*B446+1*B447+1*B448+1*B449</f>
        <v/>
      </c>
      <c r="C450" s="23">
        <f>1*C446+1*C447+1*C448+1*C449</f>
        <v/>
      </c>
    </row>
    <row r="451" ht="15" customHeight="1" s="13">
      <c r="A451" s="20" t="inlineStr">
        <is>
          <t>Other current derivative financial liabilities</t>
        </is>
      </c>
      <c r="B451" s="21" t="n"/>
      <c r="C451" s="21" t="n"/>
    </row>
    <row r="452" ht="15" customHeight="1" s="13">
      <c r="A452" s="22" t="inlineStr">
        <is>
          <t>*Total current derivative financial liabilities</t>
        </is>
      </c>
      <c r="B452" s="23">
        <f>1*B444+1*B450+1*B451</f>
        <v/>
      </c>
      <c r="C452" s="23">
        <f>1*C444+1*C450+1*C451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2026-04-08T12:50:14Z</dcterms:modified>
  <cp:revision>0</cp:revision>
</cp:coreProperties>
</file>