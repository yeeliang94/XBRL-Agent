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PL-Function" sheetId="1" state="visible" r:id="rId3"/>
    <sheet name="SOPL-Analysis-Func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<sst xmlns="http://schemas.openxmlformats.org/spreadsheetml/2006/main" count="188" uniqueCount="170">
  <si>
    <t xml:space="preserve">Group</t>
  </si>
  <si>
    <t xml:space="preserve">Company</t>
  </si>
  <si>
    <t xml:space="preserve">Source</t>
  </si>
  <si>
    <t xml:space="preserve">01/01/YYYY - 31/12/YYYY</t>
  </si>
  <si>
    <t xml:space="preserve">Statement of profit or loss, by function of expense</t>
  </si>
  <si>
    <t xml:space="preserve">Statement of Profit or Loss</t>
  </si>
  <si>
    <t xml:space="preserve">Statement of profit or loss</t>
  </si>
  <si>
    <t xml:space="preserve">Continuing operations</t>
  </si>
  <si>
    <t xml:space="preserve">*Revenue</t>
  </si>
  <si>
    <t xml:space="preserve">*Cost of sales</t>
  </si>
  <si>
    <t xml:space="preserve">*Gross profit</t>
  </si>
  <si>
    <t xml:space="preserve">*Other income</t>
  </si>
  <si>
    <t xml:space="preserve">Selling and distribution expenses</t>
  </si>
  <si>
    <t xml:space="preserve">*Administrative expenses</t>
  </si>
  <si>
    <t xml:space="preserve">Research and development expense</t>
  </si>
  <si>
    <t xml:space="preserve">*Other expenses</t>
  </si>
  <si>
    <t xml:space="preserve">*Profit (loss) from operating activities</t>
  </si>
  <si>
    <t xml:space="preserve">*Finance income</t>
  </si>
  <si>
    <t xml:space="preserve">*Finance costs</t>
  </si>
  <si>
    <t xml:space="preserve">Share of profit (loss) of associates and joint ventures accounted for using equity method</t>
  </si>
  <si>
    <t xml:space="preserve">Fair valuation gain (loss) arising from distribution of non-cash assets to owners</t>
  </si>
  <si>
    <t xml:space="preserve">*Profit (loss) before tax</t>
  </si>
  <si>
    <t xml:space="preserve">*Tax expense</t>
  </si>
  <si>
    <t xml:space="preserve">Contribution of zakat</t>
  </si>
  <si>
    <t xml:space="preserve">*Profit (loss) from continuing operations</t>
  </si>
  <si>
    <t xml:space="preserve">Discontinued operations</t>
  </si>
  <si>
    <t xml:space="preserve">Profit (loss) from discontinued operations, net of tax</t>
  </si>
  <si>
    <t xml:space="preserve">*Profit (loss)</t>
  </si>
  <si>
    <t xml:space="preserve">Profit (loss), attributable to</t>
  </si>
  <si>
    <t xml:space="preserve">Profit (loss), attributable to owners of parent</t>
  </si>
  <si>
    <t xml:space="preserve">Profit (loss) attributable to equity other components</t>
  </si>
  <si>
    <t xml:space="preserve">Profit (loss), attributable to non-controlling interests</t>
  </si>
  <si>
    <t xml:space="preserve">*Total profit (loss)</t>
  </si>
  <si>
    <t xml:space="preserve">Earnings per share</t>
  </si>
  <si>
    <t xml:space="preserve">Basic earnings per share</t>
  </si>
  <si>
    <t xml:space="preserve">Basic earnings (loss) per share from continuing operations</t>
  </si>
  <si>
    <t xml:space="preserve">Basic earnings (loss) per share from discontinued operations</t>
  </si>
  <si>
    <t xml:space="preserve">*Total basic earnings (loss) per share</t>
  </si>
  <si>
    <t xml:space="preserve">Diluted earnings per share</t>
  </si>
  <si>
    <t xml:space="preserve">Diluted earnings (loss) per share from continuing operations</t>
  </si>
  <si>
    <t xml:space="preserve">Diluted earnings (loss) per share from discontinued operations</t>
  </si>
  <si>
    <t xml:space="preserve">*Total diluted earnings (loss) per share</t>
  </si>
  <si>
    <t xml:space="preserve">Analysis of profit or loss, by function of expense</t>
  </si>
  <si>
    <t xml:space="preserve">Analysis of profit or loss</t>
  </si>
  <si>
    <t xml:space="preserve">Revenue</t>
  </si>
  <si>
    <t xml:space="preserve">Revenue from sale of goods</t>
  </si>
  <si>
    <t xml:space="preserve">Revenue from sale of broadband and telecommunication</t>
  </si>
  <si>
    <t xml:space="preserve">Revenue from property development</t>
  </si>
  <si>
    <t xml:space="preserve">Revenue from construction contracts</t>
  </si>
  <si>
    <t xml:space="preserve">Revenue from clean water, treatment and disposal of waste water</t>
  </si>
  <si>
    <t xml:space="preserve">Revenue from sale of food and beverage</t>
  </si>
  <si>
    <t xml:space="preserve">Revenue from sale of agricultural produce</t>
  </si>
  <si>
    <t xml:space="preserve">Revenue from sale of oil and gas products</t>
  </si>
  <si>
    <t xml:space="preserve">Revenue from sale of other goods</t>
  </si>
  <si>
    <t xml:space="preserve">Total revenue from sale of goods</t>
  </si>
  <si>
    <t xml:space="preserve">Revenue from rendering of services</t>
  </si>
  <si>
    <t xml:space="preserve">Revenue from rendering of entertainment services</t>
  </si>
  <si>
    <t xml:space="preserve">Revenue from rendering of telecommunication services</t>
  </si>
  <si>
    <t xml:space="preserve">Revenue from rendering of transport services</t>
  </si>
  <si>
    <t xml:space="preserve">Revenue from rendering of information technology services</t>
  </si>
  <si>
    <t xml:space="preserve">Revenue from rendering of educational services</t>
  </si>
  <si>
    <t xml:space="preserve">Revenue from rendering of healthcare services</t>
  </si>
  <si>
    <t xml:space="preserve">Revenue from rendering of shipping and shipping related services</t>
  </si>
  <si>
    <t xml:space="preserve">Revenue from rendering of other services</t>
  </si>
  <si>
    <t xml:space="preserve">Total revenue from rendering of services</t>
  </si>
  <si>
    <t xml:space="preserve">Interest income</t>
  </si>
  <si>
    <t xml:space="preserve">Interest income on loans, advances and financing</t>
  </si>
  <si>
    <t xml:space="preserve">Interest income on other financial assets</t>
  </si>
  <si>
    <t xml:space="preserve">Total interest income</t>
  </si>
  <si>
    <t xml:space="preserve">Other fee and commission income</t>
  </si>
  <si>
    <t xml:space="preserve">Gross brokerage and other charges</t>
  </si>
  <si>
    <t xml:space="preserve">Underwriting commissions and fund management income</t>
  </si>
  <si>
    <t xml:space="preserve">Total other fee and commission income</t>
  </si>
  <si>
    <t xml:space="preserve">Dividend income</t>
  </si>
  <si>
    <t xml:space="preserve">Rental income</t>
  </si>
  <si>
    <t xml:space="preserve">Royalty income</t>
  </si>
  <si>
    <t xml:space="preserve">Other revenue</t>
  </si>
  <si>
    <t xml:space="preserve">*Total revenue</t>
  </si>
  <si>
    <t xml:space="preserve">Cost of sales</t>
  </si>
  <si>
    <t xml:space="preserve">Cost of inventories</t>
  </si>
  <si>
    <t xml:space="preserve">Construction contract costs</t>
  </si>
  <si>
    <t xml:space="preserve">Energy costs</t>
  </si>
  <si>
    <t xml:space="preserve">Property development costs</t>
  </si>
  <si>
    <t xml:space="preserve">Other cost of sales</t>
  </si>
  <si>
    <t xml:space="preserve">*Total cost of sales</t>
  </si>
  <si>
    <t xml:space="preserve">Other income</t>
  </si>
  <si>
    <t xml:space="preserve">Deferred income</t>
  </si>
  <si>
    <t xml:space="preserve">Bad debts recovered</t>
  </si>
  <si>
    <t xml:space="preserve">Royalty/franchise income</t>
  </si>
  <si>
    <t xml:space="preserve">Write back of fuel cost</t>
  </si>
  <si>
    <t xml:space="preserve">Income from reimbursements under insurance policies</t>
  </si>
  <si>
    <t xml:space="preserve">Grant or incentives by Malaysian government or it's agencies</t>
  </si>
  <si>
    <t xml:space="preserve">Grant or incentives by foreign government or it's agencies</t>
  </si>
  <si>
    <t xml:space="preserve">Contributions or donations by local contributor</t>
  </si>
  <si>
    <t xml:space="preserve">Contributions or donations by foreign contributor</t>
  </si>
  <si>
    <t xml:space="preserve">Contributions or donations by unknown contributor</t>
  </si>
  <si>
    <t xml:space="preserve">Foreign exchange gain</t>
  </si>
  <si>
    <t xml:space="preserve">Realised gain on foreign exchange</t>
  </si>
  <si>
    <t xml:space="preserve">Unrealised gain on foreign exchange</t>
  </si>
  <si>
    <t xml:space="preserve">Total foreign exchange gain</t>
  </si>
  <si>
    <t xml:space="preserve">Gain on disposal of subsidiaries, associates and joint ventures</t>
  </si>
  <si>
    <t xml:space="preserve">Gain on disposal of subsidiaries</t>
  </si>
  <si>
    <t xml:space="preserve">Gain on disposal of associates</t>
  </si>
  <si>
    <t xml:space="preserve">Gain on disposal of joint ventures</t>
  </si>
  <si>
    <t xml:space="preserve">Total gain on disposal of subsidiaries, associates and joint ventures</t>
  </si>
  <si>
    <t xml:space="preserve">Gain on disposal from other investments</t>
  </si>
  <si>
    <t xml:space="preserve">Gains on disposals of property, plant and equipment</t>
  </si>
  <si>
    <t xml:space="preserve">Gains on disposals of other non-current assets</t>
  </si>
  <si>
    <t xml:space="preserve">Other gains recognised in profit or loss, fair value measurement, assets</t>
  </si>
  <si>
    <t xml:space="preserve">Reversal of impairment loss recognised in profit or loss</t>
  </si>
  <si>
    <t xml:space="preserve">Reversal of impairment loss on receivables</t>
  </si>
  <si>
    <t xml:space="preserve">Reversal of impairment in development expenditure</t>
  </si>
  <si>
    <t xml:space="preserve">Reversal of impairment in land held for property development</t>
  </si>
  <si>
    <t xml:space="preserve">Reversal of impairment in property, plant and equipment</t>
  </si>
  <si>
    <t xml:space="preserve">Reversal of impairment in other assets</t>
  </si>
  <si>
    <t xml:space="preserve">Total reversal of impairment loss recognised in profit or loss</t>
  </si>
  <si>
    <t xml:space="preserve">Reversal of inventories written down to net realisable value</t>
  </si>
  <si>
    <t xml:space="preserve">Management fees</t>
  </si>
  <si>
    <t xml:space="preserve">Net deposits recognised</t>
  </si>
  <si>
    <t xml:space="preserve">Net fair value gain on derivatives</t>
  </si>
  <si>
    <t xml:space="preserve">Net fair value gain on recycle of forex reserve upon disposal of subsidiaries</t>
  </si>
  <si>
    <t xml:space="preserve">Other fee and commission</t>
  </si>
  <si>
    <t xml:space="preserve">Other rental income</t>
  </si>
  <si>
    <t xml:space="preserve">Rental income on land and buildings</t>
  </si>
  <si>
    <t xml:space="preserve">Other miscellaneous income</t>
  </si>
  <si>
    <t xml:space="preserve">*Total other income</t>
  </si>
  <si>
    <t xml:space="preserve">Other expenses</t>
  </si>
  <si>
    <t xml:space="preserve">Auditor's remuneration</t>
  </si>
  <si>
    <t xml:space="preserve">Auditor's remuneration for audit services</t>
  </si>
  <si>
    <t xml:space="preserve">Auditor's remuneration for other services</t>
  </si>
  <si>
    <t xml:space="preserve">*Total auditor's remuneration</t>
  </si>
  <si>
    <t xml:space="preserve">Amortisation expense</t>
  </si>
  <si>
    <t xml:space="preserve">Depreciation, property, plant and equipment</t>
  </si>
  <si>
    <t xml:space="preserve">Natural disaster related expenses</t>
  </si>
  <si>
    <t xml:space="preserve">Loss on disposal of subsidiaries, associates and joint ventures</t>
  </si>
  <si>
    <t xml:space="preserve">Loss on disposal of subsidiaries</t>
  </si>
  <si>
    <t xml:space="preserve">Loss on disposal of associates</t>
  </si>
  <si>
    <t xml:space="preserve">Loss on disposal of joint ventures</t>
  </si>
  <si>
    <t xml:space="preserve">Total loss on disposal of subsidiaries, associates and joint ventures</t>
  </si>
  <si>
    <t xml:space="preserve">Loss on disposal from other investments</t>
  </si>
  <si>
    <t xml:space="preserve">Losses on disposals of property, plant and equipment</t>
  </si>
  <si>
    <t xml:space="preserve">Loss on disposal of other non-current assets</t>
  </si>
  <si>
    <t xml:space="preserve">Other losses recognised in profit or loss, fair value measurement, assets</t>
  </si>
  <si>
    <t xml:space="preserve">Rental expense</t>
  </si>
  <si>
    <t xml:space="preserve">Royalty expense</t>
  </si>
  <si>
    <t xml:space="preserve">Employee benefits expense</t>
  </si>
  <si>
    <t xml:space="preserve">Wages, salaries and others</t>
  </si>
  <si>
    <t xml:space="preserve">Bonus</t>
  </si>
  <si>
    <t xml:space="preserve">Share-based compensation expense</t>
  </si>
  <si>
    <t xml:space="preserve">Share option expenses</t>
  </si>
  <si>
    <t xml:space="preserve">Social security contributions</t>
  </si>
  <si>
    <t xml:space="preserve">Defined benefit plans</t>
  </si>
  <si>
    <t xml:space="preserve">Defined contribution plans</t>
  </si>
  <si>
    <t xml:space="preserve">Other long-term employee benefits</t>
  </si>
  <si>
    <t xml:space="preserve">Other short-term employee benefits</t>
  </si>
  <si>
    <t xml:space="preserve">Other employee expense</t>
  </si>
  <si>
    <t xml:space="preserve">*Total employee benefits expense</t>
  </si>
  <si>
    <t xml:space="preserve">Director's remuneration</t>
  </si>
  <si>
    <t xml:space="preserve">Salaries and other emoluments</t>
  </si>
  <si>
    <t xml:space="preserve">Benefits-in-kind</t>
  </si>
  <si>
    <t xml:space="preserve">Fees</t>
  </si>
  <si>
    <t xml:space="preserve">Performance incentives</t>
  </si>
  <si>
    <t xml:space="preserve">Other emoluments</t>
  </si>
  <si>
    <t xml:space="preserve">Total director's remuneration</t>
  </si>
  <si>
    <t xml:space="preserve">Other miscellaneous expenses</t>
  </si>
  <si>
    <t xml:space="preserve">*Total other expenses</t>
  </si>
  <si>
    <t xml:space="preserve">Finance income</t>
  </si>
  <si>
    <t xml:space="preserve">Finance income due from related parties</t>
  </si>
  <si>
    <t xml:space="preserve">Other finance income</t>
  </si>
  <si>
    <t xml:space="preserve">*Total finance income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</si>
</sst>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4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9DEE5"/>
      </patternFill>
    </fill>
    <fill>
      <patternFill patternType="solid">
        <fgColor rgb="FF1F3864"/>
        <bgColor rgb="FF333333"/>
      </patternFill>
    </fill>
    <fill>
      <patternFill patternType="solid">
        <fgColor rgb="FFF8FAFC"/>
        <bgColor rgb="FFFFFFFF"/>
      </patternFill>
    </fill>
    <fill>
      <patternFill patternType="solid">
        <fgColor rgb="FFEEF2F8"/>
        <bgColor rgb="FFF8FAF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F3864"/>
      </bottom>
      <diagonal/>
    </border>
    <border diagonalUp="false" diagonalDown="false">
      <left/>
      <right/>
      <top/>
      <bottom style="thin">
        <color rgb="FFD9DEE5"/>
      </bottom>
      <diagonal/>
    </border>
    <border diagonalUp="false" diagonalDown="false">
      <left/>
      <right/>
      <top style="thin">
        <color rgb="FF1F3864"/>
      </top>
      <bottom style="thin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9" fillId="4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5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5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EEF2F8"/>
      <rgbColor rgb="FF660066"/>
      <rgbColor rgb="FFFF8080"/>
      <rgbColor rgb="FF0066CC"/>
      <rgbColor rgb="FFD9DE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5"/>
    <col collapsed="false" customWidth="true" hidden="false" outlineLevel="0" max="3" min="2" style="1" width="18"/>
    <col collapsed="false" customWidth="true" hidden="false" outlineLevel="0" max="4" min="4" style="1" width="40"/>
    <col collapsed="false" customWidth="true" hidden="false" outlineLevel="0" max="5" min="5" style="1" width="18"/>
    <col collapsed="false" customWidth="true" hidden="false" outlineLevel="0" max="6" min="6" style="1" width="20"/>
  </cols>
  <sheetData>
    <row r="1" customFormat="false" ht="19.5" hidden="false" customHeight="true" outlineLevel="0" collapsed="false">
      <c r="B1" s="2" t="s">
        <v>0</v>
      </c>
      <c r="C1" s="2"/>
      <c r="D1" s="2" t="s">
        <v>1</v>
      </c>
      <c r="E1" s="2"/>
      <c r="F1" s="2" t="s">
        <v>2</v>
      </c>
    </row>
    <row r="2" customFormat="false" ht="15" hidden="false" customHeight="false" outlineLevel="0" collapsed="false">
      <c r="B2" s="3" t="s">
        <v>3</v>
      </c>
      <c r="C2" s="3" t="s">
        <v>3</v>
      </c>
      <c r="D2" s="3" t="s">
        <v>3</v>
      </c>
      <c r="E2" s="3" t="s">
        <v>3</v>
      </c>
    </row>
    <row r="3" customFormat="false" ht="24" hidden="false" customHeight="true" outlineLevel="0" collapsed="false">
      <c r="A3" s="4" t="s">
        <v>4</v>
      </c>
      <c r="D3" s="4"/>
    </row>
    <row r="4" customFormat="false" ht="18" hidden="false" customHeight="true" outlineLevel="0" collapsed="false">
      <c r="A4" s="5" t="s">
        <v>5</v>
      </c>
      <c r="B4" s="6"/>
      <c r="C4" s="6"/>
      <c r="D4" s="6"/>
      <c r="E4" s="6"/>
    </row>
    <row r="5" customFormat="false" ht="18" hidden="false" customHeight="true" outlineLevel="0" collapsed="false">
      <c r="A5" s="5" t="s">
        <v>6</v>
      </c>
      <c r="B5" s="6"/>
      <c r="C5" s="6"/>
      <c r="D5" s="6"/>
      <c r="E5" s="6"/>
    </row>
    <row r="6" customFormat="false" ht="18" hidden="false" customHeight="true" outlineLevel="0" collapsed="false">
      <c r="A6" s="5" t="s">
        <v>7</v>
      </c>
      <c r="B6" s="6"/>
      <c r="C6" s="6"/>
      <c r="D6" s="6"/>
      <c r="E6" s="6"/>
    </row>
    <row r="7" customFormat="false" ht="18" hidden="false" customHeight="true" outlineLevel="0" collapsed="false">
      <c r="A7" s="7" t="s">
        <v>8</v>
      </c>
      <c r="B7" s="8" t="n">
        <f aca="false">'SOPL-Analysis-Function'!B40</f>
        <v>0</v>
      </c>
      <c r="C7" s="8" t="n">
        <f aca="false">'SOPL-Analysis-Function'!C40</f>
        <v>0</v>
      </c>
      <c r="D7" s="8" t="n">
        <f aca="false">'SOPL-Analysis-Function'!D40</f>
        <v>0</v>
      </c>
      <c r="E7" s="8" t="n">
        <f aca="false">'SOPL-Analysis-Function'!E40</f>
        <v>0</v>
      </c>
    </row>
    <row r="8" customFormat="false" ht="18" hidden="false" customHeight="true" outlineLevel="0" collapsed="false">
      <c r="A8" s="7" t="s">
        <v>9</v>
      </c>
      <c r="B8" s="8" t="n">
        <f aca="false">'SOPL-Analysis-Function'!B47</f>
        <v>0</v>
      </c>
      <c r="C8" s="8" t="n">
        <f aca="false">'SOPL-Analysis-Function'!C47</f>
        <v>0</v>
      </c>
      <c r="D8" s="8" t="n">
        <f aca="false">'SOPL-Analysis-Function'!D47</f>
        <v>0</v>
      </c>
      <c r="E8" s="8" t="n">
        <f aca="false">'SOPL-Analysis-Function'!E47</f>
        <v>0</v>
      </c>
    </row>
    <row r="9" customFormat="false" ht="18" hidden="false" customHeight="true" outlineLevel="0" collapsed="false">
      <c r="A9" s="7" t="s">
        <v>10</v>
      </c>
      <c r="B9" s="8" t="n">
        <f aca="false">1*B7+-1*B8</f>
        <v>0</v>
      </c>
      <c r="C9" s="8" t="n">
        <f aca="false">1*C7+-1*C8</f>
        <v>0</v>
      </c>
      <c r="D9" s="8" t="n">
        <f aca="false">1*D7+-1*D8</f>
        <v>0</v>
      </c>
      <c r="E9" s="8" t="n">
        <f aca="false">1*E7+-1*E8</f>
        <v>0</v>
      </c>
    </row>
    <row r="10" customFormat="false" ht="18" hidden="false" customHeight="true" outlineLevel="0" collapsed="false">
      <c r="A10" s="7" t="s">
        <v>11</v>
      </c>
      <c r="B10" s="8" t="n">
        <f aca="false">'SOPL-Analysis-Function'!B90</f>
        <v>0</v>
      </c>
      <c r="C10" s="8" t="n">
        <f aca="false">'SOPL-Analysis-Function'!C90</f>
        <v>0</v>
      </c>
      <c r="D10" s="8" t="n">
        <f aca="false">'SOPL-Analysis-Function'!D90</f>
        <v>0</v>
      </c>
      <c r="E10" s="8" t="n">
        <f aca="false">'SOPL-Analysis-Function'!E90</f>
        <v>0</v>
      </c>
    </row>
    <row r="11" customFormat="false" ht="18" hidden="false" customHeight="true" outlineLevel="0" collapsed="false">
      <c r="A11" s="9" t="s">
        <v>12</v>
      </c>
      <c r="B11" s="10"/>
      <c r="C11" s="10"/>
      <c r="D11" s="10"/>
      <c r="E11" s="10"/>
    </row>
    <row r="12" customFormat="false" ht="18" hidden="false" customHeight="true" outlineLevel="0" collapsed="false">
      <c r="A12" s="7" t="s">
        <v>13</v>
      </c>
      <c r="B12" s="10"/>
      <c r="C12" s="10"/>
      <c r="D12" s="10"/>
      <c r="E12" s="10"/>
    </row>
    <row r="13" customFormat="false" ht="18" hidden="false" customHeight="true" outlineLevel="0" collapsed="false">
      <c r="A13" s="9" t="s">
        <v>14</v>
      </c>
      <c r="B13" s="10"/>
      <c r="C13" s="10"/>
      <c r="D13" s="10"/>
      <c r="E13" s="10"/>
    </row>
    <row r="14" customFormat="false" ht="18" hidden="false" customHeight="true" outlineLevel="0" collapsed="false">
      <c r="A14" s="7" t="s">
        <v>15</v>
      </c>
      <c r="B14" s="8" t="n">
        <f aca="false">'SOPL-Analysis-Function'!B134</f>
        <v>0</v>
      </c>
      <c r="C14" s="8" t="n">
        <f aca="false">'SOPL-Analysis-Function'!C134</f>
        <v>0</v>
      </c>
      <c r="D14" s="8" t="n">
        <f aca="false">'SOPL-Analysis-Function'!D134</f>
        <v>0</v>
      </c>
      <c r="E14" s="8" t="n">
        <f aca="false">'SOPL-Analysis-Function'!E134</f>
        <v>0</v>
      </c>
    </row>
    <row r="15" customFormat="false" ht="18" hidden="false" customHeight="true" outlineLevel="0" collapsed="false">
      <c r="A15" s="11" t="s">
        <v>16</v>
      </c>
      <c r="B15" s="12" t="n">
        <f aca="false">1*B7+-1*B8+1*B10+-1*B11+-1*B12+-1*B13+-1*B14</f>
        <v>0</v>
      </c>
      <c r="C15" s="12" t="n">
        <f aca="false">1*C7+-1*C8+1*C10+-1*C11+-1*C12+-1*C13+-1*C14</f>
        <v>0</v>
      </c>
      <c r="D15" s="12" t="n">
        <f aca="false">1*D7+-1*D8+1*D10+-1*D11+-1*D12+-1*D13+-1*D14</f>
        <v>0</v>
      </c>
      <c r="E15" s="12" t="n">
        <f aca="false">1*E7+-1*E8+1*E10+-1*E11+-1*E12+-1*E13+-1*E14</f>
        <v>0</v>
      </c>
    </row>
    <row r="16" customFormat="false" ht="18" hidden="false" customHeight="true" outlineLevel="0" collapsed="false">
      <c r="A16" s="7" t="s">
        <v>17</v>
      </c>
      <c r="B16" s="8" t="n">
        <f aca="false">'SOPL-Analysis-Function'!B138</f>
        <v>0</v>
      </c>
      <c r="C16" s="8" t="n">
        <f aca="false">'SOPL-Analysis-Function'!C138</f>
        <v>0</v>
      </c>
      <c r="D16" s="8" t="n">
        <f aca="false">'SOPL-Analysis-Function'!D138</f>
        <v>0</v>
      </c>
      <c r="E16" s="8" t="n">
        <f aca="false">'SOPL-Analysis-Function'!E138</f>
        <v>0</v>
      </c>
    </row>
    <row r="17" customFormat="false" ht="18" hidden="false" customHeight="true" outlineLevel="0" collapsed="false">
      <c r="A17" s="7" t="s">
        <v>18</v>
      </c>
      <c r="B17" s="10"/>
      <c r="C17" s="10"/>
      <c r="D17" s="10"/>
      <c r="E17" s="10"/>
    </row>
    <row r="18" customFormat="false" ht="18" hidden="false" customHeight="true" outlineLevel="0" collapsed="false">
      <c r="A18" s="9" t="s">
        <v>19</v>
      </c>
      <c r="B18" s="10"/>
      <c r="C18" s="10"/>
      <c r="D18" s="10"/>
      <c r="E18" s="10"/>
    </row>
    <row r="19" customFormat="false" ht="18" hidden="false" customHeight="true" outlineLevel="0" collapsed="false">
      <c r="A19" s="9" t="s">
        <v>20</v>
      </c>
      <c r="B19" s="10"/>
      <c r="C19" s="10"/>
      <c r="D19" s="10"/>
      <c r="E19" s="10"/>
    </row>
    <row r="20" customFormat="false" ht="18" hidden="false" customHeight="true" outlineLevel="0" collapsed="false">
      <c r="A20" s="11" t="s">
        <v>21</v>
      </c>
      <c r="B20" s="12" t="n">
        <f aca="false">1*B7+-1*B8+1*B10+-1*B11+-1*B12+-1*B13+-1*B14+1*B16+-1*B17+1*B18+1*B19</f>
        <v>0</v>
      </c>
      <c r="C20" s="12" t="n">
        <f aca="false">1*C7+-1*C8+1*C10+-1*C11+-1*C12+-1*C13+-1*C14+1*C16+-1*C17+1*C18+1*C19</f>
        <v>0</v>
      </c>
      <c r="D20" s="12" t="n">
        <f aca="false">1*D7+-1*D8+1*D10+-1*D11+-1*D12+-1*D13+-1*D14+1*D16+-1*D17+1*D18+1*D19</f>
        <v>0</v>
      </c>
      <c r="E20" s="12" t="n">
        <f aca="false">1*E7+-1*E8+1*E10+-1*E11+-1*E12+-1*E13+-1*E14+1*E16+-1*E17+1*E18+1*E19</f>
        <v>0</v>
      </c>
    </row>
    <row r="21" customFormat="false" ht="18" hidden="false" customHeight="true" outlineLevel="0" collapsed="false">
      <c r="A21" s="7" t="s">
        <v>22</v>
      </c>
      <c r="B21" s="10"/>
      <c r="C21" s="10"/>
      <c r="D21" s="10"/>
      <c r="E21" s="10"/>
    </row>
    <row r="22" customFormat="false" ht="18" hidden="false" customHeight="true" outlineLevel="0" collapsed="false">
      <c r="A22" s="9" t="s">
        <v>23</v>
      </c>
      <c r="B22" s="10"/>
      <c r="C22" s="10"/>
      <c r="D22" s="10"/>
      <c r="E22" s="10"/>
    </row>
    <row r="23" customFormat="false" ht="18" hidden="false" customHeight="true" outlineLevel="0" collapsed="false">
      <c r="A23" s="11" t="s">
        <v>24</v>
      </c>
      <c r="B23" s="12" t="n">
        <f aca="false">1*B20+-1*B21+-1*B22</f>
        <v>0</v>
      </c>
      <c r="C23" s="12" t="n">
        <f aca="false">1*C20+-1*C21+-1*C22</f>
        <v>0</v>
      </c>
      <c r="D23" s="12" t="n">
        <f aca="false">1*D20+-1*D21+-1*D22</f>
        <v>0</v>
      </c>
      <c r="E23" s="12" t="n">
        <f aca="false">1*E20+-1*E21+-1*E22</f>
        <v>0</v>
      </c>
    </row>
    <row r="24" customFormat="false" ht="18" hidden="false" customHeight="true" outlineLevel="0" collapsed="false">
      <c r="A24" s="5" t="s">
        <v>25</v>
      </c>
      <c r="B24" s="6"/>
      <c r="C24" s="6"/>
      <c r="D24" s="6"/>
      <c r="E24" s="6"/>
    </row>
    <row r="25" customFormat="false" ht="18" hidden="false" customHeight="true" outlineLevel="0" collapsed="false">
      <c r="A25" s="9" t="s">
        <v>26</v>
      </c>
      <c r="B25" s="10"/>
      <c r="C25" s="10"/>
      <c r="D25" s="10"/>
      <c r="E25" s="10"/>
    </row>
    <row r="26" customFormat="false" ht="18" hidden="false" customHeight="true" outlineLevel="0" collapsed="false">
      <c r="A26" s="11" t="s">
        <v>27</v>
      </c>
      <c r="B26" s="12" t="n">
        <f aca="false">1*B23+1*B25</f>
        <v>0</v>
      </c>
      <c r="C26" s="12" t="n">
        <f aca="false">1*C23+1*C25</f>
        <v>0</v>
      </c>
      <c r="D26" s="12" t="n">
        <f aca="false">1*D23+1*D25</f>
        <v>0</v>
      </c>
      <c r="E26" s="12" t="n">
        <f aca="false">1*E23+1*E25</f>
        <v>0</v>
      </c>
    </row>
    <row r="27" customFormat="false" ht="18" hidden="false" customHeight="true" outlineLevel="0" collapsed="false">
      <c r="A27" s="5" t="s">
        <v>28</v>
      </c>
      <c r="B27" s="6"/>
      <c r="C27" s="6"/>
      <c r="D27" s="6"/>
      <c r="E27" s="6"/>
    </row>
    <row r="28" customFormat="false" ht="18" hidden="false" customHeight="true" outlineLevel="0" collapsed="false">
      <c r="A28" s="9" t="s">
        <v>29</v>
      </c>
      <c r="B28" s="10"/>
      <c r="C28" s="10"/>
      <c r="D28" s="10"/>
      <c r="E28" s="10"/>
    </row>
    <row r="29" customFormat="false" ht="18" hidden="false" customHeight="true" outlineLevel="0" collapsed="false">
      <c r="A29" s="9" t="s">
        <v>30</v>
      </c>
      <c r="B29" s="10"/>
      <c r="C29" s="10"/>
      <c r="D29" s="10"/>
      <c r="E29" s="10"/>
    </row>
    <row r="30" customFormat="false" ht="18" hidden="false" customHeight="true" outlineLevel="0" collapsed="false">
      <c r="A30" s="9" t="s">
        <v>31</v>
      </c>
      <c r="B30" s="10"/>
      <c r="C30" s="10"/>
      <c r="D30" s="10"/>
      <c r="E30" s="10"/>
    </row>
    <row r="31" customFormat="false" ht="18" hidden="false" customHeight="true" outlineLevel="0" collapsed="false">
      <c r="A31" s="11" t="s">
        <v>32</v>
      </c>
      <c r="B31" s="12" t="n">
        <f aca="false">1*B28+1*B29+1*B30</f>
        <v>0</v>
      </c>
      <c r="C31" s="12" t="n">
        <f aca="false">1*C28+1*C29+1*C30</f>
        <v>0</v>
      </c>
      <c r="D31" s="12" t="n">
        <f aca="false">1*D28+1*D29+1*D30</f>
        <v>0</v>
      </c>
      <c r="E31" s="12" t="n">
        <f aca="false">1*E28+1*E29+1*E30</f>
        <v>0</v>
      </c>
    </row>
    <row r="32" customFormat="false" ht="18" hidden="false" customHeight="true" outlineLevel="0" collapsed="false">
      <c r="A32" s="5" t="s">
        <v>33</v>
      </c>
      <c r="B32" s="6"/>
      <c r="C32" s="6"/>
      <c r="D32" s="6"/>
      <c r="E32" s="6"/>
    </row>
    <row r="33" customFormat="false" ht="18" hidden="false" customHeight="true" outlineLevel="0" collapsed="false">
      <c r="A33" s="5" t="s">
        <v>34</v>
      </c>
      <c r="B33" s="6"/>
      <c r="C33" s="6"/>
      <c r="D33" s="6"/>
      <c r="E33" s="6"/>
    </row>
    <row r="34" customFormat="false" ht="18" hidden="false" customHeight="true" outlineLevel="0" collapsed="false">
      <c r="A34" s="9" t="s">
        <v>35</v>
      </c>
      <c r="B34" s="10"/>
      <c r="C34" s="10"/>
      <c r="D34" s="10"/>
      <c r="E34" s="10"/>
    </row>
    <row r="35" customFormat="false" ht="18" hidden="false" customHeight="true" outlineLevel="0" collapsed="false">
      <c r="A35" s="9" t="s">
        <v>36</v>
      </c>
      <c r="B35" s="10"/>
      <c r="C35" s="10"/>
      <c r="D35" s="10"/>
      <c r="E35" s="10"/>
    </row>
    <row r="36" customFormat="false" ht="18" hidden="false" customHeight="true" outlineLevel="0" collapsed="false">
      <c r="A36" s="11" t="s">
        <v>37</v>
      </c>
      <c r="B36" s="12" t="n">
        <f aca="false">1*B35</f>
        <v>0</v>
      </c>
      <c r="C36" s="12" t="n">
        <f aca="false">1*C35</f>
        <v>0</v>
      </c>
      <c r="D36" s="12" t="n">
        <f aca="false">1*D35</f>
        <v>0</v>
      </c>
      <c r="E36" s="12" t="n">
        <f aca="false">1*E35</f>
        <v>0</v>
      </c>
    </row>
    <row r="37" customFormat="false" ht="18" hidden="false" customHeight="true" outlineLevel="0" collapsed="false">
      <c r="A37" s="5" t="s">
        <v>38</v>
      </c>
      <c r="B37" s="6"/>
      <c r="C37" s="6"/>
      <c r="D37" s="6"/>
      <c r="E37" s="6"/>
    </row>
    <row r="38" customFormat="false" ht="18" hidden="false" customHeight="true" outlineLevel="0" collapsed="false">
      <c r="A38" s="9" t="s">
        <v>39</v>
      </c>
      <c r="B38" s="10"/>
      <c r="C38" s="10"/>
      <c r="D38" s="10"/>
      <c r="E38" s="10"/>
    </row>
    <row r="39" customFormat="false" ht="18" hidden="false" customHeight="true" outlineLevel="0" collapsed="false">
      <c r="A39" s="9" t="s">
        <v>40</v>
      </c>
      <c r="B39" s="10"/>
      <c r="C39" s="10"/>
      <c r="D39" s="10"/>
      <c r="E39" s="10"/>
    </row>
    <row r="40" customFormat="false" ht="18" hidden="false" customHeight="true" outlineLevel="0" collapsed="false">
      <c r="A40" s="11" t="s">
        <v>41</v>
      </c>
      <c r="B40" s="12" t="n">
        <f aca="false">1*B39</f>
        <v>0</v>
      </c>
      <c r="C40" s="12" t="n">
        <f aca="false">1*C39</f>
        <v>0</v>
      </c>
      <c r="D40" s="12" t="n">
        <f aca="false">1*D39</f>
        <v>0</v>
      </c>
      <c r="E40" s="12" t="n">
        <f aca="false">1*E39</f>
        <v>0</v>
      </c>
    </row>
  </sheetData>
  <mergeCells count="2">
    <mergeCell ref="B1:C1"/>
    <mergeCell ref="D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5"/>
    <col collapsed="false" customWidth="true" hidden="false" outlineLevel="0" max="3" min="2" style="1" width="18"/>
    <col collapsed="false" customWidth="true" hidden="false" outlineLevel="0" max="4" min="4" style="1" width="40"/>
    <col collapsed="false" customWidth="true" hidden="false" outlineLevel="0" max="5" min="5" style="1" width="18"/>
    <col collapsed="false" customWidth="true" hidden="false" outlineLevel="0" max="6" min="6" style="1" width="20"/>
  </cols>
  <sheetData>
    <row r="1" customFormat="false" ht="19.5" hidden="false" customHeight="true" outlineLevel="0" collapsed="false">
      <c r="B1" s="2" t="s">
        <v>0</v>
      </c>
      <c r="C1" s="2"/>
      <c r="D1" s="2" t="s">
        <v>1</v>
      </c>
      <c r="E1" s="2"/>
      <c r="F1" s="2" t="s">
        <v>2</v>
      </c>
    </row>
    <row r="2" customFormat="false" ht="15" hidden="false" customHeight="false" outlineLevel="0" collapsed="false">
      <c r="B2" s="3" t="s">
        <v>3</v>
      </c>
      <c r="C2" s="3" t="s">
        <v>3</v>
      </c>
      <c r="D2" s="3" t="s">
        <v>3</v>
      </c>
      <c r="E2" s="3" t="s">
        <v>3</v>
      </c>
    </row>
    <row r="3" customFormat="false" ht="24" hidden="false" customHeight="true" outlineLevel="0" collapsed="false">
      <c r="A3" s="4" t="s">
        <v>42</v>
      </c>
      <c r="D3" s="4"/>
    </row>
    <row r="4" customFormat="false" ht="18" hidden="false" customHeight="true" outlineLevel="0" collapsed="false">
      <c r="A4" s="5" t="s">
        <v>43</v>
      </c>
      <c r="B4" s="6"/>
      <c r="C4" s="6"/>
      <c r="D4" s="6"/>
      <c r="E4" s="6"/>
    </row>
    <row r="5" customFormat="false" ht="18" hidden="false" customHeight="true" outlineLevel="0" collapsed="false">
      <c r="A5" s="5" t="s">
        <v>6</v>
      </c>
      <c r="B5" s="6"/>
      <c r="C5" s="6"/>
      <c r="D5" s="6"/>
      <c r="E5" s="6"/>
    </row>
    <row r="6" customFormat="false" ht="18" hidden="false" customHeight="true" outlineLevel="0" collapsed="false">
      <c r="A6" s="5" t="s">
        <v>44</v>
      </c>
      <c r="B6" s="6"/>
      <c r="C6" s="6"/>
      <c r="D6" s="6"/>
      <c r="E6" s="6"/>
    </row>
    <row r="7" customFormat="false" ht="18" hidden="false" customHeight="true" outlineLevel="0" collapsed="false">
      <c r="A7" s="5" t="s">
        <v>45</v>
      </c>
      <c r="B7" s="6"/>
      <c r="C7" s="6"/>
      <c r="D7" s="6"/>
      <c r="E7" s="6"/>
    </row>
    <row r="8" customFormat="false" ht="18" hidden="false" customHeight="true" outlineLevel="0" collapsed="false">
      <c r="A8" s="9" t="s">
        <v>46</v>
      </c>
      <c r="B8" s="10"/>
      <c r="C8" s="10"/>
      <c r="D8" s="10"/>
      <c r="E8" s="10"/>
    </row>
    <row r="9" customFormat="false" ht="18" hidden="false" customHeight="true" outlineLevel="0" collapsed="false">
      <c r="A9" s="9" t="s">
        <v>47</v>
      </c>
      <c r="B9" s="10"/>
      <c r="C9" s="10"/>
      <c r="D9" s="10"/>
      <c r="E9" s="10"/>
    </row>
    <row r="10" customFormat="false" ht="18" hidden="false" customHeight="true" outlineLevel="0" collapsed="false">
      <c r="A10" s="9" t="s">
        <v>48</v>
      </c>
      <c r="B10" s="10"/>
      <c r="C10" s="10"/>
      <c r="D10" s="10"/>
      <c r="E10" s="10"/>
    </row>
    <row r="11" customFormat="false" ht="18" hidden="false" customHeight="true" outlineLevel="0" collapsed="false">
      <c r="A11" s="9" t="s">
        <v>49</v>
      </c>
      <c r="B11" s="10"/>
      <c r="C11" s="10"/>
      <c r="D11" s="10"/>
      <c r="E11" s="10"/>
    </row>
    <row r="12" customFormat="false" ht="18" hidden="false" customHeight="true" outlineLevel="0" collapsed="false">
      <c r="A12" s="9" t="s">
        <v>50</v>
      </c>
      <c r="B12" s="10"/>
      <c r="C12" s="10"/>
      <c r="D12" s="10"/>
      <c r="E12" s="10"/>
    </row>
    <row r="13" customFormat="false" ht="18" hidden="false" customHeight="true" outlineLevel="0" collapsed="false">
      <c r="A13" s="9" t="s">
        <v>51</v>
      </c>
      <c r="B13" s="10"/>
      <c r="C13" s="10"/>
      <c r="D13" s="10"/>
      <c r="E13" s="10"/>
    </row>
    <row r="14" customFormat="false" ht="18" hidden="false" customHeight="true" outlineLevel="0" collapsed="false">
      <c r="A14" s="9" t="s">
        <v>52</v>
      </c>
      <c r="B14" s="10"/>
      <c r="C14" s="10"/>
      <c r="D14" s="10"/>
      <c r="E14" s="10"/>
    </row>
    <row r="15" customFormat="false" ht="18" hidden="false" customHeight="true" outlineLevel="0" collapsed="false">
      <c r="A15" s="9" t="s">
        <v>53</v>
      </c>
      <c r="B15" s="10"/>
      <c r="C15" s="10"/>
      <c r="D15" s="10"/>
      <c r="E15" s="10"/>
    </row>
    <row r="16" customFormat="false" ht="18" hidden="false" customHeight="true" outlineLevel="0" collapsed="false">
      <c r="A16" s="11" t="s">
        <v>54</v>
      </c>
      <c r="B16" s="12" t="n">
        <f aca="false">1*B8+1*B9+1*B10+1*B11+1*B12+1*B13+1*B14+1*B15</f>
        <v>0</v>
      </c>
      <c r="C16" s="12" t="n">
        <f aca="false">1*C8+1*C9+1*C10+1*C11+1*C12+1*C13+1*C14+1*C15</f>
        <v>0</v>
      </c>
      <c r="D16" s="12" t="n">
        <f aca="false">1*D8+1*D9+1*D10+1*D11+1*D12+1*D13+1*D14+1*D15</f>
        <v>0</v>
      </c>
      <c r="E16" s="12" t="n">
        <f aca="false">1*E8+1*E9+1*E10+1*E11+1*E12+1*E13+1*E14+1*E15</f>
        <v>0</v>
      </c>
    </row>
    <row r="17" customFormat="false" ht="18" hidden="false" customHeight="true" outlineLevel="0" collapsed="false">
      <c r="A17" s="5" t="s">
        <v>55</v>
      </c>
      <c r="B17" s="6"/>
      <c r="C17" s="6"/>
      <c r="D17" s="6"/>
      <c r="E17" s="6"/>
    </row>
    <row r="18" customFormat="false" ht="18" hidden="false" customHeight="true" outlineLevel="0" collapsed="false">
      <c r="A18" s="9" t="s">
        <v>56</v>
      </c>
      <c r="B18" s="10"/>
      <c r="C18" s="10"/>
      <c r="D18" s="10"/>
      <c r="E18" s="10"/>
    </row>
    <row r="19" customFormat="false" ht="18" hidden="false" customHeight="true" outlineLevel="0" collapsed="false">
      <c r="A19" s="9" t="s">
        <v>57</v>
      </c>
      <c r="B19" s="10"/>
      <c r="C19" s="10"/>
      <c r="D19" s="10"/>
      <c r="E19" s="10"/>
    </row>
    <row r="20" customFormat="false" ht="18" hidden="false" customHeight="true" outlineLevel="0" collapsed="false">
      <c r="A20" s="9" t="s">
        <v>58</v>
      </c>
      <c r="B20" s="10"/>
      <c r="C20" s="10"/>
      <c r="D20" s="10"/>
      <c r="E20" s="10"/>
    </row>
    <row r="21" customFormat="false" ht="18" hidden="false" customHeight="true" outlineLevel="0" collapsed="false">
      <c r="A21" s="9" t="s">
        <v>59</v>
      </c>
      <c r="B21" s="10"/>
      <c r="C21" s="10"/>
      <c r="D21" s="10"/>
      <c r="E21" s="10"/>
    </row>
    <row r="22" customFormat="false" ht="18" hidden="false" customHeight="true" outlineLevel="0" collapsed="false">
      <c r="A22" s="9" t="s">
        <v>60</v>
      </c>
      <c r="B22" s="10"/>
      <c r="C22" s="10"/>
      <c r="D22" s="10"/>
      <c r="E22" s="10"/>
    </row>
    <row r="23" customFormat="false" ht="18" hidden="false" customHeight="true" outlineLevel="0" collapsed="false">
      <c r="A23" s="9" t="s">
        <v>61</v>
      </c>
      <c r="B23" s="10"/>
      <c r="C23" s="10"/>
      <c r="D23" s="10"/>
      <c r="E23" s="10"/>
    </row>
    <row r="24" customFormat="false" ht="18" hidden="false" customHeight="true" outlineLevel="0" collapsed="false">
      <c r="A24" s="9" t="s">
        <v>62</v>
      </c>
      <c r="B24" s="10"/>
      <c r="C24" s="10"/>
      <c r="D24" s="10"/>
      <c r="E24" s="10"/>
    </row>
    <row r="25" customFormat="false" ht="18" hidden="false" customHeight="true" outlineLevel="0" collapsed="false">
      <c r="A25" s="9" t="s">
        <v>63</v>
      </c>
      <c r="B25" s="10"/>
      <c r="C25" s="10"/>
      <c r="D25" s="10"/>
      <c r="E25" s="10"/>
    </row>
    <row r="26" customFormat="false" ht="18" hidden="false" customHeight="true" outlineLevel="0" collapsed="false">
      <c r="A26" s="11" t="s">
        <v>64</v>
      </c>
      <c r="B26" s="12" t="n">
        <f aca="false">1*B18+1*B19+1*B20+1*B21+1*B22+1*B23+1*B24+1*B25</f>
        <v>0</v>
      </c>
      <c r="C26" s="12" t="n">
        <f aca="false">1*C18+1*C19+1*C20+1*C21+1*C22+1*C23+1*C24+1*C25</f>
        <v>0</v>
      </c>
      <c r="D26" s="12" t="n">
        <f aca="false">1*D18+1*D19+1*D20+1*D21+1*D22+1*D23+1*D24+1*D25</f>
        <v>0</v>
      </c>
      <c r="E26" s="12" t="n">
        <f aca="false">1*E18+1*E19+1*E20+1*E21+1*E22+1*E23+1*E24+1*E25</f>
        <v>0</v>
      </c>
    </row>
    <row r="27" customFormat="false" ht="18" hidden="false" customHeight="true" outlineLevel="0" collapsed="false">
      <c r="A27" s="5" t="s">
        <v>65</v>
      </c>
      <c r="B27" s="6"/>
      <c r="C27" s="6"/>
      <c r="D27" s="6"/>
      <c r="E27" s="6"/>
    </row>
    <row r="28" customFormat="false" ht="18" hidden="false" customHeight="true" outlineLevel="0" collapsed="false">
      <c r="A28" s="9" t="s">
        <v>66</v>
      </c>
      <c r="B28" s="10"/>
      <c r="C28" s="10"/>
      <c r="D28" s="10"/>
      <c r="E28" s="10"/>
    </row>
    <row r="29" customFormat="false" ht="18" hidden="false" customHeight="true" outlineLevel="0" collapsed="false">
      <c r="A29" s="9" t="s">
        <v>67</v>
      </c>
      <c r="B29" s="10"/>
      <c r="C29" s="10"/>
      <c r="D29" s="10"/>
      <c r="E29" s="10"/>
    </row>
    <row r="30" customFormat="false" ht="18" hidden="false" customHeight="true" outlineLevel="0" collapsed="false">
      <c r="A30" s="11" t="s">
        <v>68</v>
      </c>
      <c r="B30" s="12" t="n">
        <f aca="false">1*B28+1*B29</f>
        <v>0</v>
      </c>
      <c r="C30" s="12" t="n">
        <f aca="false">1*C28+1*C29</f>
        <v>0</v>
      </c>
      <c r="D30" s="12" t="n">
        <f aca="false">1*D28+1*D29</f>
        <v>0</v>
      </c>
      <c r="E30" s="12" t="n">
        <f aca="false">1*E28+1*E29</f>
        <v>0</v>
      </c>
    </row>
    <row r="31" customFormat="false" ht="18" hidden="false" customHeight="true" outlineLevel="0" collapsed="false">
      <c r="A31" s="5" t="s">
        <v>69</v>
      </c>
      <c r="B31" s="6"/>
      <c r="C31" s="6"/>
      <c r="D31" s="6"/>
      <c r="E31" s="6"/>
    </row>
    <row r="32" customFormat="false" ht="18" hidden="false" customHeight="true" outlineLevel="0" collapsed="false">
      <c r="A32" s="9" t="s">
        <v>70</v>
      </c>
      <c r="B32" s="10"/>
      <c r="C32" s="10"/>
      <c r="D32" s="10"/>
      <c r="E32" s="10"/>
    </row>
    <row r="33" customFormat="false" ht="18" hidden="false" customHeight="true" outlineLevel="0" collapsed="false">
      <c r="A33" s="9" t="s">
        <v>71</v>
      </c>
      <c r="B33" s="10"/>
      <c r="C33" s="10"/>
      <c r="D33" s="10"/>
      <c r="E33" s="10"/>
    </row>
    <row r="34" customFormat="false" ht="18" hidden="false" customHeight="true" outlineLevel="0" collapsed="false">
      <c r="A34" s="9" t="s">
        <v>69</v>
      </c>
      <c r="B34" s="10"/>
      <c r="C34" s="10"/>
      <c r="D34" s="10"/>
      <c r="E34" s="10"/>
    </row>
    <row r="35" customFormat="false" ht="18" hidden="false" customHeight="true" outlineLevel="0" collapsed="false">
      <c r="A35" s="11" t="s">
        <v>72</v>
      </c>
      <c r="B35" s="12" t="n">
        <f aca="false">1*B32+1*B33+1*B34</f>
        <v>0</v>
      </c>
      <c r="C35" s="12" t="n">
        <f aca="false">1*C32+1*C33+1*C34</f>
        <v>0</v>
      </c>
      <c r="D35" s="12" t="n">
        <f aca="false">1*D32+1*D33+1*D34</f>
        <v>0</v>
      </c>
      <c r="E35" s="12" t="n">
        <f aca="false">1*E32+1*E33+1*E34</f>
        <v>0</v>
      </c>
    </row>
    <row r="36" customFormat="false" ht="18" hidden="false" customHeight="true" outlineLevel="0" collapsed="false">
      <c r="A36" s="9" t="s">
        <v>73</v>
      </c>
      <c r="B36" s="10"/>
      <c r="C36" s="10"/>
      <c r="D36" s="10"/>
      <c r="E36" s="10"/>
    </row>
    <row r="37" customFormat="false" ht="18" hidden="false" customHeight="true" outlineLevel="0" collapsed="false">
      <c r="A37" s="9" t="s">
        <v>74</v>
      </c>
      <c r="B37" s="10"/>
      <c r="C37" s="10"/>
      <c r="D37" s="10"/>
      <c r="E37" s="10"/>
    </row>
    <row r="38" customFormat="false" ht="18" hidden="false" customHeight="true" outlineLevel="0" collapsed="false">
      <c r="A38" s="9" t="s">
        <v>75</v>
      </c>
      <c r="B38" s="10"/>
      <c r="C38" s="10"/>
      <c r="D38" s="10"/>
      <c r="E38" s="10"/>
    </row>
    <row r="39" customFormat="false" ht="18" hidden="false" customHeight="true" outlineLevel="0" collapsed="false">
      <c r="A39" s="9" t="s">
        <v>76</v>
      </c>
      <c r="B39" s="10"/>
      <c r="C39" s="10"/>
      <c r="D39" s="10"/>
      <c r="E39" s="10"/>
    </row>
    <row r="40" customFormat="false" ht="18" hidden="false" customHeight="true" outlineLevel="0" collapsed="false">
      <c r="A40" s="11" t="s">
        <v>77</v>
      </c>
      <c r="B40" s="12" t="n">
        <f aca="false">1*B16+1*B26+1*B30+1*B35+1*B36+1*B37+1*B38+1*B39</f>
        <v>0</v>
      </c>
      <c r="C40" s="12" t="n">
        <f aca="false">1*C16+1*C26+1*C30+1*C35+1*C36+1*C37+1*C38+1*C39</f>
        <v>0</v>
      </c>
      <c r="D40" s="12" t="n">
        <f aca="false">1*D16+1*D26+1*D30+1*D35+1*D36+1*D37+1*D38+1*D39</f>
        <v>0</v>
      </c>
      <c r="E40" s="12" t="n">
        <f aca="false">1*E16+1*E26+1*E30+1*E35+1*E36+1*E37+1*E38+1*E39</f>
        <v>0</v>
      </c>
    </row>
    <row r="41" customFormat="false" ht="18" hidden="false" customHeight="true" outlineLevel="0" collapsed="false">
      <c r="A41" s="5" t="s">
        <v>78</v>
      </c>
      <c r="B41" s="6"/>
      <c r="C41" s="6"/>
      <c r="D41" s="6"/>
      <c r="E41" s="6"/>
    </row>
    <row r="42" customFormat="false" ht="18" hidden="false" customHeight="true" outlineLevel="0" collapsed="false">
      <c r="A42" s="9" t="s">
        <v>79</v>
      </c>
      <c r="B42" s="10"/>
      <c r="C42" s="10"/>
      <c r="D42" s="10"/>
      <c r="E42" s="10"/>
    </row>
    <row r="43" customFormat="false" ht="18" hidden="false" customHeight="true" outlineLevel="0" collapsed="false">
      <c r="A43" s="9" t="s">
        <v>80</v>
      </c>
      <c r="B43" s="10"/>
      <c r="C43" s="10"/>
      <c r="D43" s="10"/>
      <c r="E43" s="10"/>
    </row>
    <row r="44" customFormat="false" ht="18" hidden="false" customHeight="true" outlineLevel="0" collapsed="false">
      <c r="A44" s="9" t="s">
        <v>81</v>
      </c>
      <c r="B44" s="10"/>
      <c r="C44" s="10"/>
      <c r="D44" s="10"/>
      <c r="E44" s="10"/>
    </row>
    <row r="45" customFormat="false" ht="18" hidden="false" customHeight="true" outlineLevel="0" collapsed="false">
      <c r="A45" s="9" t="s">
        <v>82</v>
      </c>
      <c r="B45" s="10"/>
      <c r="C45" s="10"/>
      <c r="D45" s="10"/>
      <c r="E45" s="10"/>
    </row>
    <row r="46" customFormat="false" ht="18" hidden="false" customHeight="true" outlineLevel="0" collapsed="false">
      <c r="A46" s="9" t="s">
        <v>83</v>
      </c>
      <c r="B46" s="10"/>
      <c r="C46" s="10"/>
      <c r="D46" s="10"/>
      <c r="E46" s="10"/>
    </row>
    <row r="47" customFormat="false" ht="18" hidden="false" customHeight="true" outlineLevel="0" collapsed="false">
      <c r="A47" s="11" t="s">
        <v>84</v>
      </c>
      <c r="B47" s="12" t="n">
        <f aca="false">1*B42+1*B43+1*B44+1*B45+1*B46</f>
        <v>0</v>
      </c>
      <c r="C47" s="12" t="n">
        <f aca="false">1*C42+1*C43+1*C44+1*C45+1*C46</f>
        <v>0</v>
      </c>
      <c r="D47" s="12" t="n">
        <f aca="false">1*D42+1*D43+1*D44+1*D45+1*D46</f>
        <v>0</v>
      </c>
      <c r="E47" s="12" t="n">
        <f aca="false">1*E42+1*E43+1*E44+1*E45+1*E46</f>
        <v>0</v>
      </c>
    </row>
    <row r="48" customFormat="false" ht="18" hidden="false" customHeight="true" outlineLevel="0" collapsed="false">
      <c r="A48" s="5" t="s">
        <v>85</v>
      </c>
      <c r="B48" s="6"/>
      <c r="C48" s="6"/>
      <c r="D48" s="6"/>
      <c r="E48" s="6"/>
    </row>
    <row r="49" customFormat="false" ht="18" hidden="false" customHeight="true" outlineLevel="0" collapsed="false">
      <c r="A49" s="9" t="s">
        <v>86</v>
      </c>
      <c r="B49" s="10"/>
      <c r="C49" s="10"/>
      <c r="D49" s="10"/>
      <c r="E49" s="10"/>
    </row>
    <row r="50" customFormat="false" ht="18" hidden="false" customHeight="true" outlineLevel="0" collapsed="false">
      <c r="A50" s="9" t="s">
        <v>87</v>
      </c>
      <c r="B50" s="10"/>
      <c r="C50" s="10"/>
      <c r="D50" s="10"/>
      <c r="E50" s="10"/>
    </row>
    <row r="51" customFormat="false" ht="18" hidden="false" customHeight="true" outlineLevel="0" collapsed="false">
      <c r="A51" s="9" t="s">
        <v>73</v>
      </c>
      <c r="B51" s="10"/>
      <c r="C51" s="10"/>
      <c r="D51" s="10"/>
      <c r="E51" s="10"/>
    </row>
    <row r="52" customFormat="false" ht="18" hidden="false" customHeight="true" outlineLevel="0" collapsed="false">
      <c r="A52" s="9" t="s">
        <v>88</v>
      </c>
      <c r="B52" s="10"/>
      <c r="C52" s="10"/>
      <c r="D52" s="10"/>
      <c r="E52" s="10"/>
    </row>
    <row r="53" customFormat="false" ht="18" hidden="false" customHeight="true" outlineLevel="0" collapsed="false">
      <c r="A53" s="9" t="s">
        <v>89</v>
      </c>
      <c r="B53" s="10"/>
      <c r="C53" s="10"/>
      <c r="D53" s="10"/>
      <c r="E53" s="10"/>
    </row>
    <row r="54" customFormat="false" ht="18" hidden="false" customHeight="true" outlineLevel="0" collapsed="false">
      <c r="A54" s="9" t="s">
        <v>90</v>
      </c>
      <c r="B54" s="10"/>
      <c r="C54" s="10"/>
      <c r="D54" s="10"/>
      <c r="E54" s="10"/>
    </row>
    <row r="55" customFormat="false" ht="18" hidden="false" customHeight="true" outlineLevel="0" collapsed="false">
      <c r="A55" s="9" t="s">
        <v>91</v>
      </c>
      <c r="B55" s="10"/>
      <c r="C55" s="10"/>
      <c r="D55" s="10"/>
      <c r="E55" s="10"/>
    </row>
    <row r="56" customFormat="false" ht="18" hidden="false" customHeight="true" outlineLevel="0" collapsed="false">
      <c r="A56" s="9" t="s">
        <v>92</v>
      </c>
      <c r="B56" s="10"/>
      <c r="C56" s="10"/>
      <c r="D56" s="10"/>
      <c r="E56" s="10"/>
    </row>
    <row r="57" customFormat="false" ht="18" hidden="false" customHeight="true" outlineLevel="0" collapsed="false">
      <c r="A57" s="9" t="s">
        <v>93</v>
      </c>
      <c r="B57" s="10"/>
      <c r="C57" s="10"/>
      <c r="D57" s="10"/>
      <c r="E57" s="10"/>
    </row>
    <row r="58" customFormat="false" ht="18" hidden="false" customHeight="true" outlineLevel="0" collapsed="false">
      <c r="A58" s="9" t="s">
        <v>94</v>
      </c>
      <c r="B58" s="10"/>
      <c r="C58" s="10"/>
      <c r="D58" s="10"/>
      <c r="E58" s="10"/>
    </row>
    <row r="59" customFormat="false" ht="18" hidden="false" customHeight="true" outlineLevel="0" collapsed="false">
      <c r="A59" s="9" t="s">
        <v>95</v>
      </c>
      <c r="B59" s="10"/>
      <c r="C59" s="10"/>
      <c r="D59" s="10"/>
      <c r="E59" s="10"/>
    </row>
    <row r="60" customFormat="false" ht="18" hidden="false" customHeight="true" outlineLevel="0" collapsed="false">
      <c r="A60" s="5" t="s">
        <v>96</v>
      </c>
      <c r="B60" s="6"/>
      <c r="C60" s="6"/>
      <c r="D60" s="6"/>
      <c r="E60" s="6"/>
    </row>
    <row r="61" customFormat="false" ht="18" hidden="false" customHeight="true" outlineLevel="0" collapsed="false">
      <c r="A61" s="9" t="s">
        <v>97</v>
      </c>
      <c r="B61" s="10"/>
      <c r="C61" s="10"/>
      <c r="D61" s="10"/>
      <c r="E61" s="10"/>
    </row>
    <row r="62" customFormat="false" ht="18" hidden="false" customHeight="true" outlineLevel="0" collapsed="false">
      <c r="A62" s="9" t="s">
        <v>98</v>
      </c>
      <c r="B62" s="10"/>
      <c r="C62" s="10"/>
      <c r="D62" s="10"/>
      <c r="E62" s="10"/>
    </row>
    <row r="63" customFormat="false" ht="18" hidden="false" customHeight="true" outlineLevel="0" collapsed="false">
      <c r="A63" s="11" t="s">
        <v>99</v>
      </c>
      <c r="B63" s="12" t="n">
        <f aca="false">1*B61+1*B62</f>
        <v>0</v>
      </c>
      <c r="C63" s="12" t="n">
        <f aca="false">1*C61+1*C62</f>
        <v>0</v>
      </c>
      <c r="D63" s="12" t="n">
        <f aca="false">1*D61+1*D62</f>
        <v>0</v>
      </c>
      <c r="E63" s="12" t="n">
        <f aca="false">1*E61+1*E62</f>
        <v>0</v>
      </c>
    </row>
    <row r="64" customFormat="false" ht="18" hidden="false" customHeight="true" outlineLevel="0" collapsed="false">
      <c r="A64" s="5" t="s">
        <v>100</v>
      </c>
      <c r="B64" s="6"/>
      <c r="C64" s="6"/>
      <c r="D64" s="6"/>
      <c r="E64" s="6"/>
    </row>
    <row r="65" customFormat="false" ht="18" hidden="false" customHeight="true" outlineLevel="0" collapsed="false">
      <c r="A65" s="9" t="s">
        <v>101</v>
      </c>
      <c r="B65" s="10"/>
      <c r="C65" s="10"/>
      <c r="D65" s="10"/>
      <c r="E65" s="10"/>
    </row>
    <row r="66" customFormat="false" ht="18" hidden="false" customHeight="true" outlineLevel="0" collapsed="false">
      <c r="A66" s="9" t="s">
        <v>102</v>
      </c>
      <c r="B66" s="10"/>
      <c r="C66" s="10"/>
      <c r="D66" s="10"/>
      <c r="E66" s="10"/>
    </row>
    <row r="67" customFormat="false" ht="18" hidden="false" customHeight="true" outlineLevel="0" collapsed="false">
      <c r="A67" s="9" t="s">
        <v>103</v>
      </c>
      <c r="B67" s="10"/>
      <c r="C67" s="10"/>
      <c r="D67" s="10"/>
      <c r="E67" s="10"/>
    </row>
    <row r="68" customFormat="false" ht="18" hidden="false" customHeight="true" outlineLevel="0" collapsed="false">
      <c r="A68" s="11" t="s">
        <v>104</v>
      </c>
      <c r="B68" s="12" t="n">
        <f aca="false">1*B65+1*B66+1*B67</f>
        <v>0</v>
      </c>
      <c r="C68" s="12" t="n">
        <f aca="false">1*C65+1*C66+1*C67</f>
        <v>0</v>
      </c>
      <c r="D68" s="12" t="n">
        <f aca="false">1*D65+1*D66+1*D67</f>
        <v>0</v>
      </c>
      <c r="E68" s="12" t="n">
        <f aca="false">1*E65+1*E66+1*E67</f>
        <v>0</v>
      </c>
    </row>
    <row r="69" customFormat="false" ht="18" hidden="false" customHeight="true" outlineLevel="0" collapsed="false">
      <c r="A69" s="9" t="s">
        <v>105</v>
      </c>
      <c r="B69" s="10"/>
      <c r="C69" s="10"/>
      <c r="D69" s="10"/>
      <c r="E69" s="10"/>
    </row>
    <row r="70" customFormat="false" ht="18" hidden="false" customHeight="true" outlineLevel="0" collapsed="false">
      <c r="A70" s="9" t="s">
        <v>106</v>
      </c>
      <c r="B70" s="10"/>
      <c r="C70" s="10"/>
      <c r="D70" s="10"/>
      <c r="E70" s="10"/>
    </row>
    <row r="71" customFormat="false" ht="18" hidden="false" customHeight="true" outlineLevel="0" collapsed="false">
      <c r="A71" s="9" t="s">
        <v>107</v>
      </c>
      <c r="B71" s="10"/>
      <c r="C71" s="10"/>
      <c r="D71" s="10"/>
      <c r="E71" s="10"/>
    </row>
    <row r="72" customFormat="false" ht="18" hidden="false" customHeight="true" outlineLevel="0" collapsed="false">
      <c r="A72" s="9" t="s">
        <v>108</v>
      </c>
      <c r="B72" s="10"/>
      <c r="C72" s="10"/>
      <c r="D72" s="10"/>
      <c r="E72" s="10"/>
    </row>
    <row r="73" customFormat="false" ht="18" hidden="false" customHeight="true" outlineLevel="0" collapsed="false">
      <c r="A73" s="5" t="s">
        <v>109</v>
      </c>
      <c r="B73" s="6"/>
      <c r="C73" s="6"/>
      <c r="D73" s="6"/>
      <c r="E73" s="6"/>
    </row>
    <row r="74" customFormat="false" ht="18" hidden="false" customHeight="true" outlineLevel="0" collapsed="false">
      <c r="A74" s="9" t="s">
        <v>110</v>
      </c>
      <c r="B74" s="10"/>
      <c r="C74" s="10"/>
      <c r="D74" s="10"/>
      <c r="E74" s="10"/>
    </row>
    <row r="75" customFormat="false" ht="18" hidden="false" customHeight="true" outlineLevel="0" collapsed="false">
      <c r="A75" s="9" t="s">
        <v>111</v>
      </c>
      <c r="B75" s="10"/>
      <c r="C75" s="10"/>
      <c r="D75" s="10"/>
      <c r="E75" s="10"/>
    </row>
    <row r="76" customFormat="false" ht="18" hidden="false" customHeight="true" outlineLevel="0" collapsed="false">
      <c r="A76" s="9" t="s">
        <v>112</v>
      </c>
      <c r="B76" s="10"/>
      <c r="C76" s="10"/>
      <c r="D76" s="10"/>
      <c r="E76" s="10"/>
    </row>
    <row r="77" customFormat="false" ht="18" hidden="false" customHeight="true" outlineLevel="0" collapsed="false">
      <c r="A77" s="9" t="s">
        <v>113</v>
      </c>
      <c r="B77" s="10"/>
      <c r="C77" s="10"/>
      <c r="D77" s="10"/>
      <c r="E77" s="10"/>
    </row>
    <row r="78" customFormat="false" ht="18" hidden="false" customHeight="true" outlineLevel="0" collapsed="false">
      <c r="A78" s="9" t="s">
        <v>114</v>
      </c>
      <c r="B78" s="10"/>
      <c r="C78" s="10"/>
      <c r="D78" s="10"/>
      <c r="E78" s="10"/>
    </row>
    <row r="79" customFormat="false" ht="18" hidden="false" customHeight="true" outlineLevel="0" collapsed="false">
      <c r="A79" s="11" t="s">
        <v>115</v>
      </c>
      <c r="B79" s="12" t="n">
        <f aca="false">1*B75+1*B76+1*B77+1*B78</f>
        <v>0</v>
      </c>
      <c r="C79" s="12" t="n">
        <f aca="false">1*C75+1*C76+1*C77+1*C78</f>
        <v>0</v>
      </c>
      <c r="D79" s="12" t="n">
        <f aca="false">1*D75+1*D76+1*D77+1*D78</f>
        <v>0</v>
      </c>
      <c r="E79" s="12" t="n">
        <f aca="false">1*E75+1*E76+1*E77+1*E78</f>
        <v>0</v>
      </c>
    </row>
    <row r="80" customFormat="false" ht="18" hidden="false" customHeight="true" outlineLevel="0" collapsed="false">
      <c r="A80" s="9" t="s">
        <v>116</v>
      </c>
      <c r="B80" s="10"/>
      <c r="C80" s="10"/>
      <c r="D80" s="10"/>
      <c r="E80" s="10"/>
    </row>
    <row r="81" customFormat="false" ht="18" hidden="false" customHeight="true" outlineLevel="0" collapsed="false">
      <c r="A81" s="9" t="s">
        <v>65</v>
      </c>
      <c r="B81" s="10"/>
      <c r="C81" s="10"/>
      <c r="D81" s="10"/>
      <c r="E81" s="10"/>
    </row>
    <row r="82" customFormat="false" ht="18" hidden="false" customHeight="true" outlineLevel="0" collapsed="false">
      <c r="A82" s="9" t="s">
        <v>117</v>
      </c>
      <c r="B82" s="10"/>
      <c r="C82" s="10"/>
      <c r="D82" s="10"/>
      <c r="E82" s="10"/>
    </row>
    <row r="83" customFormat="false" ht="18" hidden="false" customHeight="true" outlineLevel="0" collapsed="false">
      <c r="A83" s="9" t="s">
        <v>118</v>
      </c>
      <c r="B83" s="10"/>
      <c r="C83" s="10"/>
      <c r="D83" s="10"/>
      <c r="E83" s="10"/>
    </row>
    <row r="84" customFormat="false" ht="18" hidden="false" customHeight="true" outlineLevel="0" collapsed="false">
      <c r="A84" s="9" t="s">
        <v>119</v>
      </c>
      <c r="B84" s="10"/>
      <c r="C84" s="10"/>
      <c r="D84" s="10"/>
      <c r="E84" s="10"/>
    </row>
    <row r="85" customFormat="false" ht="18" hidden="false" customHeight="true" outlineLevel="0" collapsed="false">
      <c r="A85" s="9" t="s">
        <v>120</v>
      </c>
      <c r="B85" s="10"/>
      <c r="C85" s="10"/>
      <c r="D85" s="10"/>
      <c r="E85" s="10"/>
    </row>
    <row r="86" customFormat="false" ht="18" hidden="false" customHeight="true" outlineLevel="0" collapsed="false">
      <c r="A86" s="9" t="s">
        <v>121</v>
      </c>
      <c r="B86" s="10"/>
      <c r="C86" s="10"/>
      <c r="D86" s="10"/>
      <c r="E86" s="10"/>
    </row>
    <row r="87" customFormat="false" ht="18" hidden="false" customHeight="true" outlineLevel="0" collapsed="false">
      <c r="A87" s="9" t="s">
        <v>122</v>
      </c>
      <c r="B87" s="10"/>
      <c r="C87" s="10"/>
      <c r="D87" s="10"/>
      <c r="E87" s="10"/>
    </row>
    <row r="88" customFormat="false" ht="18" hidden="false" customHeight="true" outlineLevel="0" collapsed="false">
      <c r="A88" s="9" t="s">
        <v>123</v>
      </c>
      <c r="B88" s="10"/>
      <c r="C88" s="10"/>
      <c r="D88" s="10"/>
      <c r="E88" s="10"/>
    </row>
    <row r="89" customFormat="false" ht="18" hidden="false" customHeight="true" outlineLevel="0" collapsed="false">
      <c r="A89" s="9" t="s">
        <v>124</v>
      </c>
      <c r="B89" s="10"/>
      <c r="C89" s="10"/>
      <c r="D89" s="10"/>
      <c r="E89" s="10"/>
    </row>
    <row r="90" customFormat="false" ht="18" hidden="false" customHeight="true" outlineLevel="0" collapsed="false">
      <c r="A90" s="11" t="s">
        <v>125</v>
      </c>
      <c r="B90" s="12" t="n">
        <f aca="false">1*B49+1*B50+1*B51+1*B52+1*B53+1*B54+1*B55+1*B56+1*B57+1*B58+1*B59+1*B63+1*B68+1*B69+1*B70+1*B71+1*B72+1*B99+1*B80+1*B81+1*B82+1*B85+1*B86+1*B87+1*B88+1*B89+1*B84+1*B83</f>
        <v>0</v>
      </c>
      <c r="C90" s="12" t="n">
        <f aca="false">1*C49+1*C50+1*C51+1*C52+1*C53+1*C54+1*C55+1*C56+1*C57+1*C58+1*C59+1*C63+1*C68+1*C69+1*C70+1*C71+1*C72+1*C99+1*C80+1*C81+1*C82+1*C85+1*C86+1*C87+1*C88+1*C89+1*C84+1*C83</f>
        <v>0</v>
      </c>
      <c r="D90" s="12" t="n">
        <f aca="false">1*D49+1*D50+1*D51+1*D52+1*D53+1*D54+1*D55+1*D56+1*D57+1*D58+1*D59+1*D63+1*D68+1*D69+1*D70+1*D71+1*D72+1*D99+1*D80+1*D81+1*D82+1*D85+1*D86+1*D87+1*D88+1*D89+1*D84+1*D83</f>
        <v>0</v>
      </c>
      <c r="E90" s="12" t="n">
        <f aca="false">1*E49+1*E50+1*E51+1*E52+1*E53+1*E54+1*E55+1*E56+1*E57+1*E58+1*E59+1*E63+1*E68+1*E69+1*E70+1*E71+1*E72+1*E99+1*E80+1*E81+1*E82+1*E85+1*E86+1*E87+1*E88+1*E89+1*E84+1*E83</f>
        <v>0</v>
      </c>
    </row>
    <row r="91" customFormat="false" ht="18" hidden="false" customHeight="true" outlineLevel="0" collapsed="false">
      <c r="A91" s="5" t="s">
        <v>126</v>
      </c>
      <c r="B91" s="6"/>
      <c r="C91" s="6"/>
      <c r="D91" s="6"/>
      <c r="E91" s="6"/>
    </row>
    <row r="92" customFormat="false" ht="18" hidden="false" customHeight="true" outlineLevel="0" collapsed="false">
      <c r="A92" s="5" t="s">
        <v>127</v>
      </c>
      <c r="B92" s="6"/>
      <c r="C92" s="6"/>
      <c r="D92" s="6"/>
      <c r="E92" s="6"/>
    </row>
    <row r="93" customFormat="false" ht="18" hidden="false" customHeight="true" outlineLevel="0" collapsed="false">
      <c r="A93" s="9" t="s">
        <v>128</v>
      </c>
      <c r="B93" s="10"/>
      <c r="C93" s="10"/>
      <c r="D93" s="10"/>
      <c r="E93" s="10"/>
    </row>
    <row r="94" customFormat="false" ht="18" hidden="false" customHeight="true" outlineLevel="0" collapsed="false">
      <c r="A94" s="9" t="s">
        <v>129</v>
      </c>
      <c r="B94" s="10"/>
      <c r="C94" s="10"/>
      <c r="D94" s="10"/>
      <c r="E94" s="10"/>
    </row>
    <row r="95" customFormat="false" ht="18" hidden="false" customHeight="true" outlineLevel="0" collapsed="false">
      <c r="A95" s="11" t="s">
        <v>130</v>
      </c>
      <c r="B95" s="12" t="n">
        <f aca="false">1*B93+1*B94</f>
        <v>0</v>
      </c>
      <c r="C95" s="12" t="n">
        <f aca="false">1*C93+1*C94</f>
        <v>0</v>
      </c>
      <c r="D95" s="12" t="n">
        <f aca="false">1*D93+1*D94</f>
        <v>0</v>
      </c>
      <c r="E95" s="12" t="n">
        <f aca="false">1*E93+1*E94</f>
        <v>0</v>
      </c>
    </row>
    <row r="96" customFormat="false" ht="18" hidden="false" customHeight="true" outlineLevel="0" collapsed="false">
      <c r="A96" s="9" t="s">
        <v>131</v>
      </c>
      <c r="B96" s="10"/>
      <c r="C96" s="10"/>
      <c r="D96" s="10"/>
      <c r="E96" s="10"/>
    </row>
    <row r="97" customFormat="false" ht="18" hidden="false" customHeight="true" outlineLevel="0" collapsed="false">
      <c r="A97" s="9" t="s">
        <v>132</v>
      </c>
      <c r="B97" s="10"/>
      <c r="C97" s="10"/>
      <c r="D97" s="10"/>
      <c r="E97" s="10"/>
    </row>
    <row r="98" customFormat="false" ht="18" hidden="false" customHeight="true" outlineLevel="0" collapsed="false">
      <c r="A98" s="9" t="s">
        <v>133</v>
      </c>
      <c r="B98" s="10"/>
      <c r="C98" s="10"/>
      <c r="D98" s="10"/>
      <c r="E98" s="10"/>
    </row>
    <row r="99" customFormat="false" ht="18" hidden="false" customHeight="true" outlineLevel="0" collapsed="false">
      <c r="A99" s="5" t="s">
        <v>134</v>
      </c>
      <c r="B99" s="6"/>
      <c r="C99" s="6"/>
      <c r="D99" s="6"/>
      <c r="E99" s="6"/>
    </row>
    <row r="100" customFormat="false" ht="18" hidden="false" customHeight="true" outlineLevel="0" collapsed="false">
      <c r="A100" s="9" t="s">
        <v>135</v>
      </c>
      <c r="B100" s="10"/>
      <c r="C100" s="10"/>
      <c r="D100" s="10"/>
      <c r="E100" s="10"/>
    </row>
    <row r="101" customFormat="false" ht="18" hidden="false" customHeight="true" outlineLevel="0" collapsed="false">
      <c r="A101" s="9" t="s">
        <v>136</v>
      </c>
      <c r="B101" s="10"/>
      <c r="C101" s="10"/>
      <c r="D101" s="10"/>
      <c r="E101" s="10"/>
    </row>
    <row r="102" customFormat="false" ht="18" hidden="false" customHeight="true" outlineLevel="0" collapsed="false">
      <c r="A102" s="9" t="s">
        <v>137</v>
      </c>
      <c r="B102" s="10"/>
      <c r="C102" s="10"/>
      <c r="D102" s="10"/>
      <c r="E102" s="10"/>
    </row>
    <row r="103" customFormat="false" ht="18" hidden="false" customHeight="true" outlineLevel="0" collapsed="false">
      <c r="A103" s="11" t="s">
        <v>138</v>
      </c>
      <c r="B103" s="12" t="n">
        <f aca="false">1*B100+1*B101+1*B102</f>
        <v>0</v>
      </c>
      <c r="C103" s="12" t="n">
        <f aca="false">1*C100+1*C101+1*C102</f>
        <v>0</v>
      </c>
      <c r="D103" s="12" t="n">
        <f aca="false">1*D100+1*D101+1*D102</f>
        <v>0</v>
      </c>
      <c r="E103" s="12" t="n">
        <f aca="false">1*E100+1*E101+1*E102</f>
        <v>0</v>
      </c>
    </row>
    <row r="104" customFormat="false" ht="18" hidden="false" customHeight="true" outlineLevel="0" collapsed="false">
      <c r="A104" s="9" t="s">
        <v>139</v>
      </c>
      <c r="B104" s="10"/>
      <c r="C104" s="10"/>
      <c r="D104" s="10"/>
      <c r="E104" s="10"/>
    </row>
    <row r="105" customFormat="false" ht="18" hidden="false" customHeight="true" outlineLevel="0" collapsed="false">
      <c r="A105" s="9" t="s">
        <v>140</v>
      </c>
      <c r="B105" s="10"/>
      <c r="C105" s="10"/>
      <c r="D105" s="10"/>
      <c r="E105" s="10"/>
    </row>
    <row r="106" customFormat="false" ht="18" hidden="false" customHeight="true" outlineLevel="0" collapsed="false">
      <c r="A106" s="9" t="s">
        <v>141</v>
      </c>
      <c r="B106" s="10"/>
      <c r="C106" s="10"/>
      <c r="D106" s="10"/>
      <c r="E106" s="10"/>
    </row>
    <row r="107" customFormat="false" ht="18" hidden="false" customHeight="true" outlineLevel="0" collapsed="false">
      <c r="A107" s="9" t="s">
        <v>142</v>
      </c>
      <c r="B107" s="10"/>
      <c r="C107" s="10"/>
      <c r="D107" s="10"/>
      <c r="E107" s="10"/>
    </row>
    <row r="108" customFormat="false" ht="18" hidden="false" customHeight="true" outlineLevel="0" collapsed="false">
      <c r="A108" s="9" t="s">
        <v>143</v>
      </c>
      <c r="B108" s="10"/>
      <c r="C108" s="10"/>
      <c r="D108" s="10"/>
      <c r="E108" s="10"/>
    </row>
    <row r="109" customFormat="false" ht="18" hidden="false" customHeight="true" outlineLevel="0" collapsed="false">
      <c r="A109" s="9" t="s">
        <v>144</v>
      </c>
      <c r="B109" s="10"/>
      <c r="C109" s="10"/>
      <c r="D109" s="10"/>
      <c r="E109" s="10"/>
    </row>
    <row r="110" customFormat="false" ht="18" hidden="false" customHeight="true" outlineLevel="0" collapsed="false">
      <c r="A110" s="5" t="s">
        <v>145</v>
      </c>
      <c r="B110" s="6"/>
      <c r="C110" s="6"/>
      <c r="D110" s="6"/>
      <c r="E110" s="6"/>
    </row>
    <row r="111" customFormat="false" ht="18" hidden="false" customHeight="true" outlineLevel="0" collapsed="false">
      <c r="A111" s="9" t="s">
        <v>146</v>
      </c>
      <c r="B111" s="10"/>
      <c r="C111" s="10"/>
      <c r="D111" s="10"/>
      <c r="E111" s="10"/>
    </row>
    <row r="112" customFormat="false" ht="18" hidden="false" customHeight="true" outlineLevel="0" collapsed="false">
      <c r="A112" s="9" t="s">
        <v>147</v>
      </c>
      <c r="B112" s="10"/>
      <c r="C112" s="10"/>
      <c r="D112" s="10"/>
      <c r="E112" s="10"/>
    </row>
    <row r="113" customFormat="false" ht="18" hidden="false" customHeight="true" outlineLevel="0" collapsed="false">
      <c r="A113" s="9" t="s">
        <v>148</v>
      </c>
      <c r="B113" s="10"/>
      <c r="C113" s="10"/>
      <c r="D113" s="10"/>
      <c r="E113" s="10"/>
    </row>
    <row r="114" customFormat="false" ht="18" hidden="false" customHeight="true" outlineLevel="0" collapsed="false">
      <c r="A114" s="9" t="s">
        <v>149</v>
      </c>
      <c r="B114" s="10"/>
      <c r="C114" s="10"/>
      <c r="D114" s="10"/>
      <c r="E114" s="10"/>
    </row>
    <row r="115" customFormat="false" ht="18" hidden="false" customHeight="true" outlineLevel="0" collapsed="false">
      <c r="A115" s="9" t="s">
        <v>150</v>
      </c>
      <c r="B115" s="10"/>
      <c r="C115" s="10"/>
      <c r="D115" s="10"/>
      <c r="E115" s="10"/>
    </row>
    <row r="116" customFormat="false" ht="18" hidden="false" customHeight="true" outlineLevel="0" collapsed="false">
      <c r="A116" s="9" t="s">
        <v>151</v>
      </c>
      <c r="B116" s="10"/>
      <c r="C116" s="10"/>
      <c r="D116" s="10"/>
      <c r="E116" s="10"/>
    </row>
    <row r="117" customFormat="false" ht="18" hidden="false" customHeight="true" outlineLevel="0" collapsed="false">
      <c r="A117" s="9" t="s">
        <v>152</v>
      </c>
      <c r="B117" s="10"/>
      <c r="C117" s="10"/>
      <c r="D117" s="10"/>
      <c r="E117" s="10"/>
    </row>
    <row r="118" customFormat="false" ht="18" hidden="false" customHeight="true" outlineLevel="0" collapsed="false">
      <c r="A118" s="9" t="s">
        <v>153</v>
      </c>
      <c r="B118" s="10"/>
      <c r="C118" s="10"/>
      <c r="D118" s="10"/>
      <c r="E118" s="10"/>
    </row>
    <row r="119" customFormat="false" ht="18" hidden="false" customHeight="true" outlineLevel="0" collapsed="false">
      <c r="A119" s="9" t="s">
        <v>154</v>
      </c>
      <c r="B119" s="10"/>
      <c r="C119" s="10"/>
      <c r="D119" s="10"/>
      <c r="E119" s="10"/>
    </row>
    <row r="120" customFormat="false" ht="18" hidden="false" customHeight="true" outlineLevel="0" collapsed="false">
      <c r="A120" s="9" t="s">
        <v>155</v>
      </c>
      <c r="B120" s="10"/>
      <c r="C120" s="10"/>
      <c r="D120" s="10"/>
      <c r="E120" s="10"/>
    </row>
    <row r="121" customFormat="false" ht="18" hidden="false" customHeight="true" outlineLevel="0" collapsed="false">
      <c r="A121" s="11" t="s">
        <v>156</v>
      </c>
      <c r="B121" s="12" t="n">
        <f aca="false">1*B111+1*B112+1*B113+1*B114+1*B115+1*B116+1*B117+1*B118+1*B119+1*B120</f>
        <v>0</v>
      </c>
      <c r="C121" s="12" t="n">
        <f aca="false">1*C111+1*C112+1*C113+1*C114+1*C115+1*C116+1*C117+1*C118+1*C119+1*C120</f>
        <v>0</v>
      </c>
      <c r="D121" s="12" t="n">
        <f aca="false">1*D111+1*D112+1*D113+1*D114+1*D115+1*D116+1*D117+1*D118+1*D119+1*D120</f>
        <v>0</v>
      </c>
      <c r="E121" s="12" t="n">
        <f aca="false">1*E111+1*E112+1*E113+1*E114+1*E115+1*E116+1*E117+1*E118+1*E119+1*E120</f>
        <v>0</v>
      </c>
    </row>
    <row r="122" customFormat="false" ht="18" hidden="false" customHeight="true" outlineLevel="0" collapsed="false">
      <c r="A122" s="5" t="s">
        <v>157</v>
      </c>
      <c r="B122" s="6"/>
      <c r="C122" s="6"/>
      <c r="D122" s="6"/>
      <c r="E122" s="6"/>
    </row>
    <row r="123" customFormat="false" ht="18" hidden="false" customHeight="true" outlineLevel="0" collapsed="false">
      <c r="A123" s="9" t="s">
        <v>158</v>
      </c>
      <c r="B123" s="10"/>
      <c r="C123" s="10"/>
      <c r="D123" s="10"/>
      <c r="E123" s="10"/>
    </row>
    <row r="124" customFormat="false" ht="18" hidden="false" customHeight="true" outlineLevel="0" collapsed="false">
      <c r="A124" s="9" t="s">
        <v>147</v>
      </c>
      <c r="B124" s="10"/>
      <c r="C124" s="10"/>
      <c r="D124" s="10"/>
      <c r="E124" s="10"/>
    </row>
    <row r="125" customFormat="false" ht="18" hidden="false" customHeight="true" outlineLevel="0" collapsed="false">
      <c r="A125" s="9" t="s">
        <v>159</v>
      </c>
      <c r="B125" s="10"/>
      <c r="C125" s="10"/>
      <c r="D125" s="10"/>
      <c r="E125" s="10"/>
    </row>
    <row r="126" customFormat="false" ht="18" hidden="false" customHeight="true" outlineLevel="0" collapsed="false">
      <c r="A126" s="9" t="s">
        <v>160</v>
      </c>
      <c r="B126" s="10"/>
      <c r="C126" s="10"/>
      <c r="D126" s="10"/>
      <c r="E126" s="10"/>
    </row>
    <row r="127" customFormat="false" ht="18" hidden="false" customHeight="true" outlineLevel="0" collapsed="false">
      <c r="A127" s="9" t="s">
        <v>161</v>
      </c>
      <c r="B127" s="10"/>
      <c r="C127" s="10"/>
      <c r="D127" s="10"/>
      <c r="E127" s="10"/>
    </row>
    <row r="128" customFormat="false" ht="18" hidden="false" customHeight="true" outlineLevel="0" collapsed="false">
      <c r="A128" s="9" t="s">
        <v>151</v>
      </c>
      <c r="B128" s="10"/>
      <c r="C128" s="10"/>
      <c r="D128" s="10"/>
      <c r="E128" s="10"/>
    </row>
    <row r="129" customFormat="false" ht="18" hidden="false" customHeight="true" outlineLevel="0" collapsed="false">
      <c r="A129" s="9" t="s">
        <v>152</v>
      </c>
      <c r="B129" s="10"/>
      <c r="C129" s="10"/>
      <c r="D129" s="10"/>
      <c r="E129" s="10"/>
    </row>
    <row r="130" customFormat="false" ht="18" hidden="false" customHeight="true" outlineLevel="0" collapsed="false">
      <c r="A130" s="9" t="s">
        <v>149</v>
      </c>
      <c r="B130" s="10"/>
      <c r="C130" s="10"/>
      <c r="D130" s="10"/>
      <c r="E130" s="10"/>
    </row>
    <row r="131" customFormat="false" ht="18" hidden="false" customHeight="true" outlineLevel="0" collapsed="false">
      <c r="A131" s="9" t="s">
        <v>162</v>
      </c>
      <c r="B131" s="10"/>
      <c r="C131" s="10"/>
      <c r="D131" s="10"/>
      <c r="E131" s="10"/>
    </row>
    <row r="132" customFormat="false" ht="18" hidden="false" customHeight="true" outlineLevel="0" collapsed="false">
      <c r="A132" s="11" t="s">
        <v>163</v>
      </c>
      <c r="B132" s="12" t="n">
        <f aca="false">1*B123+1*B124+1*B125+1*B126+1*B127+1*B128+1*B129+1*B130+1*B131</f>
        <v>0</v>
      </c>
      <c r="C132" s="12" t="n">
        <f aca="false">1*C123+1*C124+1*C125+1*C126+1*C127+1*C128+1*C129+1*C130+1*C131</f>
        <v>0</v>
      </c>
      <c r="D132" s="12" t="n">
        <f aca="false">1*D123+1*D124+1*D125+1*D126+1*D127+1*D128+1*D129+1*D130+1*D131</f>
        <v>0</v>
      </c>
      <c r="E132" s="12" t="n">
        <f aca="false">1*E123+1*E124+1*E125+1*E126+1*E127+1*E128+1*E129+1*E130+1*E131</f>
        <v>0</v>
      </c>
    </row>
    <row r="133" customFormat="false" ht="18" hidden="false" customHeight="true" outlineLevel="0" collapsed="false">
      <c r="A133" s="9" t="s">
        <v>164</v>
      </c>
      <c r="B133" s="10"/>
      <c r="C133" s="10"/>
      <c r="D133" s="10"/>
      <c r="E133" s="10"/>
    </row>
    <row r="134" customFormat="false" ht="18" hidden="false" customHeight="true" outlineLevel="0" collapsed="false">
      <c r="A134" s="11" t="s">
        <v>165</v>
      </c>
      <c r="B134" s="12" t="n">
        <f aca="false">1*B95+1*B96+1*B97+1*B98+1*B103+1*B104+1*B105+1*B106+1*B107+1*B108+1*B109+1*B121+1*B132+1*B133</f>
        <v>0</v>
      </c>
      <c r="C134" s="12" t="n">
        <f aca="false">1*C95+1*C96+1*C97+1*C98+1*C103+1*C104+1*C105+1*C106+1*C107+1*C108+1*C109+1*C121+1*C132+1*C133</f>
        <v>0</v>
      </c>
      <c r="D134" s="12" t="n">
        <f aca="false">1*D95+1*D96+1*D97+1*D98+1*D103+1*D104+1*D105+1*D106+1*D107+1*D108+1*D109+1*D121+1*D132+1*D133</f>
        <v>0</v>
      </c>
      <c r="E134" s="12" t="n">
        <f aca="false">1*E95+1*E96+1*E97+1*E98+1*E103+1*E104+1*E105+1*E106+1*E107+1*E108+1*E109+1*E121+1*E132+1*E133</f>
        <v>0</v>
      </c>
    </row>
    <row r="135" customFormat="false" ht="18" hidden="false" customHeight="true" outlineLevel="0" collapsed="false">
      <c r="A135" s="5" t="s">
        <v>166</v>
      </c>
      <c r="B135" s="6"/>
      <c r="C135" s="6"/>
      <c r="D135" s="6"/>
      <c r="E135" s="6"/>
    </row>
    <row r="136" customFormat="false" ht="18" hidden="false" customHeight="true" outlineLevel="0" collapsed="false">
      <c r="A136" s="9" t="s">
        <v>167</v>
      </c>
      <c r="B136" s="10"/>
      <c r="C136" s="10"/>
      <c r="D136" s="10"/>
      <c r="E136" s="10"/>
    </row>
    <row r="137" customFormat="false" ht="18" hidden="false" customHeight="true" outlineLevel="0" collapsed="false">
      <c r="A137" s="9" t="s">
        <v>168</v>
      </c>
      <c r="B137" s="10"/>
      <c r="C137" s="10"/>
      <c r="D137" s="10"/>
      <c r="E137" s="10"/>
    </row>
    <row r="138" customFormat="false" ht="18" hidden="false" customHeight="true" outlineLevel="0" collapsed="false">
      <c r="A138" s="11" t="s">
        <v>169</v>
      </c>
      <c r="B138" s="12" t="n">
        <f aca="false">1*B136+1*B137</f>
        <v>0</v>
      </c>
      <c r="C138" s="12" t="n">
        <f aca="false">1*C136+1*C137</f>
        <v>0</v>
      </c>
      <c r="D138" s="12" t="n">
        <f aca="false">1*D136+1*D137</f>
        <v>0</v>
      </c>
      <c r="E138" s="12" t="n">
        <f aca="false">1*E136+1*E137</f>
        <v>0</v>
      </c>
    </row>
  </sheetData>
  <mergeCells count="2">
    <mergeCell ref="B1:C1"/>
    <mergeCell ref="D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2026-04-04T06:50:51Z</dcterms:created>
  <dc:creator>openpyxl</dc:creator>
  <dc:description/>
  <dc:language>en-US</dc:language>
  <cp:lastModifiedBy/>
  <dcterms:modified xsi:type="dcterms:W3CDTF">2026-04-12T01:47:55Z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