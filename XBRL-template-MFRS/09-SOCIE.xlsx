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OCIE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sz val="11"/>
    </font>
    <font>
      <name val="Arial"/>
      <charset val="1"/>
      <family val="0"/>
      <b val="1"/>
      <sz val="11"/>
    </font>
    <font>
      <name val="Arial"/>
      <b val="1"/>
      <sz val="11"/>
    </font>
    <font>
      <name val="Arial"/>
      <sz val="11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D6E4F0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general" vertical="bottom"/>
    </xf>
    <xf numFmtId="0" fontId="4" fillId="5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3" fontId="6" fillId="0" borderId="1" applyAlignment="1" pivotButton="0" quotePrefix="0" xfId="0">
      <alignment horizontal="right" vertical="center"/>
    </xf>
    <xf numFmtId="0" fontId="4" fillId="6" borderId="0" applyAlignment="1" pivotButton="0" quotePrefix="0" xfId="0">
      <alignment horizontal="general" vertical="bottom"/>
    </xf>
    <xf numFmtId="0" fontId="6" fillId="6" borderId="0" applyAlignment="1" pivotButton="0" quotePrefix="0" xfId="0">
      <alignment horizontal="general" vertical="bottom"/>
    </xf>
    <xf numFmtId="0" fontId="5" fillId="5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general" vertical="bottom"/>
    </xf>
    <xf numFmtId="3" fontId="5" fillId="5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left" vertical="center" wrapText="1"/>
    </xf>
    <xf numFmtId="3" fontId="6" fillId="6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X5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5" customWidth="1" style="12" min="1" max="1"/>
    <col width="16" customWidth="1" style="12" min="2" max="24"/>
  </cols>
  <sheetData>
    <row r="1" ht="15" customHeight="1" s="13">
      <c r="A1" s="14" t="n"/>
      <c r="B1" s="43" t="inlineStr">
        <is>
          <t>01/01/YYYY - 31/12/YYYY</t>
        </is>
      </c>
      <c r="C1" s="15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</row>
    <row r="2" ht="15" customHeight="1" s="13">
      <c r="A2" s="16" t="n"/>
      <c r="B2" s="16" t="inlineStr">
        <is>
          <t>Issued capital</t>
        </is>
      </c>
      <c r="C2" s="16" t="inlineStr">
        <is>
          <t>Retained earnings</t>
        </is>
      </c>
      <c r="D2" s="16" t="inlineStr">
        <is>
          <t>Treasury shares</t>
        </is>
      </c>
      <c r="E2" s="16" t="inlineStr">
        <is>
          <t>Capital reserve</t>
        </is>
      </c>
      <c r="F2" s="16" t="inlineStr">
        <is>
          <t>Hedging reserve</t>
        </is>
      </c>
      <c r="G2" s="16" t="inlineStr">
        <is>
          <t>Foreign currency translation reserve</t>
        </is>
      </c>
      <c r="H2" s="16" t="inlineStr">
        <is>
          <t>Reserve of share-based payments</t>
        </is>
      </c>
      <c r="I2" s="16" t="inlineStr">
        <is>
          <t>Revaluation surplus</t>
        </is>
      </c>
      <c r="J2" s="16" t="inlineStr">
        <is>
          <t>Statutory reserve</t>
        </is>
      </c>
      <c r="K2" s="16" t="inlineStr">
        <is>
          <t>Warrant reserve</t>
        </is>
      </c>
      <c r="L2" s="16" t="inlineStr">
        <is>
          <t>Other non-distributable reserves</t>
        </is>
      </c>
      <c r="M2" s="16" t="inlineStr">
        <is>
          <t>Sub-total of non-distributable reserves</t>
        </is>
      </c>
      <c r="N2" s="16" t="inlineStr">
        <is>
          <t>Fair value reserve</t>
        </is>
      </c>
      <c r="O2" s="16" t="inlineStr">
        <is>
          <t>Reserve of non-current assets classified as held for sale</t>
        </is>
      </c>
      <c r="P2" s="16" t="inlineStr">
        <is>
          <t>Consolidation reserve</t>
        </is>
      </c>
      <c r="Q2" s="16" t="inlineStr">
        <is>
          <t>Warranty reserve</t>
        </is>
      </c>
      <c r="R2" s="16" t="inlineStr">
        <is>
          <t>Other distributable reserves</t>
        </is>
      </c>
      <c r="S2" s="16" t="inlineStr">
        <is>
          <t>Sub-Total of distributable reserves</t>
        </is>
      </c>
      <c r="T2" s="16" t="inlineStr">
        <is>
          <t>Reserves</t>
        </is>
      </c>
      <c r="U2" s="16" t="inlineStr">
        <is>
          <t>Equity attributable to owners</t>
        </is>
      </c>
      <c r="V2" s="16" t="inlineStr">
        <is>
          <t>Equity, others components</t>
        </is>
      </c>
      <c r="W2" s="16" t="inlineStr">
        <is>
          <t>Non-controlling interests</t>
        </is>
      </c>
      <c r="X2" s="16" t="inlineStr">
        <is>
          <t>Total</t>
        </is>
      </c>
    </row>
    <row r="3" ht="15" customHeight="1" s="13">
      <c r="A3" s="16" t="inlineStr">
        <is>
          <t>Statement of changes in equity</t>
        </is>
      </c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</row>
    <row r="4" ht="15" customHeight="1" s="13">
      <c r="A4" s="17" t="inlineStr">
        <is>
          <t>Statement of changes in equity</t>
        </is>
      </c>
      <c r="B4" s="25" t="n"/>
      <c r="C4" s="25" t="n"/>
      <c r="D4" s="26" t="n"/>
      <c r="E4" s="26" t="n"/>
      <c r="F4" s="26" t="n"/>
      <c r="G4" s="26" t="n"/>
      <c r="H4" s="26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</row>
    <row r="5" ht="15" customHeight="1" s="13">
      <c r="A5" s="17" t="inlineStr">
        <is>
          <t>Statement of changes in equity</t>
        </is>
      </c>
      <c r="B5" s="25" t="n"/>
      <c r="C5" s="25" t="n"/>
      <c r="D5" s="26" t="n"/>
      <c r="E5" s="26" t="n"/>
      <c r="F5" s="26" t="n"/>
      <c r="G5" s="26" t="n"/>
      <c r="H5" s="26" t="n"/>
      <c r="I5" s="26" t="n"/>
      <c r="J5" s="26" t="n"/>
      <c r="K5" s="26" t="n"/>
      <c r="L5" s="26" t="n"/>
      <c r="M5" s="26" t="n"/>
      <c r="N5" s="26" t="n"/>
      <c r="O5" s="26" t="n"/>
      <c r="P5" s="26" t="n"/>
      <c r="Q5" s="26" t="n"/>
      <c r="R5" s="26" t="n"/>
      <c r="S5" s="26" t="n"/>
      <c r="T5" s="26" t="n"/>
      <c r="U5" s="26" t="n"/>
      <c r="V5" s="26" t="n"/>
      <c r="W5" s="26" t="n"/>
      <c r="X5" s="26" t="n"/>
    </row>
    <row r="6" ht="15" customHeight="1" s="13">
      <c r="A6" s="19" t="inlineStr">
        <is>
          <t>*Equity at beginning of period</t>
        </is>
      </c>
      <c r="B6" s="20" t="n"/>
      <c r="C6" s="20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27">
        <f>SUM(E6:L6)</f>
        <v/>
      </c>
      <c r="N6" s="14" t="n"/>
      <c r="O6" s="14" t="n"/>
      <c r="P6" s="14" t="n"/>
      <c r="Q6" s="14" t="n"/>
      <c r="R6" s="14" t="n"/>
      <c r="S6" s="27">
        <f>SUM(N6:R6)</f>
        <v/>
      </c>
      <c r="T6" s="27">
        <f>M6+S6</f>
        <v/>
      </c>
      <c r="U6" s="27">
        <f>B6+C6+D6+T6</f>
        <v/>
      </c>
      <c r="V6" s="14" t="n"/>
      <c r="W6" s="14" t="n"/>
      <c r="X6" s="27">
        <f>U6+V6+W6</f>
        <v/>
      </c>
    </row>
    <row r="7" ht="15" customHeight="1" s="13">
      <c r="A7" s="19" t="inlineStr">
        <is>
          <t>*Impact of changes in accounting policies</t>
        </is>
      </c>
      <c r="B7" s="20" t="n"/>
      <c r="C7" s="20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27">
        <f>SUM(E7:L7)</f>
        <v/>
      </c>
      <c r="N7" s="14" t="n"/>
      <c r="O7" s="14" t="n"/>
      <c r="P7" s="14" t="n"/>
      <c r="Q7" s="14" t="n"/>
      <c r="R7" s="14" t="n"/>
      <c r="S7" s="27">
        <f>SUM(N7:R7)</f>
        <v/>
      </c>
      <c r="T7" s="27">
        <f>M7+S7</f>
        <v/>
      </c>
      <c r="U7" s="27">
        <f>B7+C7+D7+T7</f>
        <v/>
      </c>
      <c r="V7" s="14" t="n"/>
      <c r="W7" s="14" t="n"/>
      <c r="X7" s="27">
        <f>U7+V7+W7</f>
        <v/>
      </c>
    </row>
    <row r="8" ht="15" customHeight="1" s="13">
      <c r="A8" s="19" t="inlineStr">
        <is>
          <t>*Equity at beginning of period, restated</t>
        </is>
      </c>
      <c r="B8" s="28">
        <f>B6+B7</f>
        <v/>
      </c>
      <c r="C8" s="28">
        <f>C6+C7</f>
        <v/>
      </c>
      <c r="D8" s="27">
        <f>D6+D7</f>
        <v/>
      </c>
      <c r="E8" s="27">
        <f>E6+E7</f>
        <v/>
      </c>
      <c r="F8" s="27">
        <f>F6+F7</f>
        <v/>
      </c>
      <c r="G8" s="27">
        <f>G6+G7</f>
        <v/>
      </c>
      <c r="H8" s="27">
        <f>H6+H7</f>
        <v/>
      </c>
      <c r="I8" s="27">
        <f>I6+I7</f>
        <v/>
      </c>
      <c r="J8" s="27">
        <f>J6+J7</f>
        <v/>
      </c>
      <c r="K8" s="27">
        <f>K6+K7</f>
        <v/>
      </c>
      <c r="L8" s="27">
        <f>L6+L7</f>
        <v/>
      </c>
      <c r="M8" s="27">
        <f>SUM(E8:L8)</f>
        <v/>
      </c>
      <c r="N8" s="27">
        <f>N6+N7</f>
        <v/>
      </c>
      <c r="O8" s="27">
        <f>O6+O7</f>
        <v/>
      </c>
      <c r="P8" s="27">
        <f>P6+P7</f>
        <v/>
      </c>
      <c r="Q8" s="27">
        <f>Q6+Q7</f>
        <v/>
      </c>
      <c r="R8" s="27">
        <f>R6+R7</f>
        <v/>
      </c>
      <c r="S8" s="27">
        <f>SUM(N8:R8)</f>
        <v/>
      </c>
      <c r="T8" s="27">
        <f>M8+S8</f>
        <v/>
      </c>
      <c r="U8" s="27">
        <f>B8+C8+D8+T8</f>
        <v/>
      </c>
      <c r="V8" s="27">
        <f>V6+V7</f>
        <v/>
      </c>
      <c r="W8" s="27">
        <f>W6+W7</f>
        <v/>
      </c>
      <c r="X8" s="27">
        <f>U8+V8+W8</f>
        <v/>
      </c>
    </row>
    <row r="9" ht="15" customHeight="1" s="13">
      <c r="A9" s="17" t="inlineStr">
        <is>
          <t>Changes in equity</t>
        </is>
      </c>
      <c r="B9" s="25" t="n"/>
      <c r="C9" s="25" t="n"/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  <c r="N9" s="26" t="n"/>
      <c r="O9" s="26" t="n"/>
      <c r="P9" s="26" t="n"/>
      <c r="Q9" s="26" t="n"/>
      <c r="R9" s="26" t="n"/>
      <c r="S9" s="26" t="n"/>
      <c r="T9" s="26" t="n"/>
      <c r="U9" s="26" t="n"/>
      <c r="V9" s="26" t="n"/>
      <c r="W9" s="26" t="n"/>
      <c r="X9" s="26" t="n"/>
    </row>
    <row r="10" ht="15" customHeight="1" s="13">
      <c r="A10" s="17" t="inlineStr">
        <is>
          <t>Comprehensive income</t>
        </is>
      </c>
      <c r="B10" s="25" t="n"/>
      <c r="C10" s="25" t="n"/>
      <c r="D10" s="26" t="n"/>
      <c r="E10" s="26" t="n"/>
      <c r="F10" s="26" t="n"/>
      <c r="G10" s="26" t="n"/>
      <c r="H10" s="26" t="n"/>
      <c r="I10" s="26" t="n"/>
      <c r="J10" s="26" t="n"/>
      <c r="K10" s="26" t="n"/>
      <c r="L10" s="26" t="n"/>
      <c r="M10" s="26" t="n"/>
      <c r="N10" s="26" t="n"/>
      <c r="O10" s="26" t="n"/>
      <c r="P10" s="26" t="n"/>
      <c r="Q10" s="26" t="n"/>
      <c r="R10" s="26" t="n"/>
      <c r="S10" s="26" t="n"/>
      <c r="T10" s="26" t="n"/>
      <c r="U10" s="26" t="n"/>
      <c r="V10" s="26" t="n"/>
      <c r="W10" s="26" t="n"/>
      <c r="X10" s="26" t="n"/>
    </row>
    <row r="11" ht="15" customHeight="1" s="13">
      <c r="A11" s="19" t="inlineStr">
        <is>
          <t>*Profit (loss)</t>
        </is>
      </c>
      <c r="B11" s="20" t="n"/>
      <c r="C11" s="20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27">
        <f>SUM(E11:L11)</f>
        <v/>
      </c>
      <c r="N11" s="14" t="n"/>
      <c r="O11" s="14" t="n"/>
      <c r="P11" s="14" t="n"/>
      <c r="Q11" s="14" t="n"/>
      <c r="R11" s="14" t="n"/>
      <c r="S11" s="27">
        <f>SUM(N11:R11)</f>
        <v/>
      </c>
      <c r="T11" s="27">
        <f>M11+S11</f>
        <v/>
      </c>
      <c r="U11" s="27">
        <f>B11+C11+D11+T11</f>
        <v/>
      </c>
      <c r="V11" s="14" t="n"/>
      <c r="W11" s="14" t="n"/>
      <c r="X11" s="27">
        <f>U11+V11+W11</f>
        <v/>
      </c>
    </row>
    <row r="12" ht="15" customHeight="1" s="13">
      <c r="A12" s="22" t="inlineStr">
        <is>
          <t>*Total other comprehensive income</t>
        </is>
      </c>
      <c r="B12" s="23" t="n"/>
      <c r="C12" s="23" t="n"/>
      <c r="D12" s="29" t="n"/>
      <c r="E12" s="29" t="n"/>
      <c r="F12" s="29" t="n"/>
      <c r="G12" s="29" t="n"/>
      <c r="H12" s="29" t="n"/>
      <c r="I12" s="29" t="n"/>
      <c r="J12" s="29" t="n"/>
      <c r="K12" s="29" t="n"/>
      <c r="L12" s="29" t="n"/>
      <c r="M12" s="30">
        <f>SUM(E12:L12)</f>
        <v/>
      </c>
      <c r="N12" s="29" t="n"/>
      <c r="O12" s="29" t="n"/>
      <c r="P12" s="29" t="n"/>
      <c r="Q12" s="29" t="n"/>
      <c r="R12" s="29" t="n"/>
      <c r="S12" s="30">
        <f>SUM(N12:R12)</f>
        <v/>
      </c>
      <c r="T12" s="30">
        <f>M12+S12</f>
        <v/>
      </c>
      <c r="U12" s="30">
        <f>B12+C12+D12+T12</f>
        <v/>
      </c>
      <c r="V12" s="29" t="n"/>
      <c r="W12" s="29" t="n"/>
      <c r="X12" s="30">
        <f>U12+V12+W12</f>
        <v/>
      </c>
    </row>
    <row r="13" ht="15" customHeight="1" s="13">
      <c r="A13" s="22" t="inlineStr">
        <is>
          <t>*Total comprehensive income</t>
        </is>
      </c>
      <c r="B13" s="23">
        <f>B11+B12</f>
        <v/>
      </c>
      <c r="C13" s="23">
        <f>C11+C12</f>
        <v/>
      </c>
      <c r="D13" s="30">
        <f>D11+D12</f>
        <v/>
      </c>
      <c r="E13" s="30">
        <f>E11+E12</f>
        <v/>
      </c>
      <c r="F13" s="30">
        <f>F11+F12</f>
        <v/>
      </c>
      <c r="G13" s="30">
        <f>G11+G12</f>
        <v/>
      </c>
      <c r="H13" s="30">
        <f>H11+H12</f>
        <v/>
      </c>
      <c r="I13" s="30">
        <f>I11+I12</f>
        <v/>
      </c>
      <c r="J13" s="30">
        <f>J11+J12</f>
        <v/>
      </c>
      <c r="K13" s="30">
        <f>K11+K12</f>
        <v/>
      </c>
      <c r="L13" s="30">
        <f>L11+L12</f>
        <v/>
      </c>
      <c r="M13" s="30">
        <f>SUM(E13:L13)</f>
        <v/>
      </c>
      <c r="N13" s="30">
        <f>N11+N12</f>
        <v/>
      </c>
      <c r="O13" s="30">
        <f>O11+O12</f>
        <v/>
      </c>
      <c r="P13" s="30">
        <f>P11+P12</f>
        <v/>
      </c>
      <c r="Q13" s="30">
        <f>Q11+Q12</f>
        <v/>
      </c>
      <c r="R13" s="30">
        <f>R11+R12</f>
        <v/>
      </c>
      <c r="S13" s="30">
        <f>SUM(N13:R13)</f>
        <v/>
      </c>
      <c r="T13" s="30">
        <f>M13+S13</f>
        <v/>
      </c>
      <c r="U13" s="30">
        <f>B13+C13+D13+T13</f>
        <v/>
      </c>
      <c r="V13" s="30">
        <f>V11+V12</f>
        <v/>
      </c>
      <c r="W13" s="30">
        <f>W11+W12</f>
        <v/>
      </c>
      <c r="X13" s="30">
        <f>U13+V13+W13</f>
        <v/>
      </c>
    </row>
    <row r="14" ht="15" customHeight="1" s="13">
      <c r="A14" s="17" t="inlineStr">
        <is>
          <t>Contributions by and distributions to owners</t>
        </is>
      </c>
      <c r="B14" s="25" t="n"/>
      <c r="C14" s="25" t="n"/>
      <c r="D14" s="26" t="n"/>
      <c r="E14" s="26" t="n"/>
      <c r="F14" s="26" t="n"/>
      <c r="G14" s="26" t="n"/>
      <c r="H14" s="26" t="n"/>
      <c r="I14" s="26" t="n"/>
      <c r="J14" s="26" t="n"/>
      <c r="K14" s="26" t="n"/>
      <c r="L14" s="26" t="n"/>
      <c r="M14" s="26" t="n"/>
      <c r="N14" s="26" t="n"/>
      <c r="O14" s="26" t="n"/>
      <c r="P14" s="26" t="n"/>
      <c r="Q14" s="26" t="n"/>
      <c r="R14" s="26" t="n"/>
      <c r="S14" s="26" t="n"/>
      <c r="T14" s="26" t="n"/>
      <c r="U14" s="26" t="n"/>
      <c r="V14" s="26" t="n"/>
      <c r="W14" s="26" t="n"/>
      <c r="X14" s="26" t="n"/>
    </row>
    <row r="15" ht="15" customHeight="1" s="13">
      <c r="A15" s="24" t="inlineStr">
        <is>
          <t>Acquisition (dilution) of equity interest in subsidiaries</t>
        </is>
      </c>
      <c r="B15" s="20" t="n"/>
      <c r="C15" s="20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>
        <f>SUM(E15:L15)</f>
        <v/>
      </c>
      <c r="N15" s="14" t="n"/>
      <c r="O15" s="14" t="n"/>
      <c r="P15" s="14" t="n"/>
      <c r="Q15" s="14" t="n"/>
      <c r="R15" s="14" t="n"/>
      <c r="S15" s="14">
        <f>SUM(N15:R15)</f>
        <v/>
      </c>
      <c r="T15" s="14">
        <f>M15+S15</f>
        <v/>
      </c>
      <c r="U15" s="14">
        <f>B15+C15+D15+T15</f>
        <v/>
      </c>
      <c r="V15" s="14" t="n"/>
      <c r="W15" s="14" t="n"/>
      <c r="X15" s="14">
        <f>U15+V15+W15</f>
        <v/>
      </c>
    </row>
    <row r="16" ht="26.85" customHeight="1" s="13">
      <c r="A16" s="24" t="inlineStr">
        <is>
          <t>Arising from conversion of Irredeemable Convertible Unsecured Loan Stock (ICULS)</t>
        </is>
      </c>
      <c r="B16" s="20" t="n"/>
      <c r="C16" s="20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>
        <f>SUM(E16:L16)</f>
        <v/>
      </c>
      <c r="N16" s="14" t="n"/>
      <c r="O16" s="14" t="n"/>
      <c r="P16" s="14" t="n"/>
      <c r="Q16" s="14" t="n"/>
      <c r="R16" s="14" t="n"/>
      <c r="S16" s="14">
        <f>SUM(N16:R16)</f>
        <v/>
      </c>
      <c r="T16" s="14">
        <f>M16+S16</f>
        <v/>
      </c>
      <c r="U16" s="14">
        <f>B16+C16+D16+T16</f>
        <v/>
      </c>
      <c r="V16" s="14" t="n"/>
      <c r="W16" s="14" t="n"/>
      <c r="X16" s="14">
        <f>U16+V16+W16</f>
        <v/>
      </c>
    </row>
    <row r="17" ht="15" customHeight="1" s="13">
      <c r="A17" s="24" t="inlineStr">
        <is>
          <t>Dividends paid</t>
        </is>
      </c>
      <c r="B17" s="20" t="n"/>
      <c r="C17" s="20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>
        <f>SUM(E17:L17)</f>
        <v/>
      </c>
      <c r="N17" s="14" t="n"/>
      <c r="O17" s="14" t="n"/>
      <c r="P17" s="14" t="n"/>
      <c r="Q17" s="14" t="n"/>
      <c r="R17" s="14" t="n"/>
      <c r="S17" s="14">
        <f>SUM(N17:R17)</f>
        <v/>
      </c>
      <c r="T17" s="14">
        <f>M17+S17</f>
        <v/>
      </c>
      <c r="U17" s="14">
        <f>B17+C17+D17+T17</f>
        <v/>
      </c>
      <c r="V17" s="14" t="n"/>
      <c r="W17" s="14" t="n"/>
      <c r="X17" s="14">
        <f>U17+V17+W17</f>
        <v/>
      </c>
    </row>
    <row r="18" ht="15" customHeight="1" s="13">
      <c r="A18" s="24" t="inlineStr">
        <is>
          <t>Issuance of shares</t>
        </is>
      </c>
      <c r="B18" s="20" t="n"/>
      <c r="C18" s="20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>
        <f>SUM(E18:L18)</f>
        <v/>
      </c>
      <c r="N18" s="14" t="n"/>
      <c r="O18" s="14" t="n"/>
      <c r="P18" s="14" t="n"/>
      <c r="Q18" s="14" t="n"/>
      <c r="R18" s="14" t="n"/>
      <c r="S18" s="14">
        <f>SUM(N18:R18)</f>
        <v/>
      </c>
      <c r="T18" s="14">
        <f>M18+S18</f>
        <v/>
      </c>
      <c r="U18" s="14">
        <f>B18+C18+D18+T18</f>
        <v/>
      </c>
      <c r="V18" s="14" t="n"/>
      <c r="W18" s="14" t="n"/>
      <c r="X18" s="14">
        <f>U18+V18+W18</f>
        <v/>
      </c>
    </row>
    <row r="19" ht="15" customHeight="1" s="13">
      <c r="A19" s="24" t="inlineStr">
        <is>
          <t>Issue of convertible notes, net of tax</t>
        </is>
      </c>
      <c r="B19" s="20" t="n"/>
      <c r="C19" s="20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>
        <f>SUM(E19:L19)</f>
        <v/>
      </c>
      <c r="N19" s="14" t="n"/>
      <c r="O19" s="14" t="n"/>
      <c r="P19" s="14" t="n"/>
      <c r="Q19" s="14" t="n"/>
      <c r="R19" s="14" t="n"/>
      <c r="S19" s="14">
        <f>SUM(N19:R19)</f>
        <v/>
      </c>
      <c r="T19" s="14">
        <f>M19+S19</f>
        <v/>
      </c>
      <c r="U19" s="14">
        <f>B19+C19+D19+T19</f>
        <v/>
      </c>
      <c r="V19" s="14" t="n"/>
      <c r="W19" s="14" t="n"/>
      <c r="X19" s="14">
        <f>U19+V19+W19</f>
        <v/>
      </c>
    </row>
    <row r="20" ht="26.85" customHeight="1" s="13">
      <c r="A20" s="24" t="inlineStr">
        <is>
          <t>Increase (decrease) through share-based payment transactions, equity</t>
        </is>
      </c>
      <c r="B20" s="20" t="n"/>
      <c r="C20" s="20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>
        <f>SUM(E20:L20)</f>
        <v/>
      </c>
      <c r="N20" s="14" t="n"/>
      <c r="O20" s="14" t="n"/>
      <c r="P20" s="14" t="n"/>
      <c r="Q20" s="14" t="n"/>
      <c r="R20" s="14" t="n"/>
      <c r="S20" s="14">
        <f>SUM(N20:R20)</f>
        <v/>
      </c>
      <c r="T20" s="14">
        <f>M20+S20</f>
        <v/>
      </c>
      <c r="U20" s="14">
        <f>B20+C20+D20+T20</f>
        <v/>
      </c>
      <c r="V20" s="14" t="n"/>
      <c r="W20" s="14" t="n"/>
      <c r="X20" s="14">
        <f>U20+V20+W20</f>
        <v/>
      </c>
    </row>
    <row r="21" ht="15" customHeight="1" s="13">
      <c r="A21" s="24" t="inlineStr">
        <is>
          <t>Treasury shares transactions</t>
        </is>
      </c>
      <c r="B21" s="20" t="n"/>
      <c r="C21" s="20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>
        <f>SUM(E21:L21)</f>
        <v/>
      </c>
      <c r="N21" s="14" t="n"/>
      <c r="O21" s="14" t="n"/>
      <c r="P21" s="14" t="n"/>
      <c r="Q21" s="14" t="n"/>
      <c r="R21" s="14" t="n"/>
      <c r="S21" s="14">
        <f>SUM(N21:R21)</f>
        <v/>
      </c>
      <c r="T21" s="14">
        <f>M21+S21</f>
        <v/>
      </c>
      <c r="U21" s="14">
        <f>B21+C21+D21+T21</f>
        <v/>
      </c>
      <c r="V21" s="14" t="n"/>
      <c r="W21" s="14" t="n"/>
      <c r="X21" s="14">
        <f>U21+V21+W21</f>
        <v/>
      </c>
    </row>
    <row r="22" ht="15" customHeight="1" s="13">
      <c r="A22" s="24" t="inlineStr">
        <is>
          <t>Other transactions with owners</t>
        </is>
      </c>
      <c r="B22" s="20" t="n"/>
      <c r="C22" s="20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>
        <f>SUM(E22:L22)</f>
        <v/>
      </c>
      <c r="N22" s="14" t="n"/>
      <c r="O22" s="14" t="n"/>
      <c r="P22" s="14" t="n"/>
      <c r="Q22" s="14" t="n"/>
      <c r="R22" s="14" t="n"/>
      <c r="S22" s="14">
        <f>SUM(N22:R22)</f>
        <v/>
      </c>
      <c r="T22" s="14">
        <f>M22+S22</f>
        <v/>
      </c>
      <c r="U22" s="14">
        <f>B22+C22+D22+T22</f>
        <v/>
      </c>
      <c r="V22" s="14" t="n"/>
      <c r="W22" s="14" t="n"/>
      <c r="X22" s="14">
        <f>U22+V22+W22</f>
        <v/>
      </c>
    </row>
    <row r="23" ht="15" customHeight="1" s="13">
      <c r="A23" s="24" t="inlineStr">
        <is>
          <t>Increase (decrease) through other changes, equity</t>
        </is>
      </c>
      <c r="B23" s="20" t="n"/>
      <c r="C23" s="20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>
        <f>SUM(E23:L23)</f>
        <v/>
      </c>
      <c r="N23" s="14" t="n"/>
      <c r="O23" s="14" t="n"/>
      <c r="P23" s="14" t="n"/>
      <c r="Q23" s="14" t="n"/>
      <c r="R23" s="14" t="n"/>
      <c r="S23" s="14">
        <f>SUM(N23:R23)</f>
        <v/>
      </c>
      <c r="T23" s="14">
        <f>M23+S23</f>
        <v/>
      </c>
      <c r="U23" s="14">
        <f>B23+C23+D23+T23</f>
        <v/>
      </c>
      <c r="V23" s="14" t="n"/>
      <c r="W23" s="14" t="n"/>
      <c r="X23" s="14">
        <f>U23+V23+W23</f>
        <v/>
      </c>
    </row>
    <row r="24" ht="15" customHeight="1" s="13">
      <c r="A24" s="22" t="inlineStr">
        <is>
          <t>*Total increase (decrease) in equity</t>
        </is>
      </c>
      <c r="B24" s="23">
        <f>1*B13+1*B15+1*B16+-1*B17+1*B18+1*B19+1*B20+1*B21+1*B22+1*B23</f>
        <v/>
      </c>
      <c r="C24" s="23">
        <f>1*C13+1*C15+1*C16+-1*C17+1*C18+1*C19+1*C20+1*C21+1*C22+1*C23</f>
        <v/>
      </c>
      <c r="D24" s="30">
        <f>1*D13+1*D15+1*D16+-1*D17+1*D18+1*D19+1*D20+1*D21+1*D22+1*D23</f>
        <v/>
      </c>
      <c r="E24" s="30">
        <f>1*E13+1*E15+1*E16+-1*E17+1*E18+1*E19+1*E20+1*E21+1*E22+1*E23</f>
        <v/>
      </c>
      <c r="F24" s="30">
        <f>1*F13+1*F15+1*F16+-1*F17+1*F18+1*F19+1*F20+1*F21+1*F22+1*F23</f>
        <v/>
      </c>
      <c r="G24" s="30">
        <f>1*G13+1*G15+1*G16+-1*G17+1*G18+1*G19+1*G20+1*G21+1*G22+1*G23</f>
        <v/>
      </c>
      <c r="H24" s="30">
        <f>1*H13+1*H15+1*H16+-1*H17+1*H18+1*H19+1*H20+1*H21+1*H22+1*H23</f>
        <v/>
      </c>
      <c r="I24" s="30">
        <f>1*I13+1*I15+1*I16+-1*I17+1*I18+1*I19+1*I20+1*I21+1*I22+1*I23</f>
        <v/>
      </c>
      <c r="J24" s="30">
        <f>1*J13+1*J15+1*J16+-1*J17+1*J18+1*J19+1*J20+1*J21+1*J22+1*J23</f>
        <v/>
      </c>
      <c r="K24" s="30">
        <f>1*K13+1*K15+1*K16+-1*K17+1*K18+1*K19+1*K20+1*K21+1*K22+1*K23</f>
        <v/>
      </c>
      <c r="L24" s="30">
        <f>1*L13+1*L15+1*L16+-1*L17+1*L18+1*L19+1*L20+1*L21+1*L22+1*L23</f>
        <v/>
      </c>
      <c r="M24" s="30">
        <f>SUM(E24:L24)</f>
        <v/>
      </c>
      <c r="N24" s="30">
        <f>1*N13+1*N15+1*N16+-1*N17+1*N18+1*N19+1*N20+1*N21+1*N22+1*N23</f>
        <v/>
      </c>
      <c r="O24" s="30">
        <f>1*O13+1*O15+1*O16+-1*O17+1*O18+1*O19+1*O20+1*O21+1*O22+1*O23</f>
        <v/>
      </c>
      <c r="P24" s="30">
        <f>1*P13+1*P15+1*P16+-1*P17+1*P18+1*P19+1*P20+1*P21+1*P22+1*P23</f>
        <v/>
      </c>
      <c r="Q24" s="30">
        <f>1*Q13+1*Q15+1*Q16+-1*Q17+1*Q18+1*Q19+1*Q20+1*Q21+1*Q22+1*Q23</f>
        <v/>
      </c>
      <c r="R24" s="30">
        <f>1*R13+1*R15+1*R16+-1*R17+1*R18+1*R19+1*R20+1*R21+1*R22+1*R23</f>
        <v/>
      </c>
      <c r="S24" s="30">
        <f>SUM(N24:R24)</f>
        <v/>
      </c>
      <c r="T24" s="30">
        <f>M24+S24</f>
        <v/>
      </c>
      <c r="U24" s="30">
        <f>B24+C24+D24+T24</f>
        <v/>
      </c>
      <c r="V24" s="30">
        <f>1*V13+1*V15+1*V16+-1*V17+1*V18+1*V19+1*V20+1*V21+1*V22+1*V23</f>
        <v/>
      </c>
      <c r="W24" s="30">
        <f>1*W13+1*W15+1*W16+-1*W17+1*W18+1*W19+1*W20+1*W21+1*W22+1*W23</f>
        <v/>
      </c>
      <c r="X24" s="30">
        <f>U24+V24+W24</f>
        <v/>
      </c>
    </row>
    <row r="25" ht="15" customHeight="1" s="13">
      <c r="A25" s="19" t="inlineStr">
        <is>
          <t>*Equity at end of period</t>
        </is>
      </c>
      <c r="B25" s="28">
        <f>B8+B24</f>
        <v/>
      </c>
      <c r="C25" s="28">
        <f>C8+C24</f>
        <v/>
      </c>
      <c r="D25" s="27">
        <f>D8+D24</f>
        <v/>
      </c>
      <c r="E25" s="27">
        <f>E8+E24</f>
        <v/>
      </c>
      <c r="F25" s="27">
        <f>F8+F24</f>
        <v/>
      </c>
      <c r="G25" s="27">
        <f>G8+G24</f>
        <v/>
      </c>
      <c r="H25" s="27">
        <f>H8+H24</f>
        <v/>
      </c>
      <c r="I25" s="27">
        <f>I8+I24</f>
        <v/>
      </c>
      <c r="J25" s="27">
        <f>J8+J24</f>
        <v/>
      </c>
      <c r="K25" s="27">
        <f>K8+K24</f>
        <v/>
      </c>
      <c r="L25" s="27">
        <f>L8+L24</f>
        <v/>
      </c>
      <c r="M25" s="27">
        <f>SUM(E25:L25)</f>
        <v/>
      </c>
      <c r="N25" s="27">
        <f>N8+N24</f>
        <v/>
      </c>
      <c r="O25" s="27">
        <f>O8+O24</f>
        <v/>
      </c>
      <c r="P25" s="27">
        <f>P8+P24</f>
        <v/>
      </c>
      <c r="Q25" s="27">
        <f>Q8+Q24</f>
        <v/>
      </c>
      <c r="R25" s="27">
        <f>R8+R24</f>
        <v/>
      </c>
      <c r="S25" s="27">
        <f>SUM(N25:R25)</f>
        <v/>
      </c>
      <c r="T25" s="27">
        <f>M25+S25</f>
        <v/>
      </c>
      <c r="U25" s="27">
        <f>B25+C25+D25+T25</f>
        <v/>
      </c>
      <c r="V25" s="27">
        <f>V8+V24</f>
        <v/>
      </c>
      <c r="W25" s="27">
        <f>W8+W24</f>
        <v/>
      </c>
      <c r="X25" s="27">
        <f>U25+V25+W25</f>
        <v/>
      </c>
    </row>
    <row r="26" ht="15" customHeight="1" s="13">
      <c r="A26" s="17" t="n"/>
      <c r="B26" s="25" t="n"/>
      <c r="C26" s="25" t="n"/>
      <c r="D26" s="26" t="n"/>
      <c r="E26" s="26" t="n"/>
      <c r="F26" s="26" t="n"/>
      <c r="G26" s="26" t="n"/>
      <c r="H26" s="26" t="n"/>
      <c r="I26" s="26" t="n"/>
      <c r="J26" s="26" t="n"/>
      <c r="K26" s="26" t="n"/>
      <c r="L26" s="26" t="n"/>
      <c r="M26" s="26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  <c r="W26" s="26" t="n"/>
      <c r="X26" s="26" t="n"/>
    </row>
    <row r="27" ht="15" customHeight="1" s="13">
      <c r="A27" s="17" t="inlineStr">
        <is>
          <t>Statement of changes in equity</t>
        </is>
      </c>
      <c r="B27" s="25" t="n"/>
      <c r="C27" s="25" t="n"/>
      <c r="D27" s="26" t="n"/>
      <c r="E27" s="26" t="n"/>
      <c r="F27" s="26" t="n"/>
      <c r="G27" s="26" t="n"/>
      <c r="H27" s="26" t="n"/>
      <c r="I27" s="26" t="n"/>
      <c r="J27" s="26" t="n"/>
      <c r="K27" s="26" t="n"/>
      <c r="L27" s="26" t="n"/>
      <c r="M27" s="26" t="n"/>
      <c r="N27" s="26" t="n"/>
      <c r="O27" s="26" t="n"/>
      <c r="P27" s="26" t="n"/>
      <c r="Q27" s="26" t="n"/>
      <c r="R27" s="26" t="n"/>
      <c r="S27" s="26" t="n"/>
      <c r="T27" s="26" t="n"/>
      <c r="U27" s="26" t="n"/>
      <c r="V27" s="26" t="n"/>
      <c r="W27" s="26" t="n"/>
      <c r="X27" s="26" t="n"/>
    </row>
    <row r="28" ht="15" customHeight="1" s="13">
      <c r="A28" s="31" t="inlineStr">
        <is>
          <t>Statement of changes in equity</t>
        </is>
      </c>
      <c r="B28" s="32" t="n"/>
      <c r="C28" s="32" t="n"/>
      <c r="D28" s="26" t="n"/>
      <c r="E28" s="26" t="n"/>
      <c r="F28" s="26" t="n"/>
      <c r="G28" s="26" t="n"/>
      <c r="H28" s="26" t="n"/>
      <c r="I28" s="26" t="n"/>
      <c r="J28" s="26" t="n"/>
      <c r="K28" s="26" t="n"/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</row>
    <row r="29" ht="15" customHeight="1" s="13">
      <c r="A29" s="19" t="inlineStr">
        <is>
          <t>Statement of changes in equity</t>
        </is>
      </c>
      <c r="B29" s="20" t="n"/>
      <c r="C29" s="20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</row>
    <row r="30" ht="15" customHeight="1" s="13">
      <c r="A30" s="19" t="inlineStr">
        <is>
          <t>*Equity at beginning of period</t>
        </is>
      </c>
      <c r="B30" s="21" t="n"/>
      <c r="C30" s="21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27">
        <f>SUM(E30:L30)</f>
        <v/>
      </c>
      <c r="N30" s="14" t="n"/>
      <c r="O30" s="14" t="n"/>
      <c r="P30" s="14" t="n"/>
      <c r="Q30" s="14" t="n"/>
      <c r="R30" s="14" t="n"/>
      <c r="S30" s="27">
        <f>SUM(N30:R30)</f>
        <v/>
      </c>
      <c r="T30" s="27">
        <f>M30+S30</f>
        <v/>
      </c>
      <c r="U30" s="27">
        <f>B30+C30+D30+T30</f>
        <v/>
      </c>
      <c r="V30" s="14" t="n"/>
      <c r="W30" s="14" t="n"/>
      <c r="X30" s="27">
        <f>U30+V30+W30</f>
        <v/>
      </c>
    </row>
    <row r="31" ht="15" customHeight="1" s="13">
      <c r="A31" s="19" t="inlineStr">
        <is>
          <t>*Impact of changes in accounting policies</t>
        </is>
      </c>
      <c r="B31" s="18" t="n"/>
      <c r="C31" s="18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27">
        <f>SUM(E31:L31)</f>
        <v/>
      </c>
      <c r="N31" s="14" t="n"/>
      <c r="O31" s="14" t="n"/>
      <c r="P31" s="14" t="n"/>
      <c r="Q31" s="14" t="n"/>
      <c r="R31" s="14" t="n"/>
      <c r="S31" s="27">
        <f>SUM(N31:R31)</f>
        <v/>
      </c>
      <c r="T31" s="27">
        <f>M31+S31</f>
        <v/>
      </c>
      <c r="U31" s="27">
        <f>B31+C31+D31+T31</f>
        <v/>
      </c>
      <c r="V31" s="14" t="n"/>
      <c r="W31" s="14" t="n"/>
      <c r="X31" s="27">
        <f>U31+V31+W31</f>
        <v/>
      </c>
    </row>
    <row r="32" ht="15" customHeight="1" s="13">
      <c r="A32" s="19" t="inlineStr">
        <is>
          <t>*Equity at beginning of period, restated</t>
        </is>
      </c>
      <c r="B32" s="33">
        <f>B30+B31</f>
        <v/>
      </c>
      <c r="C32" s="33">
        <f>C30+C31</f>
        <v/>
      </c>
      <c r="D32" s="27">
        <f>D30+D31</f>
        <v/>
      </c>
      <c r="E32" s="27">
        <f>E30+E31</f>
        <v/>
      </c>
      <c r="F32" s="27">
        <f>F30+F31</f>
        <v/>
      </c>
      <c r="G32" s="27">
        <f>G30+G31</f>
        <v/>
      </c>
      <c r="H32" s="27">
        <f>H30+H31</f>
        <v/>
      </c>
      <c r="I32" s="27">
        <f>I30+I31</f>
        <v/>
      </c>
      <c r="J32" s="27">
        <f>J30+J31</f>
        <v/>
      </c>
      <c r="K32" s="27">
        <f>K30+K31</f>
        <v/>
      </c>
      <c r="L32" s="27">
        <f>L30+L31</f>
        <v/>
      </c>
      <c r="M32" s="27">
        <f>SUM(E32:L32)</f>
        <v/>
      </c>
      <c r="N32" s="27">
        <f>N30+N31</f>
        <v/>
      </c>
      <c r="O32" s="27">
        <f>O30+O31</f>
        <v/>
      </c>
      <c r="P32" s="27">
        <f>P30+P31</f>
        <v/>
      </c>
      <c r="Q32" s="27">
        <f>Q30+Q31</f>
        <v/>
      </c>
      <c r="R32" s="27">
        <f>R30+R31</f>
        <v/>
      </c>
      <c r="S32" s="27">
        <f>SUM(N32:R32)</f>
        <v/>
      </c>
      <c r="T32" s="27">
        <f>M32+S32</f>
        <v/>
      </c>
      <c r="U32" s="27">
        <f>B32+C32+D32+T32</f>
        <v/>
      </c>
      <c r="V32" s="27">
        <f>V30+V31</f>
        <v/>
      </c>
      <c r="W32" s="27">
        <f>W30+W31</f>
        <v/>
      </c>
      <c r="X32" s="27">
        <f>U32+V32+W32</f>
        <v/>
      </c>
    </row>
    <row r="33" ht="15" customHeight="1" s="13">
      <c r="A33" s="31" t="inlineStr">
        <is>
          <t>Changes in equity</t>
        </is>
      </c>
      <c r="B33" s="32" t="n"/>
      <c r="C33" s="32" t="n"/>
      <c r="D33" s="26" t="n"/>
      <c r="E33" s="26" t="n"/>
      <c r="F33" s="26" t="n"/>
      <c r="G33" s="26" t="n"/>
      <c r="H33" s="26" t="n"/>
      <c r="I33" s="26" t="n"/>
      <c r="J33" s="26" t="n"/>
      <c r="K33" s="26" t="n"/>
      <c r="L33" s="26" t="n"/>
      <c r="M33" s="26" t="n"/>
      <c r="N33" s="26" t="n"/>
      <c r="O33" s="26" t="n"/>
      <c r="P33" s="26" t="n"/>
      <c r="Q33" s="26" t="n"/>
      <c r="R33" s="26" t="n"/>
      <c r="S33" s="26" t="n"/>
      <c r="T33" s="26" t="n"/>
      <c r="U33" s="26" t="n"/>
      <c r="V33" s="26" t="n"/>
      <c r="W33" s="26" t="n"/>
      <c r="X33" s="26" t="n"/>
    </row>
    <row r="34" ht="15" customHeight="1" s="13">
      <c r="A34" s="31" t="inlineStr">
        <is>
          <t>Comprehensive income</t>
        </is>
      </c>
      <c r="B34" s="34" t="n"/>
      <c r="C34" s="34" t="n"/>
      <c r="D34" s="26" t="n"/>
      <c r="E34" s="26" t="n"/>
      <c r="F34" s="26" t="n"/>
      <c r="G34" s="26" t="n"/>
      <c r="H34" s="26" t="n"/>
      <c r="I34" s="26" t="n"/>
      <c r="J34" s="26" t="n"/>
      <c r="K34" s="26" t="n"/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  <c r="U34" s="26" t="n"/>
      <c r="V34" s="26" t="n"/>
      <c r="W34" s="26" t="n"/>
      <c r="X34" s="26" t="n"/>
    </row>
    <row r="35" ht="15" customHeight="1" s="13">
      <c r="A35" s="19" t="inlineStr">
        <is>
          <t>*Profit (loss)</t>
        </is>
      </c>
      <c r="B35" s="35" t="n"/>
      <c r="C35" s="35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27">
        <f>SUM(E35:L35)</f>
        <v/>
      </c>
      <c r="N35" s="14" t="n"/>
      <c r="O35" s="14" t="n"/>
      <c r="P35" s="14" t="n"/>
      <c r="Q35" s="14" t="n"/>
      <c r="R35" s="14" t="n"/>
      <c r="S35" s="27">
        <f>SUM(N35:R35)</f>
        <v/>
      </c>
      <c r="T35" s="27">
        <f>M35+S35</f>
        <v/>
      </c>
      <c r="U35" s="27">
        <f>B35+C35+D35+T35</f>
        <v/>
      </c>
      <c r="V35" s="14" t="n"/>
      <c r="W35" s="14" t="n"/>
      <c r="X35" s="27">
        <f>U35+V35+W35</f>
        <v/>
      </c>
    </row>
    <row r="36" ht="15" customHeight="1" s="13">
      <c r="A36" s="36" t="inlineStr">
        <is>
          <t>*Total other comprehensive income</t>
        </is>
      </c>
      <c r="B36" s="37" t="n"/>
      <c r="C36" s="37" t="n"/>
      <c r="D36" s="29" t="n"/>
      <c r="E36" s="29" t="n"/>
      <c r="F36" s="29" t="n"/>
      <c r="G36" s="29" t="n"/>
      <c r="H36" s="29" t="n"/>
      <c r="I36" s="29" t="n"/>
      <c r="J36" s="29" t="n"/>
      <c r="K36" s="29" t="n"/>
      <c r="L36" s="29" t="n"/>
      <c r="M36" s="30">
        <f>SUM(E36:L36)</f>
        <v/>
      </c>
      <c r="N36" s="29" t="n"/>
      <c r="O36" s="29" t="n"/>
      <c r="P36" s="29" t="n"/>
      <c r="Q36" s="29" t="n"/>
      <c r="R36" s="29" t="n"/>
      <c r="S36" s="30">
        <f>SUM(N36:R36)</f>
        <v/>
      </c>
      <c r="T36" s="30">
        <f>M36+S36</f>
        <v/>
      </c>
      <c r="U36" s="30">
        <f>B36+C36+D36+T36</f>
        <v/>
      </c>
      <c r="V36" s="29" t="n"/>
      <c r="W36" s="29" t="n"/>
      <c r="X36" s="30">
        <f>U36+V36+W36</f>
        <v/>
      </c>
    </row>
    <row r="37" ht="15" customHeight="1" s="13">
      <c r="A37" s="38" t="inlineStr">
        <is>
          <t>*Total comprehensive income</t>
        </is>
      </c>
      <c r="B37" s="39">
        <f>B35+B36</f>
        <v/>
      </c>
      <c r="C37" s="39">
        <f>C35+C36</f>
        <v/>
      </c>
      <c r="D37" s="30">
        <f>D35+D36</f>
        <v/>
      </c>
      <c r="E37" s="30">
        <f>E35+E36</f>
        <v/>
      </c>
      <c r="F37" s="30">
        <f>F35+F36</f>
        <v/>
      </c>
      <c r="G37" s="30">
        <f>G35+G36</f>
        <v/>
      </c>
      <c r="H37" s="30">
        <f>H35+H36</f>
        <v/>
      </c>
      <c r="I37" s="30">
        <f>I35+I36</f>
        <v/>
      </c>
      <c r="J37" s="30">
        <f>J35+J36</f>
        <v/>
      </c>
      <c r="K37" s="30">
        <f>K35+K36</f>
        <v/>
      </c>
      <c r="L37" s="30">
        <f>L35+L36</f>
        <v/>
      </c>
      <c r="M37" s="30">
        <f>SUM(E37:L37)</f>
        <v/>
      </c>
      <c r="N37" s="30">
        <f>N35+N36</f>
        <v/>
      </c>
      <c r="O37" s="30">
        <f>O35+O36</f>
        <v/>
      </c>
      <c r="P37" s="30">
        <f>P35+P36</f>
        <v/>
      </c>
      <c r="Q37" s="30">
        <f>Q35+Q36</f>
        <v/>
      </c>
      <c r="R37" s="30">
        <f>R35+R36</f>
        <v/>
      </c>
      <c r="S37" s="30">
        <f>SUM(N37:R37)</f>
        <v/>
      </c>
      <c r="T37" s="30">
        <f>M37+S37</f>
        <v/>
      </c>
      <c r="U37" s="30">
        <f>B37+C37+D37+T37</f>
        <v/>
      </c>
      <c r="V37" s="30">
        <f>V35+V36</f>
        <v/>
      </c>
      <c r="W37" s="30">
        <f>W35+W36</f>
        <v/>
      </c>
      <c r="X37" s="30">
        <f>U37+V37+W37</f>
        <v/>
      </c>
    </row>
    <row r="38" ht="15" customHeight="1" s="13">
      <c r="A38" s="40" t="inlineStr">
        <is>
          <t>Contributions by and distributions to owners</t>
        </is>
      </c>
      <c r="B38" s="32" t="n"/>
      <c r="C38" s="32" t="n"/>
      <c r="D38" s="26" t="n"/>
      <c r="E38" s="26" t="n"/>
      <c r="F38" s="26" t="n"/>
      <c r="G38" s="26" t="n"/>
      <c r="H38" s="26" t="n"/>
      <c r="I38" s="26" t="n"/>
      <c r="J38" s="26" t="n"/>
      <c r="K38" s="26" t="n"/>
      <c r="L38" s="26" t="n"/>
      <c r="M38" s="26" t="n"/>
      <c r="N38" s="26" t="n"/>
      <c r="O38" s="26" t="n"/>
      <c r="P38" s="26" t="n"/>
      <c r="Q38" s="26" t="n"/>
      <c r="R38" s="26" t="n"/>
      <c r="S38" s="26" t="n"/>
      <c r="T38" s="26" t="n"/>
      <c r="U38" s="26" t="n"/>
      <c r="V38" s="26" t="n"/>
      <c r="W38" s="26" t="n"/>
      <c r="X38" s="26" t="n"/>
    </row>
    <row r="39" ht="15" customHeight="1" s="13">
      <c r="A39" s="24" t="inlineStr">
        <is>
          <t>Acquisition (dilution) of equity interest in subsidiaries</t>
        </is>
      </c>
      <c r="B39" s="20" t="n"/>
      <c r="C39" s="20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>
        <f>SUM(E39:L39)</f>
        <v/>
      </c>
      <c r="N39" s="14" t="n"/>
      <c r="O39" s="14" t="n"/>
      <c r="P39" s="14" t="n"/>
      <c r="Q39" s="14" t="n"/>
      <c r="R39" s="14" t="n"/>
      <c r="S39" s="14">
        <f>SUM(N39:R39)</f>
        <v/>
      </c>
      <c r="T39" s="14">
        <f>M39+S39</f>
        <v/>
      </c>
      <c r="U39" s="14">
        <f>B39+C39+D39+T39</f>
        <v/>
      </c>
      <c r="V39" s="14" t="n"/>
      <c r="W39" s="14" t="n"/>
      <c r="X39" s="14">
        <f>U39+V39+W39</f>
        <v/>
      </c>
    </row>
    <row r="40" ht="26.85" customHeight="1" s="13">
      <c r="A40" s="24" t="inlineStr">
        <is>
          <t>Arising from conversion of Irredeemable Convertible Unsecured Loan Stock (ICULS)</t>
        </is>
      </c>
      <c r="B40" s="20" t="n"/>
      <c r="C40" s="20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>
        <f>SUM(E40:L40)</f>
        <v/>
      </c>
      <c r="N40" s="14" t="n"/>
      <c r="O40" s="14" t="n"/>
      <c r="P40" s="14" t="n"/>
      <c r="Q40" s="14" t="n"/>
      <c r="R40" s="14" t="n"/>
      <c r="S40" s="14">
        <f>SUM(N40:R40)</f>
        <v/>
      </c>
      <c r="T40" s="14">
        <f>M40+S40</f>
        <v/>
      </c>
      <c r="U40" s="14">
        <f>B40+C40+D40+T40</f>
        <v/>
      </c>
      <c r="V40" s="14" t="n"/>
      <c r="W40" s="14" t="n"/>
      <c r="X40" s="14">
        <f>U40+V40+W40</f>
        <v/>
      </c>
    </row>
    <row r="41" ht="15" customHeight="1" s="13">
      <c r="A41" s="24" t="inlineStr">
        <is>
          <t>Dividends paid</t>
        </is>
      </c>
      <c r="B41" s="20" t="n"/>
      <c r="C41" s="20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>
        <f>SUM(E41:L41)</f>
        <v/>
      </c>
      <c r="N41" s="14" t="n"/>
      <c r="O41" s="14" t="n"/>
      <c r="P41" s="14" t="n"/>
      <c r="Q41" s="14" t="n"/>
      <c r="R41" s="14" t="n"/>
      <c r="S41" s="14">
        <f>SUM(N41:R41)</f>
        <v/>
      </c>
      <c r="T41" s="14">
        <f>M41+S41</f>
        <v/>
      </c>
      <c r="U41" s="14">
        <f>B41+C41+D41+T41</f>
        <v/>
      </c>
      <c r="V41" s="14" t="n"/>
      <c r="W41" s="14" t="n"/>
      <c r="X41" s="14">
        <f>U41+V41+W41</f>
        <v/>
      </c>
    </row>
    <row r="42" ht="15" customHeight="1" s="13">
      <c r="A42" s="24" t="inlineStr">
        <is>
          <t>Issuance of shares</t>
        </is>
      </c>
      <c r="B42" s="20" t="n"/>
      <c r="C42" s="20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>
        <f>SUM(E42:L42)</f>
        <v/>
      </c>
      <c r="N42" s="14" t="n"/>
      <c r="O42" s="14" t="n"/>
      <c r="P42" s="14" t="n"/>
      <c r="Q42" s="14" t="n"/>
      <c r="R42" s="14" t="n"/>
      <c r="S42" s="14">
        <f>SUM(N42:R42)</f>
        <v/>
      </c>
      <c r="T42" s="14">
        <f>M42+S42</f>
        <v/>
      </c>
      <c r="U42" s="14">
        <f>B42+C42+D42+T42</f>
        <v/>
      </c>
      <c r="V42" s="14" t="n"/>
      <c r="W42" s="14" t="n"/>
      <c r="X42" s="14">
        <f>U42+V42+W42</f>
        <v/>
      </c>
    </row>
    <row r="43" ht="15" customHeight="1" s="13">
      <c r="A43" s="24" t="inlineStr">
        <is>
          <t>Issue of convertible notes, net of tax</t>
        </is>
      </c>
      <c r="B43" s="20" t="n"/>
      <c r="C43" s="20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>
        <f>SUM(E43:L43)</f>
        <v/>
      </c>
      <c r="N43" s="14" t="n"/>
      <c r="O43" s="14" t="n"/>
      <c r="P43" s="14" t="n"/>
      <c r="Q43" s="14" t="n"/>
      <c r="R43" s="14" t="n"/>
      <c r="S43" s="14">
        <f>SUM(N43:R43)</f>
        <v/>
      </c>
      <c r="T43" s="14">
        <f>M43+S43</f>
        <v/>
      </c>
      <c r="U43" s="14">
        <f>B43+C43+D43+T43</f>
        <v/>
      </c>
      <c r="V43" s="14" t="n"/>
      <c r="W43" s="14" t="n"/>
      <c r="X43" s="14">
        <f>U43+V43+W43</f>
        <v/>
      </c>
    </row>
    <row r="44" ht="26.85" customHeight="1" s="13">
      <c r="A44" s="24" t="inlineStr">
        <is>
          <t>Increase (decrease) through share-based payment transactions, equity</t>
        </is>
      </c>
      <c r="B44" s="20" t="n"/>
      <c r="C44" s="20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>
        <f>SUM(E44:L44)</f>
        <v/>
      </c>
      <c r="N44" s="14" t="n"/>
      <c r="O44" s="14" t="n"/>
      <c r="P44" s="14" t="n"/>
      <c r="Q44" s="14" t="n"/>
      <c r="R44" s="14" t="n"/>
      <c r="S44" s="14">
        <f>SUM(N44:R44)</f>
        <v/>
      </c>
      <c r="T44" s="14">
        <f>M44+S44</f>
        <v/>
      </c>
      <c r="U44" s="14">
        <f>B44+C44+D44+T44</f>
        <v/>
      </c>
      <c r="V44" s="14" t="n"/>
      <c r="W44" s="14" t="n"/>
      <c r="X44" s="14">
        <f>U44+V44+W44</f>
        <v/>
      </c>
    </row>
    <row r="45" ht="15" customHeight="1" s="13">
      <c r="A45" s="24" t="inlineStr">
        <is>
          <t>Treasury shares transactions</t>
        </is>
      </c>
      <c r="B45" s="20" t="n"/>
      <c r="C45" s="20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>
        <f>SUM(E45:L45)</f>
        <v/>
      </c>
      <c r="N45" s="14" t="n"/>
      <c r="O45" s="14" t="n"/>
      <c r="P45" s="14" t="n"/>
      <c r="Q45" s="14" t="n"/>
      <c r="R45" s="14" t="n"/>
      <c r="S45" s="14">
        <f>SUM(N45:R45)</f>
        <v/>
      </c>
      <c r="T45" s="14">
        <f>M45+S45</f>
        <v/>
      </c>
      <c r="U45" s="14">
        <f>B45+C45+D45+T45</f>
        <v/>
      </c>
      <c r="V45" s="14" t="n"/>
      <c r="W45" s="14" t="n"/>
      <c r="X45" s="14">
        <f>U45+V45+W45</f>
        <v/>
      </c>
    </row>
    <row r="46" ht="15" customHeight="1" s="13">
      <c r="A46" s="41" t="inlineStr">
        <is>
          <t>Other transactions with owners</t>
        </is>
      </c>
      <c r="B46" s="35" t="n"/>
      <c r="C46" s="35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42">
        <f>SUM(E46:L46)</f>
        <v/>
      </c>
      <c r="N46" s="14" t="n"/>
      <c r="O46" s="14" t="n"/>
      <c r="P46" s="14" t="n"/>
      <c r="Q46" s="14" t="n"/>
      <c r="R46" s="14" t="n"/>
      <c r="S46" s="42">
        <f>SUM(N46:R46)</f>
        <v/>
      </c>
      <c r="T46" s="42">
        <f>M46+S46</f>
        <v/>
      </c>
      <c r="U46" s="42">
        <f>B46+C46+D46+T46</f>
        <v/>
      </c>
      <c r="V46" s="14" t="n"/>
      <c r="W46" s="14" t="n"/>
      <c r="X46" s="42">
        <f>U46+V46+W46</f>
        <v/>
      </c>
    </row>
    <row r="47" ht="15" customHeight="1" s="13">
      <c r="A47" s="41" t="inlineStr">
        <is>
          <t>Increase (decrease) through other changes, equity</t>
        </is>
      </c>
      <c r="B47" s="21" t="n"/>
      <c r="C47" s="21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27">
        <f>SUM(E47:L47)</f>
        <v/>
      </c>
      <c r="N47" s="14" t="n"/>
      <c r="O47" s="14" t="n"/>
      <c r="P47" s="14" t="n"/>
      <c r="Q47" s="14" t="n"/>
      <c r="R47" s="14" t="n"/>
      <c r="S47" s="27">
        <f>SUM(N47:R47)</f>
        <v/>
      </c>
      <c r="T47" s="27">
        <f>M47+S47</f>
        <v/>
      </c>
      <c r="U47" s="27">
        <f>B47+C47+D47+T47</f>
        <v/>
      </c>
      <c r="V47" s="14" t="n"/>
      <c r="W47" s="14" t="n"/>
      <c r="X47" s="27">
        <f>U47+V47+W47</f>
        <v/>
      </c>
    </row>
    <row r="48" ht="15" customHeight="1" s="13">
      <c r="A48" s="30" t="inlineStr">
        <is>
          <t>*Total increase (decrease) in equity</t>
        </is>
      </c>
      <c r="B48" s="30">
        <f>1*B37+1*B39+1*B40+-1*B41+1*B42+1*B43+1*B44+1*B45+1*B46+1*B47</f>
        <v/>
      </c>
      <c r="C48" s="30">
        <f>1*C37+1*C39+1*C40+-1*C41+1*C42+1*C43+1*C44+1*C45+1*C46+1*C47</f>
        <v/>
      </c>
      <c r="D48" s="30">
        <f>1*D37+1*D39+1*D40+-1*D41+1*D42+1*D43+1*D44+1*D45+1*D46+1*D47</f>
        <v/>
      </c>
      <c r="E48" s="30">
        <f>1*E37+1*E39+1*E40+-1*E41+1*E42+1*E43+1*E44+1*E45+1*E46+1*E47</f>
        <v/>
      </c>
      <c r="F48" s="30">
        <f>1*F37+1*F39+1*F40+-1*F41+1*F42+1*F43+1*F44+1*F45+1*F46+1*F47</f>
        <v/>
      </c>
      <c r="G48" s="30">
        <f>1*G37+1*G39+1*G40+-1*G41+1*G42+1*G43+1*G44+1*G45+1*G46+1*G47</f>
        <v/>
      </c>
      <c r="H48" s="30">
        <f>1*H37+1*H39+1*H40+-1*H41+1*H42+1*H43+1*H44+1*H45+1*H46+1*H47</f>
        <v/>
      </c>
      <c r="I48" s="30">
        <f>1*I37+1*I39+1*I40+-1*I41+1*I42+1*I43+1*I44+1*I45+1*I46+1*I47</f>
        <v/>
      </c>
      <c r="J48" s="30">
        <f>1*J37+1*J39+1*J40+-1*J41+1*J42+1*J43+1*J44+1*J45+1*J46+1*J47</f>
        <v/>
      </c>
      <c r="K48" s="30">
        <f>1*K37+1*K39+1*K40+-1*K41+1*K42+1*K43+1*K44+1*K45+1*K46+1*K47</f>
        <v/>
      </c>
      <c r="L48" s="30">
        <f>1*L37+1*L39+1*L40+-1*L41+1*L42+1*L43+1*L44+1*L45+1*L46+1*L47</f>
        <v/>
      </c>
      <c r="M48" s="30">
        <f>SUM(E48:L48)</f>
        <v/>
      </c>
      <c r="N48" s="30">
        <f>1*N37+1*N39+1*N40+-1*N41+1*N42+1*N43+1*N44+1*N45+1*N46+1*N47</f>
        <v/>
      </c>
      <c r="O48" s="30">
        <f>1*O37+1*O39+1*O40+-1*O41+1*O42+1*O43+1*O44+1*O45+1*O46+1*O47</f>
        <v/>
      </c>
      <c r="P48" s="30">
        <f>1*P37+1*P39+1*P40+-1*P41+1*P42+1*P43+1*P44+1*P45+1*P46+1*P47</f>
        <v/>
      </c>
      <c r="Q48" s="30">
        <f>1*Q37+1*Q39+1*Q40+-1*Q41+1*Q42+1*Q43+1*Q44+1*Q45+1*Q46+1*Q47</f>
        <v/>
      </c>
      <c r="R48" s="30">
        <f>1*R37+1*R39+1*R40+-1*R41+1*R42+1*R43+1*R44+1*R45+1*R46+1*R47</f>
        <v/>
      </c>
      <c r="S48" s="30">
        <f>SUM(N48:R48)</f>
        <v/>
      </c>
      <c r="T48" s="30">
        <f>M48+S48</f>
        <v/>
      </c>
      <c r="U48" s="30">
        <f>B48+C48+D48+T48</f>
        <v/>
      </c>
      <c r="V48" s="30">
        <f>1*V37+1*V39+1*V40+-1*V41+1*V42+1*V43+1*V44+1*V45+1*V46+1*V47</f>
        <v/>
      </c>
      <c r="W48" s="30">
        <f>1*W37+1*W39+1*W40+-1*W41+1*W42+1*W43+1*W44+1*W45+1*W46+1*W47</f>
        <v/>
      </c>
      <c r="X48" s="30">
        <f>U48+V48+W48</f>
        <v/>
      </c>
    </row>
    <row r="49" ht="15" customHeight="1" s="13">
      <c r="A49" s="27" t="inlineStr">
        <is>
          <t>*Equity at end of period</t>
        </is>
      </c>
      <c r="B49" s="14">
        <f>B32+B48</f>
        <v/>
      </c>
      <c r="C49" s="14">
        <f>C32+C48</f>
        <v/>
      </c>
      <c r="D49" s="14">
        <f>D32+D48</f>
        <v/>
      </c>
      <c r="E49" s="14">
        <f>E32+E48</f>
        <v/>
      </c>
      <c r="F49" s="14">
        <f>F32+F48</f>
        <v/>
      </c>
      <c r="G49" s="14">
        <f>G32+G48</f>
        <v/>
      </c>
      <c r="H49" s="14">
        <f>H32+H48</f>
        <v/>
      </c>
      <c r="I49" s="14">
        <f>I32+I48</f>
        <v/>
      </c>
      <c r="J49" s="14">
        <f>J32+J48</f>
        <v/>
      </c>
      <c r="K49" s="14">
        <f>K32+K48</f>
        <v/>
      </c>
      <c r="L49" s="14">
        <f>L32+L48</f>
        <v/>
      </c>
      <c r="M49" s="14">
        <f>SUM(E49:L49)</f>
        <v/>
      </c>
      <c r="N49" s="14">
        <f>N32+N48</f>
        <v/>
      </c>
      <c r="O49" s="14">
        <f>O32+O48</f>
        <v/>
      </c>
      <c r="P49" s="14">
        <f>P32+P48</f>
        <v/>
      </c>
      <c r="Q49" s="14">
        <f>Q32+Q48</f>
        <v/>
      </c>
      <c r="R49" s="14">
        <f>R32+R48</f>
        <v/>
      </c>
      <c r="S49" s="14">
        <f>SUM(N49:R49)</f>
        <v/>
      </c>
      <c r="T49" s="14">
        <f>M49+S49</f>
        <v/>
      </c>
      <c r="U49" s="14">
        <f>B49+C49+D49+T49</f>
        <v/>
      </c>
      <c r="V49" s="14">
        <f>V32+V48</f>
        <v/>
      </c>
      <c r="W49" s="14">
        <f>W32+W48</f>
        <v/>
      </c>
      <c r="X49" s="14">
        <f>U49+V49+W49</f>
        <v/>
      </c>
    </row>
    <row r="50" ht="15" customHeight="1" s="13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</row>
    <row r="51" ht="15" customHeight="1" s="13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</row>
    <row r="52" ht="15" customHeight="1" s="13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2026-04-04T06:50:51Z</dcterms:created>
  <dcterms:modified xmlns:dcterms="http://purl.org/dc/terms/" xmlns:xsi="http://www.w3.org/2001/XMLSchema-instance" xsi:type="dcterms:W3CDTF">2026-04-08T12:50:15Z</dcterms:modified>
  <cp:revision>0</cp:revision>
</cp:coreProperties>
</file>