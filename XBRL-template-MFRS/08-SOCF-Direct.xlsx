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F-Direc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3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8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22" customWidth="1" style="9" min="2" max="3"/>
  </cols>
  <sheetData>
    <row r="1" ht="15" customHeight="1" s="10">
      <c r="B1" s="22" t="inlineStr">
        <is>
          <t>01/01/YYYY - 31/12/YYYY</t>
        </is>
      </c>
      <c r="C1" s="22" t="inlineStr">
        <is>
          <t>01/01/YYYY - 31/12/YYYY</t>
        </is>
      </c>
    </row>
    <row r="3" ht="15" customHeight="1" s="10">
      <c r="A3" s="12" t="inlineStr">
        <is>
          <t>Statement of cash flows, direct method</t>
        </is>
      </c>
    </row>
    <row r="4" ht="15" customHeight="1" s="10">
      <c r="A4" s="13" t="inlineStr">
        <is>
          <t>Statement of cash flows [abstract]</t>
        </is>
      </c>
      <c r="B4" s="20" t="n"/>
      <c r="C4" s="20" t="n"/>
    </row>
    <row r="5" ht="15" customHeight="1" s="10">
      <c r="A5" s="13" t="inlineStr">
        <is>
          <t>Statement of cash flows [line items]</t>
        </is>
      </c>
      <c r="B5" s="20" t="n"/>
      <c r="C5" s="20" t="n"/>
    </row>
    <row r="6" ht="15" customHeight="1" s="10">
      <c r="A6" s="13" t="inlineStr">
        <is>
          <t>Statement of cash flows [abstract]</t>
        </is>
      </c>
      <c r="B6" s="20" t="n"/>
      <c r="C6" s="20" t="n"/>
    </row>
    <row r="7" ht="15" customHeight="1" s="10">
      <c r="A7" s="13" t="inlineStr">
        <is>
          <t>Cash flows from (used in) operating activities [abstract]</t>
        </is>
      </c>
      <c r="B7" s="20" t="n"/>
      <c r="C7" s="20" t="n"/>
    </row>
    <row r="8" ht="15" customHeight="1" s="10">
      <c r="A8" s="15" t="inlineStr">
        <is>
          <t>Receipts from sales of goods and rendering of services</t>
        </is>
      </c>
      <c r="B8" s="16" t="n"/>
      <c r="C8" s="16" t="n"/>
    </row>
    <row r="9" ht="15" customHeight="1" s="10">
      <c r="A9" s="15" t="inlineStr">
        <is>
          <t>Receipts from royalties, fees, commissions and other revenue</t>
        </is>
      </c>
      <c r="B9" s="16" t="n"/>
      <c r="C9" s="16" t="n"/>
    </row>
    <row r="10" ht="15" customHeight="1" s="10">
      <c r="A10" s="15" t="inlineStr">
        <is>
          <t>Receipts from contracts held for dealing or trading purposes</t>
        </is>
      </c>
      <c r="B10" s="16" t="n"/>
      <c r="C10" s="16" t="n"/>
    </row>
    <row r="11" ht="35.05" customHeight="1" s="10">
      <c r="A11" s="15" t="inlineStr">
        <is>
          <t>Short-term lease payments, payments for leases of low-value assets and variable lease payments not included in the measurement of the lease liability</t>
        </is>
      </c>
      <c r="B11" s="16" t="n"/>
      <c r="C11" s="16" t="n"/>
    </row>
    <row r="12" ht="15" customHeight="1" s="10">
      <c r="A12" s="15" t="inlineStr">
        <is>
          <t>Payments to suppliers for goods and services</t>
        </is>
      </c>
      <c r="B12" s="16" t="n"/>
      <c r="C12" s="16" t="n"/>
    </row>
    <row r="13" ht="15" customHeight="1" s="10">
      <c r="A13" s="15" t="inlineStr">
        <is>
          <t>Payments to and on behalf of employees</t>
        </is>
      </c>
      <c r="B13" s="16" t="n"/>
      <c r="C13" s="16" t="n"/>
    </row>
    <row r="14" ht="15" customHeight="1" s="10">
      <c r="A14" s="15" t="inlineStr">
        <is>
          <t>Dividends received</t>
        </is>
      </c>
      <c r="B14" s="16" t="n"/>
      <c r="C14" s="16" t="n"/>
    </row>
    <row r="15" ht="15" customHeight="1" s="10">
      <c r="A15" s="15" t="inlineStr">
        <is>
          <t>Dividends paid</t>
        </is>
      </c>
      <c r="B15" s="16" t="n"/>
      <c r="C15" s="16" t="n"/>
    </row>
    <row r="16" ht="15" customHeight="1" s="10">
      <c r="A16" s="15" t="inlineStr">
        <is>
          <t>Interest received</t>
        </is>
      </c>
      <c r="B16" s="16" t="n"/>
      <c r="C16" s="16" t="n"/>
    </row>
    <row r="17" ht="15" customHeight="1" s="10">
      <c r="A17" s="15" t="inlineStr">
        <is>
          <t>Interest paid</t>
        </is>
      </c>
      <c r="B17" s="16" t="n"/>
      <c r="C17" s="16" t="n"/>
    </row>
    <row r="18" ht="15" customHeight="1" s="10">
      <c r="A18" s="15" t="inlineStr">
        <is>
          <t>Income taxes refund (paid)</t>
        </is>
      </c>
      <c r="B18" s="16" t="n"/>
      <c r="C18" s="16" t="n"/>
    </row>
    <row r="19" ht="15" customHeight="1" s="10">
      <c r="A19" s="15" t="inlineStr">
        <is>
          <t>Other inflows (outflows) of cash, classified as operating activities</t>
        </is>
      </c>
      <c r="B19" s="16" t="n"/>
      <c r="C19" s="16" t="n"/>
    </row>
    <row r="20" ht="15" customHeight="1" s="10">
      <c r="A20" s="15" t="inlineStr">
        <is>
          <t>Net cash flows from (used in) operating activities</t>
        </is>
      </c>
      <c r="B20" s="21">
        <f>1*B8+1*B9+1*B10+1*B11+-1*B12+-1*B13+1*B14+-1*B15+1*B16+-1*B17+-1*B18+1*B19</f>
        <v/>
      </c>
      <c r="C20" s="21">
        <f>1*C8+1*C9+1*C10+1*C11+-1*C12+-1*C13+1*C14+-1*C15+1*C16+-1*C17+-1*C18+1*C19</f>
        <v/>
      </c>
    </row>
    <row r="21" ht="15" customHeight="1" s="10">
      <c r="A21" s="13" t="inlineStr">
        <is>
          <t>Cash flows from (used in) investing activities [abstract]</t>
        </is>
      </c>
      <c r="B21" s="20" t="n"/>
      <c r="C21" s="20" t="n"/>
    </row>
    <row r="22" ht="23.85" customHeight="1" s="10">
      <c r="A22" s="15" t="inlineStr">
        <is>
          <t>Cash flows from losing control of subsidiaries or other businesses, classified as investing activities</t>
        </is>
      </c>
      <c r="B22" s="16" t="n"/>
      <c r="C22" s="16" t="n"/>
    </row>
    <row r="23" ht="23.85" customHeight="1" s="10">
      <c r="A23" s="15" t="inlineStr">
        <is>
          <t>Cash flows used in obtaining control of subsidiaries or other businesses, classified as investing activities</t>
        </is>
      </c>
      <c r="B23" s="16" t="n"/>
      <c r="C23" s="16" t="n"/>
    </row>
    <row r="24" ht="15" customHeight="1" s="10">
      <c r="A24" s="15" t="inlineStr">
        <is>
          <t>Proceeds from sales of interests in associates</t>
        </is>
      </c>
      <c r="B24" s="16" t="n"/>
      <c r="C24" s="16" t="n"/>
    </row>
    <row r="25" ht="15" customHeight="1" s="10">
      <c r="A25" s="15" t="inlineStr">
        <is>
          <t>Purchase of interests in associates</t>
        </is>
      </c>
      <c r="B25" s="16" t="n"/>
      <c r="C25" s="16" t="n"/>
    </row>
    <row r="26" ht="23.85" customHeight="1" s="10">
      <c r="A26" s="15" t="inlineStr">
        <is>
          <t>Other cash receipts from sales of interests in joint ventures, classified as investing activities</t>
        </is>
      </c>
      <c r="B26" s="16" t="n"/>
      <c r="C26" s="16" t="n"/>
    </row>
    <row r="27" ht="23.85" customHeight="1" s="10">
      <c r="A27" s="15" t="inlineStr">
        <is>
          <t>Other cash payments to acquire interests in joint ventures, classified as investing activities</t>
        </is>
      </c>
      <c r="B27" s="16" t="n"/>
      <c r="C27" s="16" t="n"/>
    </row>
    <row r="28" ht="23.85" customHeight="1" s="10">
      <c r="A28" s="15" t="inlineStr">
        <is>
          <t>Cash receipts from repayment of advances and loans made to other parties, classified as investing activities</t>
        </is>
      </c>
      <c r="B28" s="16" t="n"/>
      <c r="C28" s="16" t="n"/>
    </row>
    <row r="29" ht="15" customHeight="1" s="10">
      <c r="A29" s="15" t="inlineStr">
        <is>
          <t>Cash advances and loans made to other parties</t>
        </is>
      </c>
      <c r="B29" s="16" t="n"/>
      <c r="C29" s="16" t="n"/>
    </row>
    <row r="30" ht="15" customHeight="1" s="10">
      <c r="A30" s="15" t="inlineStr">
        <is>
          <t>Deposit placed with investment brokers</t>
        </is>
      </c>
      <c r="B30" s="16" t="n"/>
      <c r="C30" s="16" t="n"/>
    </row>
    <row r="31" ht="23.85" customHeight="1" s="10">
      <c r="A31" s="15" t="inlineStr">
        <is>
          <t>Other cash payments to acquire equity or debt instruments of other entities</t>
        </is>
      </c>
      <c r="B31" s="16" t="n"/>
      <c r="C31" s="16" t="n"/>
    </row>
    <row r="32" ht="23.85" customHeight="1" s="10">
      <c r="A32" s="15" t="inlineStr">
        <is>
          <t>Other cash receipts from sales of equity or debt instruments of other entities, classified as investing activities</t>
        </is>
      </c>
      <c r="B32" s="16" t="n"/>
      <c r="C32" s="16" t="n"/>
    </row>
    <row r="33" ht="23.85" customHeight="1" s="10">
      <c r="A33" s="15" t="inlineStr">
        <is>
          <t>Proceeds from disposal of net cash and cash equivalents disposed off</t>
        </is>
      </c>
      <c r="B33" s="16" t="n"/>
      <c r="C33" s="16" t="n"/>
    </row>
    <row r="34" ht="15" customHeight="1" s="10">
      <c r="A34" s="15" t="inlineStr">
        <is>
          <t>Tax paid on gain on disposal from discontinuing operations</t>
        </is>
      </c>
      <c r="B34" s="16" t="n"/>
      <c r="C34" s="16" t="n"/>
    </row>
    <row r="35" ht="15" customHeight="1" s="10">
      <c r="A35" s="15" t="inlineStr">
        <is>
          <t>Proceeds from government grants</t>
        </is>
      </c>
      <c r="B35" s="16" t="n"/>
      <c r="C35" s="16" t="n"/>
    </row>
    <row r="36" ht="15" customHeight="1" s="10">
      <c r="A36" s="15" t="inlineStr">
        <is>
          <t>Proceeds from sales of intangible assets</t>
        </is>
      </c>
      <c r="B36" s="16" t="n"/>
      <c r="C36" s="16" t="n"/>
    </row>
    <row r="37" ht="23.85" customHeight="1" s="10">
      <c r="A37" s="15" t="inlineStr">
        <is>
          <t>Proceeds from sales of other long-term assets, classified as investing activities</t>
        </is>
      </c>
      <c r="B37" s="16" t="n"/>
      <c r="C37" s="16" t="n"/>
    </row>
    <row r="38" ht="15" customHeight="1" s="10">
      <c r="A38" s="15" t="inlineStr">
        <is>
          <t>Proceeds from sales of property, plant and equipment</t>
        </is>
      </c>
      <c r="B38" s="16" t="n"/>
      <c r="C38" s="16" t="n"/>
    </row>
    <row r="39" ht="15" customHeight="1" s="10">
      <c r="A39" s="15" t="inlineStr">
        <is>
          <t>Proceeds from sale of prepaid lease payments</t>
        </is>
      </c>
      <c r="B39" s="16" t="n"/>
      <c r="C39" s="16" t="n"/>
    </row>
    <row r="40" ht="15" customHeight="1" s="10">
      <c r="A40" s="15" t="inlineStr">
        <is>
          <t>Purchase of intangible assets</t>
        </is>
      </c>
      <c r="B40" s="16" t="n"/>
      <c r="C40" s="16" t="n"/>
    </row>
    <row r="41" ht="15" customHeight="1" s="10">
      <c r="A41" s="15" t="inlineStr">
        <is>
          <t>Purchase of other non-current assets</t>
        </is>
      </c>
      <c r="B41" s="16" t="n"/>
      <c r="C41" s="16" t="n"/>
    </row>
    <row r="42" ht="15" customHeight="1" s="10">
      <c r="A42" s="15" t="inlineStr">
        <is>
          <t>Purchase of property, plant and equipment</t>
        </is>
      </c>
      <c r="B42" s="16" t="n"/>
      <c r="C42" s="16" t="n"/>
    </row>
    <row r="43" ht="15" customHeight="1" s="10">
      <c r="A43" s="15" t="inlineStr">
        <is>
          <t>Dividends received</t>
        </is>
      </c>
      <c r="B43" s="16" t="n"/>
      <c r="C43" s="16" t="n"/>
    </row>
    <row r="44" ht="15" customHeight="1" s="10">
      <c r="A44" s="15" t="inlineStr">
        <is>
          <t>Interest received</t>
        </is>
      </c>
      <c r="B44" s="16" t="n"/>
      <c r="C44" s="16" t="n"/>
    </row>
    <row r="45" ht="23.85" customHeight="1" s="10">
      <c r="A45" s="15" t="inlineStr">
        <is>
          <t>Proceeds from sales of investments other than investments accounted for using equity method</t>
        </is>
      </c>
      <c r="B45" s="16" t="n"/>
      <c r="C45" s="16" t="n"/>
    </row>
    <row r="46" ht="15" customHeight="1" s="10">
      <c r="A46" s="15" t="inlineStr">
        <is>
          <t>Purchase of other investment</t>
        </is>
      </c>
      <c r="B46" s="16" t="n"/>
      <c r="C46" s="16" t="n"/>
    </row>
    <row r="47" ht="15" customHeight="1" s="10">
      <c r="A47" s="15" t="inlineStr">
        <is>
          <t>Development expenditure incurred</t>
        </is>
      </c>
      <c r="B47" s="16" t="n"/>
      <c r="C47" s="16" t="n"/>
    </row>
    <row r="48" ht="15" customHeight="1" s="10">
      <c r="A48" s="15" t="inlineStr">
        <is>
          <t>Net repayment from joint ventures</t>
        </is>
      </c>
      <c r="B48" s="16" t="n"/>
      <c r="C48" s="16" t="n"/>
    </row>
    <row r="49" ht="15" customHeight="1" s="10">
      <c r="A49" s="15" t="inlineStr">
        <is>
          <t>Net repayment from associates</t>
        </is>
      </c>
      <c r="B49" s="16" t="n"/>
      <c r="C49" s="16" t="n"/>
    </row>
    <row r="50" ht="15" customHeight="1" s="10">
      <c r="A50" s="15" t="inlineStr">
        <is>
          <t>Capital distributions from associates</t>
        </is>
      </c>
      <c r="B50" s="16" t="n"/>
      <c r="C50" s="16" t="n"/>
    </row>
    <row r="51" ht="15" customHeight="1" s="10">
      <c r="A51" s="15" t="inlineStr">
        <is>
          <t>Other inflows (outflows) of cash, classified as investing activities</t>
        </is>
      </c>
      <c r="B51" s="16" t="n"/>
      <c r="C51" s="16" t="n"/>
    </row>
    <row r="52" ht="15" customHeight="1" s="10">
      <c r="A52" s="15" t="inlineStr">
        <is>
          <t>Net cash flows from (used in) investing activities</t>
        </is>
      </c>
      <c r="B52" s="21">
        <f>1*B22+-1*B23+1*B24+-1*B25+1*B26+-1*B27+1*B28+-1*B29+-1*B30+-1*B31+1*B32+1*B33+-1*B34+1*B35+1*B36+1*B37+1*B38+1*B39+-1*B40+-1*B41+-1*B42+1*B43+1*B44+1*B45+-1*B46+-1*B47+1*B48+1*B49+1*B50+1*B51</f>
        <v/>
      </c>
      <c r="C52" s="21">
        <f>1*C22+-1*C23+1*C24+-1*C25+1*C26+-1*C27+1*C28+-1*C29+-1*C30+-1*C31+1*C32+1*C33+-1*C34+1*C35+1*C36+1*C37+1*C38+1*C39+-1*C40+-1*C41+-1*C42+1*C43+1*C44+1*C45+-1*C46+-1*C47+1*C48+1*C49+1*C50+1*C51</f>
        <v/>
      </c>
    </row>
    <row r="53" ht="15" customHeight="1" s="10">
      <c r="A53" s="13" t="inlineStr">
        <is>
          <t>Cash flows from (used in) financing activities [abstract]</t>
        </is>
      </c>
      <c r="B53" s="20" t="n"/>
      <c r="C53" s="20" t="n"/>
    </row>
    <row r="54" ht="15" customHeight="1" s="10">
      <c r="A54" s="15" t="inlineStr">
        <is>
          <t>Payments for principal portion of lease liability</t>
        </is>
      </c>
      <c r="B54" s="16" t="n"/>
      <c r="C54" s="16" t="n"/>
    </row>
    <row r="55" ht="15" customHeight="1" s="10">
      <c r="A55" s="15" t="inlineStr">
        <is>
          <t>Payments for interest portion of lease liability</t>
        </is>
      </c>
      <c r="B55" s="16" t="n"/>
      <c r="C55" s="16" t="n"/>
    </row>
    <row r="56" ht="15" customHeight="1" s="10">
      <c r="A56" s="15" t="inlineStr">
        <is>
          <t>Proceeds from issuing shares</t>
        </is>
      </c>
      <c r="B56" s="16" t="n"/>
      <c r="C56" s="16" t="n"/>
    </row>
    <row r="57" ht="23.85" customHeight="1" s="10">
      <c r="A57" s="15" t="inlineStr">
        <is>
          <t>Proceeds from issue of shares in subsidiary to non-controlling interests</t>
        </is>
      </c>
      <c r="B57" s="16" t="n"/>
      <c r="C57" s="16" t="n"/>
    </row>
    <row r="58" ht="15" customHeight="1" s="10">
      <c r="A58" s="15" t="inlineStr">
        <is>
          <t>Proceeds from issuing other equity instruments</t>
        </is>
      </c>
      <c r="B58" s="16" t="n"/>
      <c r="C58" s="16" t="n"/>
    </row>
    <row r="59" ht="15" customHeight="1" s="10">
      <c r="A59" s="15" t="inlineStr">
        <is>
          <t>Proceeds from exercise of options</t>
        </is>
      </c>
      <c r="B59" s="16" t="n"/>
      <c r="C59" s="16" t="n"/>
    </row>
    <row r="60" ht="15" customHeight="1" s="10">
      <c r="A60" s="15" t="inlineStr">
        <is>
          <t>Payments to acquire or redeem entity's shares</t>
        </is>
      </c>
      <c r="B60" s="16" t="n"/>
      <c r="C60" s="16" t="n"/>
    </row>
    <row r="61" ht="15" customHeight="1" s="10">
      <c r="A61" s="15" t="inlineStr">
        <is>
          <t>Payments made to non-controlling interests</t>
        </is>
      </c>
      <c r="B61" s="16" t="n"/>
      <c r="C61" s="16" t="n"/>
    </row>
    <row r="62" ht="15" customHeight="1" s="10">
      <c r="A62" s="15" t="inlineStr">
        <is>
          <t>Payments of other equity instruments</t>
        </is>
      </c>
      <c r="B62" s="16" t="n"/>
      <c r="C62" s="16" t="n"/>
    </row>
    <row r="63" ht="15" customHeight="1" s="10">
      <c r="A63" s="15" t="inlineStr">
        <is>
          <t>Cash payments for issuance of perpetual sukuk</t>
        </is>
      </c>
      <c r="B63" s="16" t="n"/>
      <c r="C63" s="16" t="n"/>
    </row>
    <row r="64" ht="15" customHeight="1" s="10">
      <c r="A64" s="15" t="inlineStr">
        <is>
          <t>Proceeds from issue of bonds, notes and debentures</t>
        </is>
      </c>
      <c r="B64" s="16" t="n"/>
      <c r="C64" s="16" t="n"/>
    </row>
    <row r="65" ht="15" customHeight="1" s="10">
      <c r="A65" s="15" t="inlineStr">
        <is>
          <t>Repayments of borrowings</t>
        </is>
      </c>
      <c r="B65" s="16" t="n"/>
      <c r="C65" s="16" t="n"/>
    </row>
    <row r="66" ht="15" customHeight="1" s="10">
      <c r="A66" s="15" t="inlineStr">
        <is>
          <t>Repurchase of treasury shares</t>
        </is>
      </c>
      <c r="B66" s="16" t="n"/>
      <c r="C66" s="16" t="n"/>
    </row>
    <row r="67" ht="15" customHeight="1" s="10">
      <c r="A67" s="15" t="inlineStr">
        <is>
          <t>Withdrawal of bank deposits</t>
        </is>
      </c>
      <c r="B67" s="16" t="n"/>
      <c r="C67" s="16" t="n"/>
    </row>
    <row r="68" ht="15" customHeight="1" s="10">
      <c r="A68" s="15" t="inlineStr">
        <is>
          <t>Withdrawal of securities pledged for borrowings</t>
        </is>
      </c>
      <c r="B68" s="16" t="n"/>
      <c r="C68" s="16" t="n"/>
    </row>
    <row r="69" ht="15" customHeight="1" s="10">
      <c r="A69" s="15" t="inlineStr">
        <is>
          <t>Dividends paid</t>
        </is>
      </c>
      <c r="B69" s="16" t="n"/>
      <c r="C69" s="16" t="n"/>
    </row>
    <row r="70" ht="15" customHeight="1" s="10">
      <c r="A70" s="15" t="inlineStr">
        <is>
          <t>Interest paid</t>
        </is>
      </c>
      <c r="B70" s="16" t="n"/>
      <c r="C70" s="16" t="n"/>
    </row>
    <row r="71" ht="15" customHeight="1" s="10">
      <c r="A71" s="15" t="inlineStr">
        <is>
          <t>Other inflows (outflows) of cash, classified as financing activities</t>
        </is>
      </c>
      <c r="B71" s="16" t="n"/>
      <c r="C71" s="16" t="n"/>
    </row>
    <row r="72" ht="15" customHeight="1" s="10">
      <c r="A72" s="15" t="inlineStr">
        <is>
          <t>Net cash flows from (used in) financing activities</t>
        </is>
      </c>
      <c r="B72" s="21">
        <f>-1*B54+-1*B55+1*B56+1*B57+1*B58+1*B59+-1*B60+-1*B61+-1*B62+-1*B63+1*B64+-1*B65+-1*B66+1*B67+1*B68+-1*B69+-1*B70+1*B71</f>
        <v/>
      </c>
      <c r="C72" s="21">
        <f>-1*C54+-1*C55+1*C56+1*C57+1*C58+1*C59+-1*C60+-1*C61+-1*C62+-1*C63+1*C64+-1*C65+-1*C66+1*C67+1*C68+-1*C69+-1*C70+1*C71</f>
        <v/>
      </c>
    </row>
    <row r="73" ht="23.85" customHeight="1" s="10">
      <c r="A73" s="15" t="inlineStr">
        <is>
          <t>Net increase (decrease) in cash and cash equivalents before effect of exchange rate changes</t>
        </is>
      </c>
      <c r="B73" s="21">
        <f>1*B20+1*B52+1*B72</f>
        <v/>
      </c>
      <c r="C73" s="21">
        <f>1*C20+1*C52+1*C72</f>
        <v/>
      </c>
    </row>
    <row r="74" ht="15" customHeight="1" s="10">
      <c r="A74" s="15" t="inlineStr">
        <is>
          <t>Effect of exchange rate changes on cash and cash equivalents</t>
        </is>
      </c>
      <c r="B74" s="16" t="n"/>
      <c r="C74" s="16" t="n"/>
    </row>
    <row r="75" ht="23.85" customHeight="1" s="10">
      <c r="A75" s="15" t="inlineStr">
        <is>
          <t>Net increase (decrease) in cash and cash equivalents after effect of exchange rate changes</t>
        </is>
      </c>
      <c r="B75" s="21">
        <f>1*B73+1*B74</f>
        <v/>
      </c>
      <c r="C75" s="21">
        <f>1*C73+1*C74</f>
        <v/>
      </c>
    </row>
    <row r="76" ht="15" customHeight="1" s="10">
      <c r="A76" s="15" t="inlineStr">
        <is>
          <t>Cash and cash equivalents at beginning of period</t>
        </is>
      </c>
      <c r="B76" s="16" t="n"/>
      <c r="C76" s="16" t="n"/>
    </row>
    <row r="77" ht="15" customHeight="1" s="10">
      <c r="A77" s="15" t="inlineStr">
        <is>
          <t>Cash and cash equivalents at end of period</t>
        </is>
      </c>
      <c r="B77" s="21">
        <f>1*B76+1*B75</f>
        <v/>
      </c>
      <c r="C77" s="21">
        <f>1*C76+1*C75</f>
        <v/>
      </c>
    </row>
    <row r="78" ht="15" customHeight="1" s="10">
      <c r="A78" s="13" t="inlineStr">
        <is>
          <t>Details of cash flows [abstract]</t>
        </is>
      </c>
      <c r="B78" s="20" t="n"/>
      <c r="C78" s="20" t="n"/>
    </row>
    <row r="79" ht="15" customHeight="1" s="10">
      <c r="A79" s="17" t="inlineStr">
        <is>
          <t>Total Cash and bank balances</t>
        </is>
      </c>
      <c r="B79" s="18" t="n"/>
      <c r="C79" s="18" t="n"/>
    </row>
    <row r="80" ht="15" customHeight="1" s="10">
      <c r="A80" s="15" t="inlineStr">
        <is>
          <t>Bank overdrafts</t>
        </is>
      </c>
      <c r="B80" s="16" t="n"/>
      <c r="C80" s="16" t="n"/>
    </row>
    <row r="81" ht="15" customHeight="1" s="10">
      <c r="A81" s="15" t="inlineStr">
        <is>
          <t>Other adjustments to reconcile cash and cash equivalents</t>
        </is>
      </c>
      <c r="B81" s="16" t="n"/>
      <c r="C81" s="16" t="n"/>
    </row>
    <row r="82" ht="15" customHeight="1" s="10">
      <c r="A82" s="17" t="inlineStr">
        <is>
          <t>Total cash and cash equivalents</t>
        </is>
      </c>
      <c r="B82" s="18">
        <f>1*B79+-1*B80+1*B81</f>
        <v/>
      </c>
      <c r="C82" s="18">
        <f>1*C79+-1*C80+1*C81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2026-04-08T12:50:15Z</dcterms:modified>
  <cp:revision>0</cp:revision>
</cp:coreProperties>
</file>