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PL-Function" sheetId="1" state="visible" r:id="rId1"/>
    <sheet xmlns:r="http://schemas.openxmlformats.org/officeDocument/2006/relationships" name="SOPL-Analysis-Function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alibri"/>
      <i val="1"/>
      <sz val="11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11" min="1" max="1"/>
    <col width="22" customWidth="1" style="11" min="2" max="3"/>
  </cols>
  <sheetData>
    <row r="1" ht="15" customHeight="1" s="12">
      <c r="B1" s="26" t="inlineStr">
        <is>
          <t>01/01/YYYY - 31/12/YYYY</t>
        </is>
      </c>
      <c r="C1" s="26" t="inlineStr">
        <is>
          <t>01/01/YYYY - 31/12/YYYY</t>
        </is>
      </c>
    </row>
    <row r="3" ht="15" customHeight="1" s="12">
      <c r="A3" s="14" t="inlineStr">
        <is>
          <t>Statement of profit or loss, by function of expense</t>
        </is>
      </c>
    </row>
    <row r="4" ht="15" customHeight="1" s="12">
      <c r="A4" s="15" t="inlineStr">
        <is>
          <t>Statement of Profit or Loss</t>
        </is>
      </c>
      <c r="B4" s="24" t="n"/>
      <c r="C4" s="24" t="n"/>
    </row>
    <row r="5" ht="15" customHeight="1" s="12">
      <c r="A5" s="15" t="inlineStr">
        <is>
          <t>Statement of profit or loss</t>
        </is>
      </c>
      <c r="B5" s="24" t="n"/>
      <c r="C5" s="24" t="n"/>
    </row>
    <row r="6" ht="15" customHeight="1" s="12">
      <c r="A6" s="15" t="inlineStr">
        <is>
          <t>Continuing operations</t>
        </is>
      </c>
      <c r="B6" s="24" t="n"/>
      <c r="C6" s="24" t="n"/>
    </row>
    <row r="7" ht="15" customHeight="1" s="12">
      <c r="A7" s="17" t="inlineStr">
        <is>
          <t>*Revenue</t>
        </is>
      </c>
      <c r="B7" s="25">
        <f>'SOPL-Analysis-Function'!B40</f>
        <v/>
      </c>
      <c r="C7" s="25">
        <f>'SOPL-Analysis-Function'!C40</f>
        <v/>
      </c>
    </row>
    <row r="8" ht="15" customHeight="1" s="12">
      <c r="A8" s="17" t="inlineStr">
        <is>
          <t>*Cost of sales</t>
        </is>
      </c>
      <c r="B8" s="25">
        <f>'SOPL-Analysis-Function'!B47</f>
        <v/>
      </c>
      <c r="C8" s="25">
        <f>'SOPL-Analysis-Function'!C47</f>
        <v/>
      </c>
    </row>
    <row r="9" ht="15" customHeight="1" s="12">
      <c r="A9" s="17" t="inlineStr">
        <is>
          <t>*Gross profit</t>
        </is>
      </c>
      <c r="B9" s="25">
        <f>1*B7+-1*B8</f>
        <v/>
      </c>
      <c r="C9" s="25">
        <f>1*C7+-1*C8</f>
        <v/>
      </c>
    </row>
    <row r="10" ht="15" customHeight="1" s="12">
      <c r="A10" s="17" t="inlineStr">
        <is>
          <t>*Other income</t>
        </is>
      </c>
      <c r="B10" s="25">
        <f>'SOPL-Analysis-Function'!B90</f>
        <v/>
      </c>
      <c r="C10" s="25">
        <f>'SOPL-Analysis-Function'!C90</f>
        <v/>
      </c>
    </row>
    <row r="11" ht="15" customHeight="1" s="12">
      <c r="A11" s="19" t="inlineStr">
        <is>
          <t>Selling and distribution expenses</t>
        </is>
      </c>
      <c r="B11" s="20" t="n"/>
      <c r="C11" s="20" t="n"/>
    </row>
    <row r="12" ht="15" customHeight="1" s="12">
      <c r="A12" s="17" t="inlineStr">
        <is>
          <t>*Administrative expenses</t>
        </is>
      </c>
      <c r="B12" s="20" t="n"/>
      <c r="C12" s="20" t="n"/>
    </row>
    <row r="13" ht="15" customHeight="1" s="12">
      <c r="A13" s="19" t="inlineStr">
        <is>
          <t>Research and development expense</t>
        </is>
      </c>
      <c r="B13" s="20" t="n"/>
      <c r="C13" s="20" t="n"/>
    </row>
    <row r="14" ht="15" customHeight="1" s="12">
      <c r="A14" s="17" t="inlineStr">
        <is>
          <t>*Other expenses</t>
        </is>
      </c>
      <c r="B14" s="25">
        <f>'SOPL-Analysis-Function'!B134</f>
        <v/>
      </c>
      <c r="C14" s="25">
        <f>'SOPL-Analysis-Function'!C134</f>
        <v/>
      </c>
    </row>
    <row r="15" ht="15" customHeight="1" s="12">
      <c r="A15" s="21" t="inlineStr">
        <is>
          <t>*Profit (loss) from operating activities</t>
        </is>
      </c>
      <c r="B15" s="22">
        <f>1*B7+-1*B8+1*B10+-1*B11+-1*B12+-1*B13+-1*B14</f>
        <v/>
      </c>
      <c r="C15" s="22">
        <f>1*C7+-1*C8+1*C10+-1*C11+-1*C12+-1*C13+-1*C14</f>
        <v/>
      </c>
    </row>
    <row r="16" ht="15" customHeight="1" s="12">
      <c r="A16" s="17" t="inlineStr">
        <is>
          <t>*Finance income</t>
        </is>
      </c>
      <c r="B16" s="25">
        <f>'SOPL-Analysis-Function'!B138</f>
        <v/>
      </c>
      <c r="C16" s="25">
        <f>'SOPL-Analysis-Function'!C138</f>
        <v/>
      </c>
    </row>
    <row r="17" ht="15" customHeight="1" s="12">
      <c r="A17" s="17" t="inlineStr">
        <is>
          <t>*Finance costs</t>
        </is>
      </c>
      <c r="B17" s="20" t="n"/>
      <c r="C17" s="20" t="n"/>
    </row>
    <row r="18" ht="23.85" customHeight="1" s="12">
      <c r="A18" s="19" t="inlineStr">
        <is>
          <t>Share of profit (loss) of associates and joint ventures accounted for using equity method</t>
        </is>
      </c>
      <c r="B18" s="20" t="n"/>
      <c r="C18" s="20" t="n"/>
    </row>
    <row r="19" ht="23.85" customHeight="1" s="12">
      <c r="A19" s="19" t="inlineStr">
        <is>
          <t>Fair valuation gain (loss) arising from distribution of non-cash assets to owners</t>
        </is>
      </c>
      <c r="B19" s="20" t="n"/>
      <c r="C19" s="20" t="n"/>
    </row>
    <row r="20" ht="15" customHeight="1" s="12">
      <c r="A20" s="21" t="inlineStr">
        <is>
          <t>*Profit (loss) before tax</t>
        </is>
      </c>
      <c r="B20" s="22">
        <f>1*B7+-1*B8+1*B10+-1*B11+-1*B12+-1*B13+-1*B14+1*B16+-1*B17+1*B18+1*B19</f>
        <v/>
      </c>
      <c r="C20" s="22">
        <f>1*C7+-1*C8+1*C10+-1*C11+-1*C12+-1*C13+-1*C14+1*C16+-1*C17+1*C18+1*C19</f>
        <v/>
      </c>
    </row>
    <row r="21" ht="15" customHeight="1" s="12">
      <c r="A21" s="17" t="inlineStr">
        <is>
          <t>*Tax expense</t>
        </is>
      </c>
      <c r="B21" s="20" t="n"/>
      <c r="C21" s="20" t="n"/>
    </row>
    <row r="22" ht="15" customHeight="1" s="12">
      <c r="A22" s="19" t="inlineStr">
        <is>
          <t>Contribution of zakat</t>
        </is>
      </c>
      <c r="B22" s="20" t="n"/>
      <c r="C22" s="20" t="n"/>
    </row>
    <row r="23" ht="15" customHeight="1" s="12">
      <c r="A23" s="21" t="inlineStr">
        <is>
          <t>*Profit (loss) from continuing operations</t>
        </is>
      </c>
      <c r="B23" s="22">
        <f>1*B20+-1*B21+-1*B22</f>
        <v/>
      </c>
      <c r="C23" s="22">
        <f>1*C20+-1*C21+-1*C22</f>
        <v/>
      </c>
    </row>
    <row r="24" ht="15" customHeight="1" s="12">
      <c r="A24" s="15" t="inlineStr">
        <is>
          <t>Discontinued operations</t>
        </is>
      </c>
      <c r="B24" s="24" t="n"/>
      <c r="C24" s="24" t="n"/>
    </row>
    <row r="25" ht="15" customHeight="1" s="12">
      <c r="A25" s="19" t="inlineStr">
        <is>
          <t>Profit (loss) from discontinued operations, net of tax</t>
        </is>
      </c>
      <c r="B25" s="20" t="n"/>
      <c r="C25" s="20" t="n"/>
    </row>
    <row r="26" ht="15" customHeight="1" s="12">
      <c r="A26" s="21" t="inlineStr">
        <is>
          <t>*Profit (loss)</t>
        </is>
      </c>
      <c r="B26" s="22">
        <f>1*B23+1*B25</f>
        <v/>
      </c>
      <c r="C26" s="22">
        <f>1*C23+1*C25</f>
        <v/>
      </c>
    </row>
    <row r="27" ht="15" customHeight="1" s="12">
      <c r="A27" s="15" t="inlineStr">
        <is>
          <t>Profit (loss), attributable to</t>
        </is>
      </c>
      <c r="B27" s="24" t="n"/>
      <c r="C27" s="24" t="n"/>
    </row>
    <row r="28" ht="15" customHeight="1" s="12">
      <c r="A28" s="19" t="inlineStr">
        <is>
          <t>Profit (loss), attributable to owners of parent</t>
        </is>
      </c>
      <c r="B28" s="20" t="n"/>
      <c r="C28" s="20" t="n"/>
    </row>
    <row r="29" ht="15" customHeight="1" s="12">
      <c r="A29" s="19" t="inlineStr">
        <is>
          <t>Profit (loss) attributable to equity other components</t>
        </is>
      </c>
      <c r="B29" s="20" t="n"/>
      <c r="C29" s="20" t="n"/>
    </row>
    <row r="30" ht="15" customHeight="1" s="12">
      <c r="A30" s="19" t="inlineStr">
        <is>
          <t>Profit (loss), attributable to non-controlling interests</t>
        </is>
      </c>
      <c r="B30" s="20" t="n"/>
      <c r="C30" s="20" t="n"/>
    </row>
    <row r="31" ht="15" customHeight="1" s="12">
      <c r="A31" s="21" t="inlineStr">
        <is>
          <t>*Total profit (loss)</t>
        </is>
      </c>
      <c r="B31" s="22">
        <f>1*B28+1*B29+1*B30</f>
        <v/>
      </c>
      <c r="C31" s="22">
        <f>1*C28+1*C29+1*C30</f>
        <v/>
      </c>
    </row>
    <row r="32" ht="15" customHeight="1" s="12">
      <c r="A32" s="15" t="inlineStr">
        <is>
          <t>Earnings per share</t>
        </is>
      </c>
      <c r="B32" s="24" t="n"/>
      <c r="C32" s="24" t="n"/>
    </row>
    <row r="33" ht="15" customHeight="1" s="12">
      <c r="A33" s="15" t="inlineStr">
        <is>
          <t>Basic earnings per share</t>
        </is>
      </c>
      <c r="B33" s="24" t="n"/>
      <c r="C33" s="24" t="n"/>
    </row>
    <row r="34" ht="15" customHeight="1" s="12">
      <c r="A34" s="19" t="inlineStr">
        <is>
          <t>Basic earnings (loss) per share from continuing operations</t>
        </is>
      </c>
      <c r="B34" s="20" t="n"/>
      <c r="C34" s="20" t="n"/>
    </row>
    <row r="35" ht="15" customHeight="1" s="12">
      <c r="A35" s="19" t="inlineStr">
        <is>
          <t>Basic earnings (loss) per share from discontinued operations</t>
        </is>
      </c>
      <c r="B35" s="20" t="n"/>
      <c r="C35" s="20" t="n"/>
    </row>
    <row r="36" ht="15" customHeight="1" s="12">
      <c r="A36" s="21" t="inlineStr">
        <is>
          <t>*Total basic earnings (loss) per share</t>
        </is>
      </c>
      <c r="B36" s="22">
        <f>1*B35</f>
        <v/>
      </c>
      <c r="C36" s="22">
        <f>1*C35</f>
        <v/>
      </c>
    </row>
    <row r="37" ht="15" customHeight="1" s="12">
      <c r="A37" s="15" t="inlineStr">
        <is>
          <t>Diluted earnings per share</t>
        </is>
      </c>
      <c r="B37" s="24" t="n"/>
      <c r="C37" s="24" t="n"/>
    </row>
    <row r="38" ht="15" customHeight="1" s="12">
      <c r="A38" s="19" t="inlineStr">
        <is>
          <t>Diluted earnings (loss) per share from continuing operations</t>
        </is>
      </c>
      <c r="B38" s="20" t="n"/>
      <c r="C38" s="20" t="n"/>
    </row>
    <row r="39" ht="15" customHeight="1" s="12">
      <c r="A39" s="19" t="inlineStr">
        <is>
          <t>Diluted earnings (loss) per share from discontinued operations</t>
        </is>
      </c>
      <c r="B39" s="20" t="n"/>
      <c r="C39" s="20" t="n"/>
    </row>
    <row r="40" ht="15" customHeight="1" s="12">
      <c r="A40" s="21" t="inlineStr">
        <is>
          <t>*Total diluted earnings (loss) per share</t>
        </is>
      </c>
      <c r="B40" s="22">
        <f>1*B39</f>
        <v/>
      </c>
      <c r="C40" s="22">
        <f>1*C39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11" min="1" max="1"/>
    <col width="22" customWidth="1" style="11" min="2" max="3"/>
  </cols>
  <sheetData>
    <row r="1" ht="15" customHeight="1" s="12">
      <c r="B1" s="26" t="inlineStr">
        <is>
          <t>01/01/YYYY - 31/12/YYYY</t>
        </is>
      </c>
      <c r="C1" s="26" t="inlineStr">
        <is>
          <t>01/01/YYYY - 31/12/YYYY</t>
        </is>
      </c>
    </row>
    <row r="3" ht="15" customHeight="1" s="12">
      <c r="A3" s="14" t="inlineStr">
        <is>
          <t>Analysis of profit or loss, by function of expense</t>
        </is>
      </c>
    </row>
    <row r="4" ht="15" customHeight="1" s="12">
      <c r="A4" s="15" t="inlineStr">
        <is>
          <t>Analysis of profit or loss</t>
        </is>
      </c>
      <c r="B4" s="24" t="n"/>
      <c r="C4" s="24" t="n"/>
    </row>
    <row r="5" ht="15" customHeight="1" s="12">
      <c r="A5" s="15" t="inlineStr">
        <is>
          <t>Statement of profit or loss</t>
        </is>
      </c>
      <c r="B5" s="24" t="n"/>
      <c r="C5" s="24" t="n"/>
    </row>
    <row r="6" ht="15" customHeight="1" s="12">
      <c r="A6" s="15" t="inlineStr">
        <is>
          <t>Revenue</t>
        </is>
      </c>
      <c r="B6" s="24" t="n"/>
      <c r="C6" s="24" t="n"/>
    </row>
    <row r="7" ht="15" customHeight="1" s="12">
      <c r="A7" s="15" t="inlineStr">
        <is>
          <t>Revenue from sale of goods</t>
        </is>
      </c>
      <c r="B7" s="24" t="n"/>
      <c r="C7" s="24" t="n"/>
    </row>
    <row r="8" ht="15" customHeight="1" s="12">
      <c r="A8" s="19" t="inlineStr">
        <is>
          <t>Revenue from sale of broadband and telecommunication</t>
        </is>
      </c>
      <c r="B8" s="20" t="n"/>
      <c r="C8" s="20" t="n"/>
    </row>
    <row r="9" ht="15" customHeight="1" s="12">
      <c r="A9" s="19" t="inlineStr">
        <is>
          <t>Revenue from property development</t>
        </is>
      </c>
      <c r="B9" s="20" t="n"/>
      <c r="C9" s="20" t="n"/>
    </row>
    <row r="10" ht="15" customHeight="1" s="12">
      <c r="A10" s="19" t="inlineStr">
        <is>
          <t>Revenue from construction contracts</t>
        </is>
      </c>
      <c r="B10" s="20" t="n"/>
      <c r="C10" s="20" t="n"/>
    </row>
    <row r="11" ht="15" customHeight="1" s="12">
      <c r="A11" s="19" t="inlineStr">
        <is>
          <t>Revenue from clean water, treatment and disposal of waste water</t>
        </is>
      </c>
      <c r="B11" s="20" t="n"/>
      <c r="C11" s="20" t="n"/>
    </row>
    <row r="12" ht="15" customHeight="1" s="12">
      <c r="A12" s="19" t="inlineStr">
        <is>
          <t>Revenue from sale of food and beverage</t>
        </is>
      </c>
      <c r="B12" s="20" t="n"/>
      <c r="C12" s="20" t="n"/>
    </row>
    <row r="13" ht="15" customHeight="1" s="12">
      <c r="A13" s="19" t="inlineStr">
        <is>
          <t>Revenue from sale of agricultural produce</t>
        </is>
      </c>
      <c r="B13" s="20" t="n"/>
      <c r="C13" s="20" t="n"/>
    </row>
    <row r="14" ht="15" customHeight="1" s="12">
      <c r="A14" s="19" t="inlineStr">
        <is>
          <t>Revenue from sale of oil and gas products</t>
        </is>
      </c>
      <c r="B14" s="20" t="n"/>
      <c r="C14" s="20" t="n"/>
    </row>
    <row r="15" ht="15" customHeight="1" s="12">
      <c r="A15" s="19" t="inlineStr">
        <is>
          <t>Revenue from sale of other goods</t>
        </is>
      </c>
      <c r="B15" s="20" t="n"/>
      <c r="C15" s="20" t="n"/>
    </row>
    <row r="16" ht="15" customHeight="1" s="12">
      <c r="A16" s="21" t="inlineStr">
        <is>
          <t>Total revenue from sale of goods</t>
        </is>
      </c>
      <c r="B16" s="22">
        <f>1*B8+1*B9+1*B10+1*B11+1*B12+1*B13+1*B14+1*B15</f>
        <v/>
      </c>
      <c r="C16" s="22">
        <f>1*C8+1*C9+1*C10+1*C11+1*C12+1*C13+1*C14+1*C15</f>
        <v/>
      </c>
    </row>
    <row r="17" ht="15" customHeight="1" s="12">
      <c r="A17" s="15" t="inlineStr">
        <is>
          <t>Revenue from rendering of services</t>
        </is>
      </c>
      <c r="B17" s="24" t="n"/>
      <c r="C17" s="24" t="n"/>
    </row>
    <row r="18" ht="15" customHeight="1" s="12">
      <c r="A18" s="19" t="inlineStr">
        <is>
          <t>Revenue from rendering of entertainment services</t>
        </is>
      </c>
      <c r="B18" s="20" t="n"/>
      <c r="C18" s="20" t="n"/>
    </row>
    <row r="19" ht="15" customHeight="1" s="12">
      <c r="A19" s="19" t="inlineStr">
        <is>
          <t>Revenue from rendering of telecommunication services</t>
        </is>
      </c>
      <c r="B19" s="20" t="n"/>
      <c r="C19" s="20" t="n"/>
    </row>
    <row r="20" ht="15" customHeight="1" s="12">
      <c r="A20" s="19" t="inlineStr">
        <is>
          <t>Revenue from rendering of transport services</t>
        </is>
      </c>
      <c r="B20" s="20" t="n"/>
      <c r="C20" s="20" t="n"/>
    </row>
    <row r="21" ht="15" customHeight="1" s="12">
      <c r="A21" s="19" t="inlineStr">
        <is>
          <t>Revenue from rendering of information technology services</t>
        </is>
      </c>
      <c r="B21" s="20" t="n"/>
      <c r="C21" s="20" t="n"/>
    </row>
    <row r="22" ht="15" customHeight="1" s="12">
      <c r="A22" s="19" t="inlineStr">
        <is>
          <t>Revenue from rendering of educational services</t>
        </is>
      </c>
      <c r="B22" s="20" t="n"/>
      <c r="C22" s="20" t="n"/>
    </row>
    <row r="23" ht="15" customHeight="1" s="12">
      <c r="A23" s="19" t="inlineStr">
        <is>
          <t>Revenue from rendering of healthcare services</t>
        </is>
      </c>
      <c r="B23" s="20" t="n"/>
      <c r="C23" s="20" t="n"/>
    </row>
    <row r="24" ht="15" customHeight="1" s="12">
      <c r="A24" s="19" t="inlineStr">
        <is>
          <t>Revenue from rendering of shipping and shipping related services</t>
        </is>
      </c>
      <c r="B24" s="20" t="n"/>
      <c r="C24" s="20" t="n"/>
    </row>
    <row r="25" ht="15" customHeight="1" s="12">
      <c r="A25" s="19" t="inlineStr">
        <is>
          <t>Revenue from rendering of other services</t>
        </is>
      </c>
      <c r="B25" s="20" t="n"/>
      <c r="C25" s="20" t="n"/>
    </row>
    <row r="26" ht="15" customHeight="1" s="12">
      <c r="A26" s="21" t="inlineStr">
        <is>
          <t>Total revenue from rendering of services</t>
        </is>
      </c>
      <c r="B26" s="22">
        <f>1*B18+1*B19+1*B20+1*B21+1*B22+1*B23+1*B24+1*B25</f>
        <v/>
      </c>
      <c r="C26" s="22">
        <f>1*C18+1*C19+1*C20+1*C21+1*C22+1*C23+1*C24+1*C25</f>
        <v/>
      </c>
    </row>
    <row r="27" ht="15" customHeight="1" s="12">
      <c r="A27" s="15" t="inlineStr">
        <is>
          <t>Interest income</t>
        </is>
      </c>
      <c r="B27" s="24" t="n"/>
      <c r="C27" s="24" t="n"/>
    </row>
    <row r="28" ht="15" customHeight="1" s="12">
      <c r="A28" s="19" t="inlineStr">
        <is>
          <t>Interest income on loans, advances and financing</t>
        </is>
      </c>
      <c r="B28" s="20" t="n"/>
      <c r="C28" s="20" t="n"/>
    </row>
    <row r="29" ht="15" customHeight="1" s="12">
      <c r="A29" s="19" t="inlineStr">
        <is>
          <t>Interest income on other financial assets</t>
        </is>
      </c>
      <c r="B29" s="20" t="n"/>
      <c r="C29" s="20" t="n"/>
    </row>
    <row r="30" ht="15" customHeight="1" s="12">
      <c r="A30" s="21" t="inlineStr">
        <is>
          <t>Total interest income</t>
        </is>
      </c>
      <c r="B30" s="22">
        <f>1*B28+1*B29</f>
        <v/>
      </c>
      <c r="C30" s="22">
        <f>1*C28+1*C29</f>
        <v/>
      </c>
    </row>
    <row r="31" ht="15" customHeight="1" s="12">
      <c r="A31" s="15" t="inlineStr">
        <is>
          <t>Other fee and commission income</t>
        </is>
      </c>
      <c r="B31" s="24" t="n"/>
      <c r="C31" s="24" t="n"/>
    </row>
    <row r="32" ht="15" customHeight="1" s="12">
      <c r="A32" s="19" t="inlineStr">
        <is>
          <t>Gross brokerage and other charges</t>
        </is>
      </c>
      <c r="B32" s="20" t="n"/>
      <c r="C32" s="20" t="n"/>
    </row>
    <row r="33" ht="15" customHeight="1" s="12">
      <c r="A33" s="19" t="inlineStr">
        <is>
          <t>Underwriting commissions and fund management income</t>
        </is>
      </c>
      <c r="B33" s="20" t="n"/>
      <c r="C33" s="20" t="n"/>
    </row>
    <row r="34" ht="15" customHeight="1" s="12">
      <c r="A34" s="19" t="inlineStr">
        <is>
          <t>Other fee and commission income</t>
        </is>
      </c>
      <c r="B34" s="20" t="n"/>
      <c r="C34" s="20" t="n"/>
    </row>
    <row r="35" ht="15" customHeight="1" s="12">
      <c r="A35" s="21" t="inlineStr">
        <is>
          <t>Total other fee and commission income</t>
        </is>
      </c>
      <c r="B35" s="22">
        <f>1*B32+1*B33+1*B34</f>
        <v/>
      </c>
      <c r="C35" s="22">
        <f>1*C32+1*C33+1*C34</f>
        <v/>
      </c>
    </row>
    <row r="36" ht="15" customHeight="1" s="12">
      <c r="A36" s="19" t="inlineStr">
        <is>
          <t>Dividend income</t>
        </is>
      </c>
      <c r="B36" s="20" t="n"/>
      <c r="C36" s="20" t="n"/>
    </row>
    <row r="37" ht="15" customHeight="1" s="12">
      <c r="A37" s="19" t="inlineStr">
        <is>
          <t>Rental income</t>
        </is>
      </c>
      <c r="B37" s="20" t="n"/>
      <c r="C37" s="20" t="n"/>
    </row>
    <row r="38" ht="15" customHeight="1" s="12">
      <c r="A38" s="19" t="inlineStr">
        <is>
          <t>Royalty income</t>
        </is>
      </c>
      <c r="B38" s="20" t="n"/>
      <c r="C38" s="20" t="n"/>
    </row>
    <row r="39" ht="15" customHeight="1" s="12">
      <c r="A39" s="19" t="inlineStr">
        <is>
          <t>Other revenue</t>
        </is>
      </c>
      <c r="B39" s="20" t="n"/>
      <c r="C39" s="20" t="n"/>
    </row>
    <row r="40" ht="15" customHeight="1" s="12">
      <c r="A40" s="21" t="inlineStr">
        <is>
          <t>*Total revenue</t>
        </is>
      </c>
      <c r="B40" s="22">
        <f>1*B16+1*B26+1*B30+1*B35+1*B36+1*B37+1*B38+1*B39</f>
        <v/>
      </c>
      <c r="C40" s="22">
        <f>1*C16+1*C26+1*C30+1*C35+1*C36+1*C37+1*C38+1*C39</f>
        <v/>
      </c>
    </row>
    <row r="41" ht="15" customHeight="1" s="12">
      <c r="A41" s="15" t="inlineStr">
        <is>
          <t>Cost of sales</t>
        </is>
      </c>
      <c r="B41" s="24" t="n"/>
      <c r="C41" s="24" t="n"/>
    </row>
    <row r="42" ht="15" customHeight="1" s="12">
      <c r="A42" s="19" t="inlineStr">
        <is>
          <t>Cost of inventories</t>
        </is>
      </c>
      <c r="B42" s="20" t="n"/>
      <c r="C42" s="20" t="n"/>
    </row>
    <row r="43" ht="15" customHeight="1" s="12">
      <c r="A43" s="19" t="inlineStr">
        <is>
          <t>Construction contract costs</t>
        </is>
      </c>
      <c r="B43" s="20" t="n"/>
      <c r="C43" s="20" t="n"/>
    </row>
    <row r="44" ht="15" customHeight="1" s="12">
      <c r="A44" s="19" t="inlineStr">
        <is>
          <t>Energy costs</t>
        </is>
      </c>
      <c r="B44" s="20" t="n"/>
      <c r="C44" s="20" t="n"/>
    </row>
    <row r="45" ht="15" customHeight="1" s="12">
      <c r="A45" s="19" t="inlineStr">
        <is>
          <t>Property development costs</t>
        </is>
      </c>
      <c r="B45" s="20" t="n"/>
      <c r="C45" s="20" t="n"/>
    </row>
    <row r="46" ht="15" customHeight="1" s="12">
      <c r="A46" s="19" t="inlineStr">
        <is>
          <t>Other cost of sales</t>
        </is>
      </c>
      <c r="B46" s="20" t="n"/>
      <c r="C46" s="20" t="n"/>
    </row>
    <row r="47" ht="15" customHeight="1" s="12">
      <c r="A47" s="21" t="inlineStr">
        <is>
          <t>*Total cost of sales</t>
        </is>
      </c>
      <c r="B47" s="22">
        <f>1*B42+1*B43+1*B44+1*B45+1*B46</f>
        <v/>
      </c>
      <c r="C47" s="22">
        <f>1*C42+1*C43+1*C44+1*C45+1*C46</f>
        <v/>
      </c>
    </row>
    <row r="48" ht="15" customHeight="1" s="12">
      <c r="A48" s="15" t="inlineStr">
        <is>
          <t>Other income</t>
        </is>
      </c>
      <c r="B48" s="24" t="n"/>
      <c r="C48" s="24" t="n"/>
    </row>
    <row r="49" ht="15" customHeight="1" s="12">
      <c r="A49" s="19" t="inlineStr">
        <is>
          <t>Deferred income</t>
        </is>
      </c>
      <c r="B49" s="20" t="n"/>
      <c r="C49" s="20" t="n"/>
    </row>
    <row r="50" ht="15" customHeight="1" s="12">
      <c r="A50" s="19" t="inlineStr">
        <is>
          <t>Bad debts recovered</t>
        </is>
      </c>
      <c r="B50" s="20" t="n"/>
      <c r="C50" s="20" t="n"/>
    </row>
    <row r="51" ht="15" customHeight="1" s="12">
      <c r="A51" s="19" t="inlineStr">
        <is>
          <t>Dividend income</t>
        </is>
      </c>
      <c r="B51" s="20" t="n"/>
      <c r="C51" s="20" t="n"/>
    </row>
    <row r="52" ht="15" customHeight="1" s="12">
      <c r="A52" s="19" t="inlineStr">
        <is>
          <t>Royalty/franchise income</t>
        </is>
      </c>
      <c r="B52" s="20" t="n"/>
      <c r="C52" s="20" t="n"/>
    </row>
    <row r="53" ht="15" customHeight="1" s="12">
      <c r="A53" s="19" t="inlineStr">
        <is>
          <t>Write back of fuel cost</t>
        </is>
      </c>
      <c r="B53" s="20" t="n"/>
      <c r="C53" s="20" t="n"/>
    </row>
    <row r="54" ht="15" customHeight="1" s="12">
      <c r="A54" s="19" t="inlineStr">
        <is>
          <t>Income from reimbursements under insurance policies</t>
        </is>
      </c>
      <c r="B54" s="20" t="n"/>
      <c r="C54" s="20" t="n"/>
    </row>
    <row r="55" ht="15" customHeight="1" s="12">
      <c r="A55" s="19" t="inlineStr">
        <is>
          <t>Grant or incentives by Malaysian government or it's agencies</t>
        </is>
      </c>
      <c r="B55" s="20" t="n"/>
      <c r="C55" s="20" t="n"/>
    </row>
    <row r="56" ht="15" customHeight="1" s="12">
      <c r="A56" s="19" t="inlineStr">
        <is>
          <t>Grant or incentives by foreign government or it's agencies</t>
        </is>
      </c>
      <c r="B56" s="20" t="n"/>
      <c r="C56" s="20" t="n"/>
    </row>
    <row r="57" ht="15" customHeight="1" s="12">
      <c r="A57" s="19" t="inlineStr">
        <is>
          <t>Contributions or donations by local contributor</t>
        </is>
      </c>
      <c r="B57" s="20" t="n"/>
      <c r="C57" s="20" t="n"/>
    </row>
    <row r="58" ht="15" customHeight="1" s="12">
      <c r="A58" s="19" t="inlineStr">
        <is>
          <t>Contributions or donations by foreign contributor</t>
        </is>
      </c>
      <c r="B58" s="20" t="n"/>
      <c r="C58" s="20" t="n"/>
    </row>
    <row r="59" ht="15" customHeight="1" s="12">
      <c r="A59" s="19" t="inlineStr">
        <is>
          <t>Contributions or donations by unknown contributor</t>
        </is>
      </c>
      <c r="B59" s="20" t="n"/>
      <c r="C59" s="20" t="n"/>
    </row>
    <row r="60" ht="15" customHeight="1" s="12">
      <c r="A60" s="15" t="inlineStr">
        <is>
          <t>Foreign exchange gain</t>
        </is>
      </c>
      <c r="B60" s="24" t="n"/>
      <c r="C60" s="24" t="n"/>
    </row>
    <row r="61" ht="15" customHeight="1" s="12">
      <c r="A61" s="19" t="inlineStr">
        <is>
          <t>Realised gain on foreign exchange</t>
        </is>
      </c>
      <c r="B61" s="20" t="n"/>
      <c r="C61" s="20" t="n"/>
    </row>
    <row r="62" ht="15" customHeight="1" s="12">
      <c r="A62" s="19" t="inlineStr">
        <is>
          <t>Unrealised gain on foreign exchange</t>
        </is>
      </c>
      <c r="B62" s="20" t="n"/>
      <c r="C62" s="20" t="n"/>
    </row>
    <row r="63" ht="15" customHeight="1" s="12">
      <c r="A63" s="21" t="inlineStr">
        <is>
          <t>Total foreign exchange gain</t>
        </is>
      </c>
      <c r="B63" s="22">
        <f>1*B61+1*B62</f>
        <v/>
      </c>
      <c r="C63" s="22">
        <f>1*C61+1*C62</f>
        <v/>
      </c>
    </row>
    <row r="64" ht="15" customHeight="1" s="12">
      <c r="A64" s="15" t="inlineStr">
        <is>
          <t>Gain on disposal of subsidiaries, associates and joint ventures</t>
        </is>
      </c>
      <c r="B64" s="24" t="n"/>
      <c r="C64" s="24" t="n"/>
    </row>
    <row r="65" ht="15" customHeight="1" s="12">
      <c r="A65" s="19" t="inlineStr">
        <is>
          <t>Gain on disposal of subsidiaries</t>
        </is>
      </c>
      <c r="B65" s="20" t="n"/>
      <c r="C65" s="20" t="n"/>
    </row>
    <row r="66" ht="15" customHeight="1" s="12">
      <c r="A66" s="19" t="inlineStr">
        <is>
          <t>Gain on disposal of associates</t>
        </is>
      </c>
      <c r="B66" s="20" t="n"/>
      <c r="C66" s="20" t="n"/>
    </row>
    <row r="67" ht="15" customHeight="1" s="12">
      <c r="A67" s="19" t="inlineStr">
        <is>
          <t>Gain on disposal of joint ventures</t>
        </is>
      </c>
      <c r="B67" s="20" t="n"/>
      <c r="C67" s="20" t="n"/>
    </row>
    <row r="68" ht="23.85" customHeight="1" s="12">
      <c r="A68" s="21" t="inlineStr">
        <is>
          <t>Total gain on disposal of subsidiaries, associates and joint ventures</t>
        </is>
      </c>
      <c r="B68" s="22">
        <f>1*B65+1*B66+1*B67</f>
        <v/>
      </c>
      <c r="C68" s="22">
        <f>1*C65+1*C66+1*C67</f>
        <v/>
      </c>
    </row>
    <row r="69" ht="15" customHeight="1" s="12">
      <c r="A69" s="19" t="inlineStr">
        <is>
          <t>Gain on disposal from other investments</t>
        </is>
      </c>
      <c r="B69" s="20" t="n"/>
      <c r="C69" s="20" t="n"/>
    </row>
    <row r="70" ht="15" customHeight="1" s="12">
      <c r="A70" s="19" t="inlineStr">
        <is>
          <t>Gains on disposals of property, plant and equipment</t>
        </is>
      </c>
      <c r="B70" s="20" t="n"/>
      <c r="C70" s="20" t="n"/>
    </row>
    <row r="71" ht="15" customHeight="1" s="12">
      <c r="A71" s="19" t="inlineStr">
        <is>
          <t>Gains on disposals of other non-current assets</t>
        </is>
      </c>
      <c r="B71" s="20" t="n"/>
      <c r="C71" s="20" t="n"/>
    </row>
    <row r="72" ht="23.85" customHeight="1" s="12">
      <c r="A72" s="19" t="inlineStr">
        <is>
          <t>Other gains recognised in profit or loss, fair value measurement, assets</t>
        </is>
      </c>
      <c r="B72" s="20" t="n"/>
      <c r="C72" s="20" t="n"/>
    </row>
    <row r="73" ht="15" customHeight="1" s="12">
      <c r="A73" s="15" t="inlineStr">
        <is>
          <t>Reversal of impairment loss recognised in profit or loss</t>
        </is>
      </c>
      <c r="B73" s="24" t="n"/>
      <c r="C73" s="24" t="n"/>
    </row>
    <row r="74" ht="15" customHeight="1" s="12">
      <c r="A74" s="19" t="inlineStr">
        <is>
          <t>Reversal of impairment loss on receivables</t>
        </is>
      </c>
      <c r="B74" s="20" t="n"/>
      <c r="C74" s="20" t="n"/>
    </row>
    <row r="75" ht="15" customHeight="1" s="12">
      <c r="A75" s="19" t="inlineStr">
        <is>
          <t>Reversal of impairment in development expenditure</t>
        </is>
      </c>
      <c r="B75" s="20" t="n"/>
      <c r="C75" s="20" t="n"/>
    </row>
    <row r="76" ht="15" customHeight="1" s="12">
      <c r="A76" s="19" t="inlineStr">
        <is>
          <t>Reversal of impairment in land held for property development</t>
        </is>
      </c>
      <c r="B76" s="20" t="n"/>
      <c r="C76" s="20" t="n"/>
    </row>
    <row r="77" ht="15" customHeight="1" s="12">
      <c r="A77" s="19" t="inlineStr">
        <is>
          <t>Reversal of impairment in property, plant and equipment</t>
        </is>
      </c>
      <c r="B77" s="20" t="n"/>
      <c r="C77" s="20" t="n"/>
    </row>
    <row r="78" ht="15" customHeight="1" s="12">
      <c r="A78" s="19" t="inlineStr">
        <is>
          <t>Reversal of impairment in other assets</t>
        </is>
      </c>
      <c r="B78" s="20" t="n"/>
      <c r="C78" s="20" t="n"/>
    </row>
    <row r="79" ht="15" customHeight="1" s="12">
      <c r="A79" s="21" t="inlineStr">
        <is>
          <t>Total reversal of impairment loss recognised in profit or loss</t>
        </is>
      </c>
      <c r="B79" s="22">
        <f>1*B75+1*B76+1*B77+1*B78</f>
        <v/>
      </c>
      <c r="C79" s="22">
        <f>1*C75+1*C76+1*C77+1*C78</f>
        <v/>
      </c>
    </row>
    <row r="80" ht="15" customHeight="1" s="12">
      <c r="A80" s="19" t="inlineStr">
        <is>
          <t>Reversal of inventories written down to net realisable value</t>
        </is>
      </c>
      <c r="B80" s="20" t="n"/>
      <c r="C80" s="20" t="n"/>
    </row>
    <row r="81" ht="15" customHeight="1" s="12">
      <c r="A81" s="19" t="inlineStr">
        <is>
          <t>Interest income</t>
        </is>
      </c>
      <c r="B81" s="20" t="n"/>
      <c r="C81" s="20" t="n"/>
    </row>
    <row r="82" ht="15" customHeight="1" s="12">
      <c r="A82" s="19" t="inlineStr">
        <is>
          <t>Management fees</t>
        </is>
      </c>
      <c r="B82" s="20" t="n"/>
      <c r="C82" s="20" t="n"/>
    </row>
    <row r="83" ht="15" customHeight="1" s="12">
      <c r="A83" s="19" t="inlineStr">
        <is>
          <t>Net deposits recognised</t>
        </is>
      </c>
      <c r="B83" s="20" t="n"/>
      <c r="C83" s="20" t="n"/>
    </row>
    <row r="84" ht="15" customHeight="1" s="12">
      <c r="A84" s="19" t="inlineStr">
        <is>
          <t>Net fair value gain on derivatives</t>
        </is>
      </c>
      <c r="B84" s="20" t="n"/>
      <c r="C84" s="20" t="n"/>
    </row>
    <row r="85" ht="23.85" customHeight="1" s="12">
      <c r="A85" s="19" t="inlineStr">
        <is>
          <t>Net fair value gain on recycle of forex reserve upon disposal of subsidiaries</t>
        </is>
      </c>
      <c r="B85" s="20" t="n"/>
      <c r="C85" s="20" t="n"/>
    </row>
    <row r="86" ht="15" customHeight="1" s="12">
      <c r="A86" s="19" t="inlineStr">
        <is>
          <t>Other fee and commission</t>
        </is>
      </c>
      <c r="B86" s="20" t="n"/>
      <c r="C86" s="20" t="n"/>
    </row>
    <row r="87" ht="15" customHeight="1" s="12">
      <c r="A87" s="19" t="inlineStr">
        <is>
          <t>Other rental income</t>
        </is>
      </c>
      <c r="B87" s="20" t="n"/>
      <c r="C87" s="20" t="n"/>
    </row>
    <row r="88" ht="15" customHeight="1" s="12">
      <c r="A88" s="19" t="inlineStr">
        <is>
          <t>Rental income on land and buildings</t>
        </is>
      </c>
      <c r="B88" s="20" t="n"/>
      <c r="C88" s="20" t="n"/>
    </row>
    <row r="89" ht="15" customHeight="1" s="12">
      <c r="A89" s="19" t="inlineStr">
        <is>
          <t>Other miscellaneous income</t>
        </is>
      </c>
      <c r="B89" s="20" t="n"/>
      <c r="C89" s="20" t="n"/>
    </row>
    <row r="90" ht="15" customHeight="1" s="12">
      <c r="A90" s="21" t="inlineStr">
        <is>
          <t>*Total other income</t>
        </is>
      </c>
      <c r="B90" s="22">
        <f>1*B49+1*B50+1*B51+1*B52+1*B53+1*B54+1*B55+1*B56+1*B57+1*B58+1*B59+1*B63+1*B68+1*B69+1*B70+1*B71+1*B72+1*B99+1*B80+1*B81+1*B82+1*B85+1*B86+1*B87+1*B88+1*B89+1*B84+1*B83</f>
        <v/>
      </c>
      <c r="C90" s="22">
        <f>1*C49+1*C50+1*C51+1*C52+1*C53+1*C54+1*C55+1*C56+1*C57+1*C58+1*C59+1*C63+1*C68+1*C69+1*C70+1*C71+1*C72+1*C99+1*C80+1*C81+1*C82+1*C85+1*C86+1*C87+1*C88+1*C89+1*C84+1*C83</f>
        <v/>
      </c>
    </row>
    <row r="91" ht="15" customHeight="1" s="12">
      <c r="A91" s="15" t="inlineStr">
        <is>
          <t>Other expenses</t>
        </is>
      </c>
      <c r="B91" s="24" t="n"/>
      <c r="C91" s="24" t="n"/>
    </row>
    <row r="92" ht="15" customHeight="1" s="12">
      <c r="A92" s="15" t="inlineStr">
        <is>
          <t>Auditor's remuneration</t>
        </is>
      </c>
      <c r="B92" s="24" t="n"/>
      <c r="C92" s="24" t="n"/>
    </row>
    <row r="93" ht="15" customHeight="1" s="12">
      <c r="A93" s="19" t="inlineStr">
        <is>
          <t>Auditor's remuneration for audit services</t>
        </is>
      </c>
      <c r="B93" s="20" t="n"/>
      <c r="C93" s="20" t="n"/>
    </row>
    <row r="94" ht="15" customHeight="1" s="12">
      <c r="A94" s="19" t="inlineStr">
        <is>
          <t>Auditor's remuneration for other services</t>
        </is>
      </c>
      <c r="B94" s="20" t="n"/>
      <c r="C94" s="20" t="n"/>
    </row>
    <row r="95" ht="15" customHeight="1" s="12">
      <c r="A95" s="21" t="inlineStr">
        <is>
          <t>*Total auditor's remuneration</t>
        </is>
      </c>
      <c r="B95" s="22">
        <f>1*B93+1*B94</f>
        <v/>
      </c>
      <c r="C95" s="22">
        <f>1*C93+1*C94</f>
        <v/>
      </c>
    </row>
    <row r="96" ht="15" customHeight="1" s="12">
      <c r="A96" s="19" t="inlineStr">
        <is>
          <t>Amortisation expense</t>
        </is>
      </c>
      <c r="B96" s="20" t="n"/>
      <c r="C96" s="20" t="n"/>
    </row>
    <row r="97" ht="15" customHeight="1" s="12">
      <c r="A97" s="19" t="inlineStr">
        <is>
          <t>Depreciation, property, plant and equipment</t>
        </is>
      </c>
      <c r="B97" s="20" t="n"/>
      <c r="C97" s="20" t="n"/>
    </row>
    <row r="98" ht="15" customHeight="1" s="12">
      <c r="A98" s="19" t="inlineStr">
        <is>
          <t>Natural disaster related expenses</t>
        </is>
      </c>
      <c r="B98" s="20" t="n"/>
      <c r="C98" s="20" t="n"/>
    </row>
    <row r="99" ht="15" customHeight="1" s="12">
      <c r="A99" s="15" t="inlineStr">
        <is>
          <t>Loss on disposal of subsidiaries, associates and joint ventures</t>
        </is>
      </c>
      <c r="B99" s="24" t="n"/>
      <c r="C99" s="24" t="n"/>
    </row>
    <row r="100" ht="15" customHeight="1" s="12">
      <c r="A100" s="19" t="inlineStr">
        <is>
          <t>Loss on disposal of subsidiaries</t>
        </is>
      </c>
      <c r="B100" s="20" t="n"/>
      <c r="C100" s="20" t="n"/>
    </row>
    <row r="101" ht="15" customHeight="1" s="12">
      <c r="A101" s="19" t="inlineStr">
        <is>
          <t>Loss on disposal of associates</t>
        </is>
      </c>
      <c r="B101" s="20" t="n"/>
      <c r="C101" s="20" t="n"/>
    </row>
    <row r="102" ht="15" customHeight="1" s="12">
      <c r="A102" s="19" t="inlineStr">
        <is>
          <t>Loss on disposal of joint ventures</t>
        </is>
      </c>
      <c r="B102" s="20" t="n"/>
      <c r="C102" s="20" t="n"/>
    </row>
    <row r="103" ht="23.85" customHeight="1" s="12">
      <c r="A103" s="21" t="inlineStr">
        <is>
          <t>Total loss on disposal of subsidiaries, associates and joint ventures</t>
        </is>
      </c>
      <c r="B103" s="22">
        <f>1*B100+1*B101+1*B102</f>
        <v/>
      </c>
      <c r="C103" s="22">
        <f>1*C100+1*C101+1*C102</f>
        <v/>
      </c>
    </row>
    <row r="104" ht="15" customHeight="1" s="12">
      <c r="A104" s="19" t="inlineStr">
        <is>
          <t>Loss on disposal from other investments</t>
        </is>
      </c>
      <c r="B104" s="20" t="n"/>
      <c r="C104" s="20" t="n"/>
    </row>
    <row r="105" ht="15" customHeight="1" s="12">
      <c r="A105" s="19" t="inlineStr">
        <is>
          <t>Losses on disposals of property, plant and equipment</t>
        </is>
      </c>
      <c r="B105" s="20" t="n"/>
      <c r="C105" s="20" t="n"/>
    </row>
    <row r="106" ht="15" customHeight="1" s="12">
      <c r="A106" s="19" t="inlineStr">
        <is>
          <t>Loss on disposal of other non-current assets</t>
        </is>
      </c>
      <c r="B106" s="20" t="n"/>
      <c r="C106" s="20" t="n"/>
    </row>
    <row r="107" ht="23.85" customHeight="1" s="12">
      <c r="A107" s="19" t="inlineStr">
        <is>
          <t>Other losses recognised in profit or loss, fair value measurement, assets</t>
        </is>
      </c>
      <c r="B107" s="20" t="n"/>
      <c r="C107" s="20" t="n"/>
    </row>
    <row r="108" ht="15" customHeight="1" s="12">
      <c r="A108" s="19" t="inlineStr">
        <is>
          <t>Rental expense</t>
        </is>
      </c>
      <c r="B108" s="20" t="n"/>
      <c r="C108" s="20" t="n"/>
    </row>
    <row r="109" ht="15" customHeight="1" s="12">
      <c r="A109" s="19" t="inlineStr">
        <is>
          <t>Royalty expense</t>
        </is>
      </c>
      <c r="B109" s="20" t="n"/>
      <c r="C109" s="20" t="n"/>
    </row>
    <row r="110" ht="15" customHeight="1" s="12">
      <c r="A110" s="15" t="inlineStr">
        <is>
          <t>Employee benefits expense</t>
        </is>
      </c>
      <c r="B110" s="24" t="n"/>
      <c r="C110" s="24" t="n"/>
    </row>
    <row r="111" ht="15" customHeight="1" s="12">
      <c r="A111" s="19" t="inlineStr">
        <is>
          <t>Wages, salaries and others</t>
        </is>
      </c>
      <c r="B111" s="20" t="n"/>
      <c r="C111" s="20" t="n"/>
    </row>
    <row r="112" ht="15" customHeight="1" s="12">
      <c r="A112" s="19" t="inlineStr">
        <is>
          <t>Bonus</t>
        </is>
      </c>
      <c r="B112" s="20" t="n"/>
      <c r="C112" s="20" t="n"/>
    </row>
    <row r="113" ht="15" customHeight="1" s="12">
      <c r="A113" s="19" t="inlineStr">
        <is>
          <t>Share-based compensation expense</t>
        </is>
      </c>
      <c r="B113" s="20" t="n"/>
      <c r="C113" s="20" t="n"/>
    </row>
    <row r="114" ht="15" customHeight="1" s="12">
      <c r="A114" s="19" t="inlineStr">
        <is>
          <t>Share option expenses</t>
        </is>
      </c>
      <c r="B114" s="20" t="n"/>
      <c r="C114" s="20" t="n"/>
    </row>
    <row r="115" ht="15" customHeight="1" s="12">
      <c r="A115" s="19" t="inlineStr">
        <is>
          <t>Social security contributions</t>
        </is>
      </c>
      <c r="B115" s="20" t="n"/>
      <c r="C115" s="20" t="n"/>
    </row>
    <row r="116" ht="15" customHeight="1" s="12">
      <c r="A116" s="19" t="inlineStr">
        <is>
          <t>Defined benefit plans</t>
        </is>
      </c>
      <c r="B116" s="20" t="n"/>
      <c r="C116" s="20" t="n"/>
    </row>
    <row r="117" ht="15" customHeight="1" s="12">
      <c r="A117" s="19" t="inlineStr">
        <is>
          <t>Defined contribution plans</t>
        </is>
      </c>
      <c r="B117" s="20" t="n"/>
      <c r="C117" s="20" t="n"/>
    </row>
    <row r="118" ht="15" customHeight="1" s="12">
      <c r="A118" s="19" t="inlineStr">
        <is>
          <t>Other long-term employee benefits</t>
        </is>
      </c>
      <c r="B118" s="20" t="n"/>
      <c r="C118" s="20" t="n"/>
    </row>
    <row r="119" ht="15" customHeight="1" s="12">
      <c r="A119" s="19" t="inlineStr">
        <is>
          <t>Other short-term employee benefits</t>
        </is>
      </c>
      <c r="B119" s="20" t="n"/>
      <c r="C119" s="20" t="n"/>
    </row>
    <row r="120" ht="15" customHeight="1" s="12">
      <c r="A120" s="19" t="inlineStr">
        <is>
          <t>Other employee expense</t>
        </is>
      </c>
      <c r="B120" s="20" t="n"/>
      <c r="C120" s="20" t="n"/>
    </row>
    <row r="121" ht="15" customHeight="1" s="12">
      <c r="A121" s="21" t="inlineStr">
        <is>
          <t>*Total employee benefits expense</t>
        </is>
      </c>
      <c r="B121" s="22">
        <f>1*B111+1*B112+1*B113+1*B114+1*B115+1*B116+1*B117+1*B118+1*B119+1*B120</f>
        <v/>
      </c>
      <c r="C121" s="22">
        <f>1*C111+1*C112+1*C113+1*C114+1*C115+1*C116+1*C117+1*C118+1*C119+1*C120</f>
        <v/>
      </c>
    </row>
    <row r="122" ht="15" customHeight="1" s="12">
      <c r="A122" s="15" t="inlineStr">
        <is>
          <t>Director's remuneration</t>
        </is>
      </c>
      <c r="B122" s="24" t="n"/>
      <c r="C122" s="24" t="n"/>
    </row>
    <row r="123" ht="15" customHeight="1" s="12">
      <c r="A123" s="19" t="inlineStr">
        <is>
          <t>Salaries and other emoluments</t>
        </is>
      </c>
      <c r="B123" s="20" t="n"/>
      <c r="C123" s="20" t="n"/>
    </row>
    <row r="124" ht="15" customHeight="1" s="12">
      <c r="A124" s="19" t="inlineStr">
        <is>
          <t>Bonus</t>
        </is>
      </c>
      <c r="B124" s="20" t="n"/>
      <c r="C124" s="20" t="n"/>
    </row>
    <row r="125" ht="15" customHeight="1" s="12">
      <c r="A125" s="19" t="inlineStr">
        <is>
          <t>Benefits-in-kind</t>
        </is>
      </c>
      <c r="B125" s="20" t="n"/>
      <c r="C125" s="20" t="n"/>
    </row>
    <row r="126" ht="15" customHeight="1" s="12">
      <c r="A126" s="19" t="inlineStr">
        <is>
          <t>Fees</t>
        </is>
      </c>
      <c r="B126" s="20" t="n"/>
      <c r="C126" s="20" t="n"/>
    </row>
    <row r="127" ht="15" customHeight="1" s="12">
      <c r="A127" s="19" t="inlineStr">
        <is>
          <t>Performance incentives</t>
        </is>
      </c>
      <c r="B127" s="20" t="n"/>
      <c r="C127" s="20" t="n"/>
    </row>
    <row r="128" ht="15" customHeight="1" s="12">
      <c r="A128" s="19" t="inlineStr">
        <is>
          <t>Defined benefit plans</t>
        </is>
      </c>
      <c r="B128" s="20" t="n"/>
      <c r="C128" s="20" t="n"/>
    </row>
    <row r="129" ht="15" customHeight="1" s="12">
      <c r="A129" s="19" t="inlineStr">
        <is>
          <t>Defined contribution plans</t>
        </is>
      </c>
      <c r="B129" s="20" t="n"/>
      <c r="C129" s="20" t="n"/>
    </row>
    <row r="130" ht="15" customHeight="1" s="12">
      <c r="A130" s="19" t="inlineStr">
        <is>
          <t>Share option expenses</t>
        </is>
      </c>
      <c r="B130" s="20" t="n"/>
      <c r="C130" s="20" t="n"/>
    </row>
    <row r="131" ht="15" customHeight="1" s="12">
      <c r="A131" s="19" t="inlineStr">
        <is>
          <t>Other emoluments</t>
        </is>
      </c>
      <c r="B131" s="20" t="n"/>
      <c r="C131" s="20" t="n"/>
    </row>
    <row r="132" ht="15" customHeight="1" s="12">
      <c r="A132" s="21" t="inlineStr">
        <is>
          <t>Total director's remuneration</t>
        </is>
      </c>
      <c r="B132" s="22">
        <f>1*B123+1*B124+1*B125+1*B126+1*B127+1*B128+1*B129+1*B130+1*B131</f>
        <v/>
      </c>
      <c r="C132" s="22">
        <f>1*C123+1*C124+1*C125+1*C126+1*C127+1*C128+1*C129+1*C130+1*C131</f>
        <v/>
      </c>
    </row>
    <row r="133" ht="15" customHeight="1" s="12">
      <c r="A133" s="19" t="inlineStr">
        <is>
          <t>Other miscellaneous expenses</t>
        </is>
      </c>
      <c r="B133" s="20" t="n"/>
      <c r="C133" s="20" t="n"/>
    </row>
    <row r="134" ht="15" customHeight="1" s="12">
      <c r="A134" s="21" t="inlineStr">
        <is>
          <t>*Total other expenses</t>
        </is>
      </c>
      <c r="B134" s="22">
        <f>1*B95+1*B96+1*B97+1*B98+1*B103+1*B104+1*B105+1*B106+1*B107+1*B108+1*B109+1*B121+1*B132+1*B133</f>
        <v/>
      </c>
      <c r="C134" s="22">
        <f>1*C95+1*C96+1*C97+1*C98+1*C103+1*C104+1*C105+1*C106+1*C107+1*C108+1*C109+1*C121+1*C132+1*C133</f>
        <v/>
      </c>
    </row>
    <row r="135" ht="15" customHeight="1" s="12">
      <c r="A135" s="15" t="inlineStr">
        <is>
          <t>Finance income</t>
        </is>
      </c>
      <c r="B135" s="24" t="n"/>
      <c r="C135" s="24" t="n"/>
    </row>
    <row r="136" ht="15" customHeight="1" s="12">
      <c r="A136" s="19" t="inlineStr">
        <is>
          <t>Finance income due from related parties</t>
        </is>
      </c>
      <c r="B136" s="20" t="n"/>
      <c r="C136" s="20" t="n"/>
    </row>
    <row r="137" ht="15" customHeight="1" s="12">
      <c r="A137" s="19" t="inlineStr">
        <is>
          <t>Other finance income</t>
        </is>
      </c>
      <c r="B137" s="20" t="n"/>
      <c r="C137" s="20" t="n"/>
    </row>
    <row r="138" ht="15" customHeight="1" s="12">
      <c r="A138" s="21" t="inlineStr">
        <is>
          <t>*Total finance income</t>
        </is>
      </c>
      <c r="B138" s="22">
        <f>1*B136+1*B137</f>
        <v/>
      </c>
      <c r="C138" s="22">
        <f>1*C136+1*C137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2026-04-08T12:50:14Z</dcterms:modified>
  <cp:revision>0</cp:revision>
</cp:coreProperties>
</file>