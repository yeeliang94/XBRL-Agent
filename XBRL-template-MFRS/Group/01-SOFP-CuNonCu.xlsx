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FP-CuNonCu" sheetId="1" state="visible" r:id="rId1"/>
    <sheet xmlns:r="http://schemas.openxmlformats.org/officeDocument/2006/relationships" name="SOFP-Sub-CuNonCu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\(#,##0\);\-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i val="1"/>
      <sz val="11"/>
    </font>
    <font>
      <name val="Calibri"/>
      <charset val="1"/>
      <family val="0"/>
      <b val="1"/>
      <color rgb="FF1F3864"/>
      <sz val="14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E7E6E6"/>
        <bgColor rgb="FFD9DEE5"/>
      </patternFill>
    </fill>
    <fill>
      <patternFill patternType="solid">
        <fgColor rgb="FF1F3864"/>
        <bgColor rgb="FF333333"/>
      </patternFill>
    </fill>
    <fill>
      <patternFill patternType="solid">
        <fgColor rgb="FFF8FAFC"/>
        <bgColor rgb="FFFFFFFF"/>
      </patternFill>
    </fill>
    <fill>
      <patternFill patternType="solid">
        <fgColor rgb="FFEEF2F8"/>
        <bgColor rgb="FFF8FAFC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/>
      <bottom style="thin">
        <color rgb="FFD9DEE5"/>
      </bottom>
      <diagonal/>
    </border>
    <border>
      <left/>
      <right/>
      <top style="thin">
        <color rgb="FF1F3864"/>
      </top>
      <bottom style="thin">
        <color rgb="FF1F386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164" fontId="8" fillId="0" borderId="2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/>
    </xf>
    <xf numFmtId="164" fontId="9" fillId="4" borderId="2" applyAlignment="1" pivotButton="0" quotePrefix="0" xfId="0">
      <alignment horizontal="right" vertical="center"/>
    </xf>
    <xf numFmtId="0" fontId="8" fillId="5" borderId="3" applyAlignment="1" pivotButton="0" quotePrefix="0" xfId="0">
      <alignment horizontal="left" vertical="center"/>
    </xf>
    <xf numFmtId="164" fontId="8" fillId="5" borderId="3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164" fontId="8" fillId="0" borderId="2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/>
    </xf>
    <xf numFmtId="164" fontId="9" fillId="4" borderId="2" applyAlignment="1" pivotButton="0" quotePrefix="0" xfId="0">
      <alignment horizontal="right" vertical="center"/>
    </xf>
    <xf numFmtId="0" fontId="8" fillId="5" borderId="3" applyAlignment="1" pivotButton="0" quotePrefix="0" xfId="0">
      <alignment horizontal="left" vertical="center"/>
    </xf>
    <xf numFmtId="164" fontId="8" fillId="5" borderId="3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EF2F8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7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4" min="1" max="1"/>
    <col width="18" customWidth="1" style="14" min="2" max="3"/>
    <col width="40" customWidth="1" style="14" min="4" max="4"/>
    <col width="18" customWidth="1" style="14" min="5" max="5"/>
    <col width="20" customWidth="1" style="14" min="6" max="6"/>
  </cols>
  <sheetData>
    <row r="1" ht="19.5" customHeight="1" s="15">
      <c r="B1" s="16" t="inlineStr">
        <is>
          <t>Group</t>
        </is>
      </c>
      <c r="C1" s="17" t="n"/>
      <c r="D1" s="16" t="inlineStr">
        <is>
          <t>Company</t>
        </is>
      </c>
      <c r="E1" s="17" t="n"/>
      <c r="F1" s="16" t="inlineStr">
        <is>
          <t>Source</t>
        </is>
      </c>
    </row>
    <row r="2" ht="15" customHeight="1" s="15">
      <c r="B2" s="18" t="inlineStr">
        <is>
          <t>01/01/YYYY - 31/12/YYYY</t>
        </is>
      </c>
      <c r="C2" s="18" t="inlineStr">
        <is>
          <t>01/01/YYYY - 31/12/YYYY</t>
        </is>
      </c>
      <c r="D2" s="18" t="inlineStr">
        <is>
          <t>01/01/YYYY - 31/12/YYYY</t>
        </is>
      </c>
      <c r="E2" s="18" t="inlineStr">
        <is>
          <t>01/01/YYYY - 31/12/YYYY</t>
        </is>
      </c>
    </row>
    <row r="3" ht="24" customHeight="1" s="15">
      <c r="A3" s="19" t="inlineStr">
        <is>
          <t>Statement of financial position</t>
        </is>
      </c>
      <c r="D3" s="19" t="n"/>
    </row>
    <row r="4" ht="18" customHeight="1" s="15">
      <c r="A4" s="20" t="inlineStr">
        <is>
          <t>Statement of financial position</t>
        </is>
      </c>
      <c r="B4" s="21" t="n"/>
      <c r="C4" s="21" t="n"/>
      <c r="D4" s="21" t="n"/>
      <c r="E4" s="21" t="n"/>
    </row>
    <row r="5" ht="18" customHeight="1" s="15">
      <c r="A5" s="20" t="inlineStr">
        <is>
          <t>Statement of financial position</t>
        </is>
      </c>
      <c r="B5" s="21" t="n"/>
      <c r="C5" s="21" t="n"/>
      <c r="D5" s="21" t="n"/>
      <c r="E5" s="21" t="n"/>
    </row>
    <row r="6" ht="18" customHeight="1" s="15">
      <c r="A6" s="20" t="inlineStr">
        <is>
          <t>Assets</t>
        </is>
      </c>
      <c r="B6" s="21" t="n"/>
      <c r="C6" s="21" t="n"/>
      <c r="D6" s="21" t="n"/>
      <c r="E6" s="21" t="n"/>
    </row>
    <row r="7" ht="18" customHeight="1" s="15">
      <c r="A7" s="20" t="inlineStr">
        <is>
          <t>Non-current assets</t>
        </is>
      </c>
      <c r="B7" s="21" t="n"/>
      <c r="C7" s="21" t="n"/>
      <c r="D7" s="21" t="n"/>
      <c r="E7" s="21" t="n"/>
    </row>
    <row r="8" ht="18" customHeight="1" s="15">
      <c r="A8" s="22" t="inlineStr">
        <is>
          <t>*Property, plant and equipment</t>
        </is>
      </c>
      <c r="B8" s="23">
        <f>'SOFP-Sub-CuNonCu'!B39</f>
        <v/>
      </c>
      <c r="C8" s="23">
        <f>'SOFP-Sub-CuNonCu'!C39</f>
        <v/>
      </c>
      <c r="D8" s="23">
        <f>'SOFP-Sub-CuNonCu'!D39</f>
        <v/>
      </c>
      <c r="E8" s="23">
        <f>'SOFP-Sub-CuNonCu'!E39</f>
        <v/>
      </c>
    </row>
    <row r="9" ht="18" customHeight="1" s="15">
      <c r="A9" s="22" t="inlineStr">
        <is>
          <t>*Investment property</t>
        </is>
      </c>
      <c r="B9" s="23">
        <f>'SOFP-Sub-CuNonCu'!B49</f>
        <v/>
      </c>
      <c r="C9" s="23">
        <f>'SOFP-Sub-CuNonCu'!C49</f>
        <v/>
      </c>
      <c r="D9" s="23">
        <f>'SOFP-Sub-CuNonCu'!D49</f>
        <v/>
      </c>
      <c r="E9" s="23">
        <f>'SOFP-Sub-CuNonCu'!E49</f>
        <v/>
      </c>
    </row>
    <row r="10" ht="18" customHeight="1" s="15">
      <c r="A10" s="24" t="inlineStr">
        <is>
          <t>Biological assets</t>
        </is>
      </c>
      <c r="B10" s="25" t="n"/>
      <c r="C10" s="25" t="n"/>
      <c r="D10" s="25" t="n"/>
      <c r="E10" s="25" t="n"/>
    </row>
    <row r="11" ht="18" customHeight="1" s="15">
      <c r="A11" s="24" t="inlineStr">
        <is>
          <t>Right-of-use assets</t>
        </is>
      </c>
      <c r="B11" s="25" t="n"/>
      <c r="C11" s="25" t="n"/>
      <c r="D11" s="25" t="n"/>
      <c r="E11" s="25" t="n"/>
    </row>
    <row r="12" ht="18" customHeight="1" s="15">
      <c r="A12" s="24" t="inlineStr">
        <is>
          <t>Service concession assets</t>
        </is>
      </c>
      <c r="B12" s="25" t="n"/>
      <c r="C12" s="25" t="n"/>
      <c r="D12" s="25" t="n"/>
      <c r="E12" s="25" t="n"/>
    </row>
    <row r="13" ht="18" customHeight="1" s="15">
      <c r="A13" s="22" t="inlineStr">
        <is>
          <t>*Intangible assets</t>
        </is>
      </c>
      <c r="B13" s="23">
        <f>'SOFP-Sub-CuNonCu'!B69</f>
        <v/>
      </c>
      <c r="C13" s="23">
        <f>'SOFP-Sub-CuNonCu'!C69</f>
        <v/>
      </c>
      <c r="D13" s="23">
        <f>'SOFP-Sub-CuNonCu'!D69</f>
        <v/>
      </c>
      <c r="E13" s="23">
        <f>'SOFP-Sub-CuNonCu'!E69</f>
        <v/>
      </c>
    </row>
    <row r="14" ht="18" customHeight="1" s="15">
      <c r="A14" s="22" t="inlineStr">
        <is>
          <t>*Investments in subsidiaries</t>
        </is>
      </c>
      <c r="B14" s="23">
        <f>'SOFP-Sub-CuNonCu'!B77</f>
        <v/>
      </c>
      <c r="C14" s="23">
        <f>'SOFP-Sub-CuNonCu'!C77</f>
        <v/>
      </c>
      <c r="D14" s="23">
        <f>'SOFP-Sub-CuNonCu'!D77</f>
        <v/>
      </c>
      <c r="E14" s="23">
        <f>'SOFP-Sub-CuNonCu'!E77</f>
        <v/>
      </c>
    </row>
    <row r="15" ht="18" customHeight="1" s="15">
      <c r="A15" s="22" t="inlineStr">
        <is>
          <t>*Investments in associates</t>
        </is>
      </c>
      <c r="B15" s="23">
        <f>'SOFP-Sub-CuNonCu'!B86</f>
        <v/>
      </c>
      <c r="C15" s="23">
        <f>'SOFP-Sub-CuNonCu'!C86</f>
        <v/>
      </c>
      <c r="D15" s="23">
        <f>'SOFP-Sub-CuNonCu'!D86</f>
        <v/>
      </c>
      <c r="E15" s="23">
        <f>'SOFP-Sub-CuNonCu'!E86</f>
        <v/>
      </c>
    </row>
    <row r="16" ht="18" customHeight="1" s="15">
      <c r="A16" s="22" t="inlineStr">
        <is>
          <t>*Investments in joint ventures</t>
        </is>
      </c>
      <c r="B16" s="23">
        <f>'SOFP-Sub-CuNonCu'!B95</f>
        <v/>
      </c>
      <c r="C16" s="23">
        <f>'SOFP-Sub-CuNonCu'!C95</f>
        <v/>
      </c>
      <c r="D16" s="23">
        <f>'SOFP-Sub-CuNonCu'!D95</f>
        <v/>
      </c>
      <c r="E16" s="23">
        <f>'SOFP-Sub-CuNonCu'!E95</f>
        <v/>
      </c>
    </row>
    <row r="17" ht="18" customHeight="1" s="15">
      <c r="A17" s="22" t="inlineStr">
        <is>
          <t>*Other investments</t>
        </is>
      </c>
      <c r="B17" s="25" t="n"/>
      <c r="C17" s="25" t="n"/>
      <c r="D17" s="25" t="n"/>
      <c r="E17" s="25" t="n"/>
    </row>
    <row r="18" ht="18" customHeight="1" s="15">
      <c r="A18" s="22" t="inlineStr">
        <is>
          <t>*Trade and other non-current receivables</t>
        </is>
      </c>
      <c r="B18" s="23">
        <f>'SOFP-Sub-CuNonCu'!B120</f>
        <v/>
      </c>
      <c r="C18" s="23">
        <f>'SOFP-Sub-CuNonCu'!C120</f>
        <v/>
      </c>
      <c r="D18" s="23">
        <f>'SOFP-Sub-CuNonCu'!D120</f>
        <v/>
      </c>
      <c r="E18" s="23">
        <f>'SOFP-Sub-CuNonCu'!E120</f>
        <v/>
      </c>
    </row>
    <row r="19" ht="18" customHeight="1" s="15">
      <c r="A19" s="24" t="inlineStr">
        <is>
          <t>Contract assets</t>
        </is>
      </c>
      <c r="B19" s="25" t="n"/>
      <c r="C19" s="25" t="n"/>
      <c r="D19" s="25" t="n"/>
      <c r="E19" s="25" t="n"/>
    </row>
    <row r="20" ht="18" customHeight="1" s="15">
      <c r="A20" s="24" t="inlineStr">
        <is>
          <t>Deferred tax assets</t>
        </is>
      </c>
      <c r="B20" s="25" t="n"/>
      <c r="C20" s="25" t="n"/>
      <c r="D20" s="25" t="n"/>
      <c r="E20" s="25" t="n"/>
    </row>
    <row r="21" ht="18" customHeight="1" s="15">
      <c r="A21" s="22" t="inlineStr">
        <is>
          <t>*Derivative financial assets</t>
        </is>
      </c>
      <c r="B21" s="23">
        <f>'SOFP-Sub-CuNonCu'!B129</f>
        <v/>
      </c>
      <c r="C21" s="23">
        <f>'SOFP-Sub-CuNonCu'!C129</f>
        <v/>
      </c>
      <c r="D21" s="23">
        <f>'SOFP-Sub-CuNonCu'!D129</f>
        <v/>
      </c>
      <c r="E21" s="23">
        <f>'SOFP-Sub-CuNonCu'!E129</f>
        <v/>
      </c>
    </row>
    <row r="22" ht="18" customHeight="1" s="15">
      <c r="A22" s="22" t="inlineStr">
        <is>
          <t>*Other non-current assets</t>
        </is>
      </c>
      <c r="B22" s="23">
        <f>'SOFP-Sub-CuNonCu'!B198</f>
        <v/>
      </c>
      <c r="C22" s="23">
        <f>'SOFP-Sub-CuNonCu'!C198</f>
        <v/>
      </c>
      <c r="D22" s="23">
        <f>'SOFP-Sub-CuNonCu'!D198</f>
        <v/>
      </c>
      <c r="E22" s="23">
        <f>'SOFP-Sub-CuNonCu'!E198</f>
        <v/>
      </c>
    </row>
    <row r="23" ht="18" customHeight="1" s="15">
      <c r="A23" s="26" t="inlineStr">
        <is>
          <t>*Total non-current assets</t>
        </is>
      </c>
      <c r="B23" s="27">
        <f>1*B8+1*B9+1*B10+1*B11+1*B12+1*B13+1*B14+1*B15+1*B16+1*B17+1*B18+1*B19+1*B20+1*B21+1*B22</f>
        <v/>
      </c>
      <c r="C23" s="27">
        <f>1*C8+1*C9+1*C10+1*C11+1*C12+1*C13+1*C14+1*C15+1*C16+1*C17+1*C18+1*C19+1*C20+1*C21+1*C22</f>
        <v/>
      </c>
      <c r="D23" s="27">
        <f>1*D8+1*D9+1*D10+1*D11+1*D12+1*D13+1*D14+1*D15+1*D16+1*D17+1*D18+1*D19+1*D20+1*D21+1*D22</f>
        <v/>
      </c>
      <c r="E23" s="27">
        <f>1*E8+1*E9+1*E10+1*E11+1*E12+1*E13+1*E14+1*E15+1*E16+1*E17+1*E18+1*E19+1*E20+1*E21+1*E22</f>
        <v/>
      </c>
    </row>
    <row r="24" ht="18" customHeight="1" s="15">
      <c r="A24" s="20" t="inlineStr">
        <is>
          <t>Current assets</t>
        </is>
      </c>
      <c r="B24" s="21" t="n"/>
      <c r="C24" s="21" t="n"/>
      <c r="D24" s="21" t="n"/>
      <c r="E24" s="21" t="n"/>
    </row>
    <row r="25" ht="18" customHeight="1" s="15">
      <c r="A25" s="22" t="inlineStr">
        <is>
          <t>*Inventories</t>
        </is>
      </c>
      <c r="B25" s="23">
        <f>'SOFP-Sub-CuNonCu'!B136</f>
        <v/>
      </c>
      <c r="C25" s="23">
        <f>'SOFP-Sub-CuNonCu'!C136</f>
        <v/>
      </c>
      <c r="D25" s="23">
        <f>'SOFP-Sub-CuNonCu'!D136</f>
        <v/>
      </c>
      <c r="E25" s="23">
        <f>'SOFP-Sub-CuNonCu'!E136</f>
        <v/>
      </c>
    </row>
    <row r="26" ht="18" customHeight="1" s="15">
      <c r="A26" s="24" t="inlineStr">
        <is>
          <t>Biological assets</t>
        </is>
      </c>
      <c r="B26" s="25" t="n"/>
      <c r="C26" s="25" t="n"/>
      <c r="D26" s="25" t="n"/>
      <c r="E26" s="25" t="n"/>
    </row>
    <row r="27" ht="18" customHeight="1" s="15">
      <c r="A27" s="24" t="inlineStr">
        <is>
          <t>Other investments</t>
        </is>
      </c>
      <c r="B27" s="25" t="n"/>
      <c r="C27" s="25" t="n"/>
      <c r="D27" s="25" t="n"/>
      <c r="E27" s="25" t="n"/>
    </row>
    <row r="28" ht="18" customHeight="1" s="15">
      <c r="A28" s="24" t="inlineStr">
        <is>
          <t>Current tax assets</t>
        </is>
      </c>
      <c r="B28" s="25" t="n"/>
      <c r="C28" s="25" t="n"/>
      <c r="D28" s="25" t="n"/>
      <c r="E28" s="25" t="n"/>
    </row>
    <row r="29" ht="18" customHeight="1" s="15">
      <c r="A29" s="22" t="inlineStr">
        <is>
          <t>*Trade and other current receivables</t>
        </is>
      </c>
      <c r="B29" s="23">
        <f>'SOFP-Sub-CuNonCu'!B169</f>
        <v/>
      </c>
      <c r="C29" s="23">
        <f>'SOFP-Sub-CuNonCu'!C169</f>
        <v/>
      </c>
      <c r="D29" s="23">
        <f>'SOFP-Sub-CuNonCu'!D169</f>
        <v/>
      </c>
      <c r="E29" s="23">
        <f>'SOFP-Sub-CuNonCu'!E169</f>
        <v/>
      </c>
    </row>
    <row r="30" ht="18" customHeight="1" s="15">
      <c r="A30" s="24" t="inlineStr">
        <is>
          <t>Contract assets</t>
        </is>
      </c>
      <c r="B30" s="25" t="n"/>
      <c r="C30" s="25" t="n"/>
      <c r="D30" s="25" t="n"/>
      <c r="E30" s="25" t="n"/>
    </row>
    <row r="31" ht="18" customHeight="1" s="15">
      <c r="A31" s="22" t="inlineStr">
        <is>
          <t>*Derivative financial assets</t>
        </is>
      </c>
      <c r="B31" s="23">
        <f>'SOFP-Sub-CuNonCu'!B178</f>
        <v/>
      </c>
      <c r="C31" s="23">
        <f>'SOFP-Sub-CuNonCu'!C178</f>
        <v/>
      </c>
      <c r="D31" s="23">
        <f>'SOFP-Sub-CuNonCu'!D178</f>
        <v/>
      </c>
      <c r="E31" s="23">
        <f>'SOFP-Sub-CuNonCu'!E178</f>
        <v/>
      </c>
    </row>
    <row r="32" ht="18" customHeight="1" s="15">
      <c r="A32" s="22" t="inlineStr">
        <is>
          <t>*Cash and cash equivalents</t>
        </is>
      </c>
      <c r="B32" s="23">
        <f>'SOFP-Sub-CuNonCu'!B193</f>
        <v/>
      </c>
      <c r="C32" s="23">
        <f>'SOFP-Sub-CuNonCu'!C193</f>
        <v/>
      </c>
      <c r="D32" s="23">
        <f>'SOFP-Sub-CuNonCu'!D193</f>
        <v/>
      </c>
      <c r="E32" s="23">
        <f>'SOFP-Sub-CuNonCu'!E193</f>
        <v/>
      </c>
    </row>
    <row r="33" ht="18" customHeight="1" s="15">
      <c r="A33" s="22" t="inlineStr">
        <is>
          <t>*Other current assets</t>
        </is>
      </c>
      <c r="B33" s="25" t="n"/>
      <c r="C33" s="25" t="n"/>
      <c r="D33" s="25" t="n"/>
      <c r="E33" s="25" t="n"/>
    </row>
    <row r="34" ht="18" customHeight="1" s="15">
      <c r="A34" s="26" t="inlineStr">
        <is>
          <t>Total current assets other than assets held for sale</t>
        </is>
      </c>
      <c r="B34" s="27">
        <f>1*B25+1*B26+1*B27+1*B28+1*B29+1*B30+1*B31+1*B32+1*B33</f>
        <v/>
      </c>
      <c r="C34" s="27">
        <f>1*C25+1*C26+1*C27+1*C28+1*C29+1*C30+1*C31+1*C32+1*C33</f>
        <v/>
      </c>
      <c r="D34" s="27">
        <f>1*D25+1*D26+1*D27+1*D28+1*D29+1*D30+1*D31+1*D32+1*D33</f>
        <v/>
      </c>
      <c r="E34" s="27">
        <f>1*E25+1*E26+1*E27+1*E28+1*E29+1*E30+1*E31+1*E32+1*E33</f>
        <v/>
      </c>
    </row>
    <row r="35" ht="18" customHeight="1" s="15">
      <c r="A35" s="24" t="inlineStr">
        <is>
          <t>Non-current assets or disposal groups classified as held for sale or as held for distribution to owners</t>
        </is>
      </c>
      <c r="B35" s="25" t="n"/>
      <c r="C35" s="25" t="n"/>
      <c r="D35" s="25" t="n"/>
      <c r="E35" s="25" t="n"/>
    </row>
    <row r="36" ht="18" customHeight="1" s="15">
      <c r="A36" s="26" t="inlineStr">
        <is>
          <t>*Total current assets</t>
        </is>
      </c>
      <c r="B36" s="27">
        <f>1*B25+1*B26+1*B27+1*B28+1*B29+1*B30+1*B31+1*B32+1*B33+1*B35</f>
        <v/>
      </c>
      <c r="C36" s="27">
        <f>1*C25+1*C26+1*C27+1*C28+1*C29+1*C30+1*C31+1*C32+1*C33+1*C35</f>
        <v/>
      </c>
      <c r="D36" s="27">
        <f>1*D25+1*D26+1*D27+1*D28+1*D29+1*D30+1*D31+1*D32+1*D33+1*D35</f>
        <v/>
      </c>
      <c r="E36" s="27">
        <f>1*E25+1*E26+1*E27+1*E28+1*E29+1*E30+1*E31+1*E32+1*E33+1*E35</f>
        <v/>
      </c>
    </row>
    <row r="37" ht="18" customHeight="1" s="15">
      <c r="A37" s="26" t="inlineStr">
        <is>
          <t>*Total assets</t>
        </is>
      </c>
      <c r="B37" s="27">
        <f>1*B8+1*B9+1*B10+1*B11+1*B12+1*B13+1*B14+1*B15+1*B16+1*B17+1*B18+1*B19+1*B20+1*B21+1*B22+1*B25+1*B26+1*B27+1*B28+1*B29+1*B30+1*B31+1*B32+1*B33+1*B35</f>
        <v/>
      </c>
      <c r="C37" s="27">
        <f>1*C8+1*C9+1*C10+1*C11+1*C12+1*C13+1*C14+1*C15+1*C16+1*C17+1*C18+1*C19+1*C20+1*C21+1*C22+1*C25+1*C26+1*C27+1*C28+1*C29+1*C30+1*C31+1*C32+1*C33+1*C35</f>
        <v/>
      </c>
      <c r="D37" s="27">
        <f>1*D8+1*D9+1*D10+1*D11+1*D12+1*D13+1*D14+1*D15+1*D16+1*D17+1*D18+1*D19+1*D20+1*D21+1*D22+1*D25+1*D26+1*D27+1*D28+1*D29+1*D30+1*D31+1*D32+1*D33+1*D35</f>
        <v/>
      </c>
      <c r="E37" s="27">
        <f>1*E8+1*E9+1*E10+1*E11+1*E12+1*E13+1*E14+1*E15+1*E16+1*E17+1*E18+1*E19+1*E20+1*E21+1*E22+1*E25+1*E26+1*E27+1*E28+1*E29+1*E30+1*E31+1*E32+1*E33+1*E35</f>
        <v/>
      </c>
    </row>
    <row r="38" ht="18" customHeight="1" s="15">
      <c r="A38" s="20" t="inlineStr">
        <is>
          <t>Equity and liabilities</t>
        </is>
      </c>
      <c r="B38" s="21" t="n"/>
      <c r="C38" s="21" t="n"/>
      <c r="D38" s="21" t="n"/>
      <c r="E38" s="21" t="n"/>
    </row>
    <row r="39" ht="18" customHeight="1" s="15">
      <c r="A39" s="20" t="inlineStr">
        <is>
          <t>Equity</t>
        </is>
      </c>
      <c r="B39" s="21" t="n"/>
      <c r="C39" s="21" t="n"/>
      <c r="D39" s="21" t="n"/>
      <c r="E39" s="21" t="n"/>
    </row>
    <row r="40" ht="18" customHeight="1" s="15">
      <c r="A40" s="22" t="inlineStr">
        <is>
          <t>*Issued capital</t>
        </is>
      </c>
      <c r="B40" s="23">
        <f>'SOFP-Sub-CuNonCu'!B203</f>
        <v/>
      </c>
      <c r="C40" s="23">
        <f>'SOFP-Sub-CuNonCu'!C203</f>
        <v/>
      </c>
      <c r="D40" s="23">
        <f>'SOFP-Sub-CuNonCu'!D203</f>
        <v/>
      </c>
      <c r="E40" s="23">
        <f>'SOFP-Sub-CuNonCu'!E203</f>
        <v/>
      </c>
    </row>
    <row r="41" ht="18" customHeight="1" s="15">
      <c r="A41" s="22" t="inlineStr">
        <is>
          <t>*Retained earnings</t>
        </is>
      </c>
      <c r="B41" s="25" t="n"/>
      <c r="C41" s="25" t="n"/>
      <c r="D41" s="25" t="n"/>
      <c r="E41" s="25" t="n"/>
    </row>
    <row r="42" ht="18" customHeight="1" s="15">
      <c r="A42" s="24" t="inlineStr">
        <is>
          <t>Treasury shares</t>
        </is>
      </c>
      <c r="B42" s="25" t="n"/>
      <c r="C42" s="25" t="n"/>
      <c r="D42" s="25" t="n"/>
      <c r="E42" s="25" t="n"/>
    </row>
    <row r="43" ht="18" customHeight="1" s="15">
      <c r="A43" s="22" t="inlineStr">
        <is>
          <t>*Reserves</t>
        </is>
      </c>
      <c r="B43" s="23">
        <f>'SOFP-Sub-CuNonCu'!B222</f>
        <v/>
      </c>
      <c r="C43" s="23">
        <f>'SOFP-Sub-CuNonCu'!C222</f>
        <v/>
      </c>
      <c r="D43" s="23">
        <f>'SOFP-Sub-CuNonCu'!D222</f>
        <v/>
      </c>
      <c r="E43" s="23">
        <f>'SOFP-Sub-CuNonCu'!E222</f>
        <v/>
      </c>
    </row>
    <row r="44" ht="18" customHeight="1" s="15">
      <c r="A44" s="26" t="inlineStr">
        <is>
          <t>*Total equity attributable to owners</t>
        </is>
      </c>
      <c r="B44" s="27">
        <f>1*B40+1*B41+-1*B42+1*B43</f>
        <v/>
      </c>
      <c r="C44" s="27">
        <f>1*C40+1*C41+-1*C42+1*C43</f>
        <v/>
      </c>
      <c r="D44" s="27">
        <f>1*D40+1*D41+-1*D42+1*D43</f>
        <v/>
      </c>
      <c r="E44" s="27">
        <f>1*E40+1*E41+-1*E42+1*E43</f>
        <v/>
      </c>
    </row>
    <row r="45" ht="18" customHeight="1" s="15">
      <c r="A45" s="22" t="inlineStr">
        <is>
          <t>*Equity - other components</t>
        </is>
      </c>
      <c r="B45" s="23">
        <f>'SOFP-Sub-CuNonCu'!B229</f>
        <v/>
      </c>
      <c r="C45" s="23">
        <f>'SOFP-Sub-CuNonCu'!C229</f>
        <v/>
      </c>
      <c r="D45" s="23">
        <f>'SOFP-Sub-CuNonCu'!D229</f>
        <v/>
      </c>
      <c r="E45" s="23">
        <f>'SOFP-Sub-CuNonCu'!E229</f>
        <v/>
      </c>
    </row>
    <row r="46" ht="18" customHeight="1" s="15">
      <c r="A46" s="22" t="inlineStr">
        <is>
          <t>*Non-controlling interests</t>
        </is>
      </c>
      <c r="B46" s="25" t="n"/>
      <c r="C46" s="25" t="n"/>
      <c r="D46" s="25" t="n"/>
      <c r="E46" s="25" t="n"/>
    </row>
    <row r="47" ht="18" customHeight="1" s="15">
      <c r="A47" s="26" t="inlineStr">
        <is>
          <t>*Total equity</t>
        </is>
      </c>
      <c r="B47" s="27">
        <f>1*B40+1*B41+-1*B42+1*B43+1*B45+1*B46</f>
        <v/>
      </c>
      <c r="C47" s="27">
        <f>1*C40+1*C41+-1*C42+1*C43+1*C45+1*C46</f>
        <v/>
      </c>
      <c r="D47" s="27">
        <f>1*D40+1*D41+-1*D42+1*D43+1*D45+1*D46</f>
        <v/>
      </c>
      <c r="E47" s="27">
        <f>1*E40+1*E41+-1*E42+1*E43+1*E45+1*E46</f>
        <v/>
      </c>
    </row>
    <row r="48" ht="18" customHeight="1" s="15">
      <c r="A48" s="20" t="inlineStr">
        <is>
          <t>Liabilities</t>
        </is>
      </c>
      <c r="B48" s="21" t="n"/>
      <c r="C48" s="21" t="n"/>
      <c r="D48" s="21" t="n"/>
      <c r="E48" s="21" t="n"/>
    </row>
    <row r="49" ht="18" customHeight="1" s="15">
      <c r="A49" s="20" t="inlineStr">
        <is>
          <t>Non-current liabilities</t>
        </is>
      </c>
      <c r="B49" s="21" t="n"/>
      <c r="C49" s="21" t="n"/>
      <c r="D49" s="21" t="n"/>
      <c r="E49" s="21" t="n"/>
    </row>
    <row r="50" ht="18" customHeight="1" s="15">
      <c r="A50" s="24" t="inlineStr">
        <is>
          <t>Service concession liabilities</t>
        </is>
      </c>
      <c r="B50" s="25" t="n"/>
      <c r="C50" s="25" t="n"/>
      <c r="D50" s="25" t="n"/>
      <c r="E50" s="25" t="n"/>
    </row>
    <row r="51" ht="18" customHeight="1" s="15">
      <c r="A51" s="22" t="inlineStr">
        <is>
          <t>*Borrowings</t>
        </is>
      </c>
      <c r="B51" s="23">
        <f>'SOFP-Sub-CuNonCu'!B271</f>
        <v/>
      </c>
      <c r="C51" s="23">
        <f>'SOFP-Sub-CuNonCu'!C271</f>
        <v/>
      </c>
      <c r="D51" s="23">
        <f>'SOFP-Sub-CuNonCu'!D271</f>
        <v/>
      </c>
      <c r="E51" s="23">
        <f>'SOFP-Sub-CuNonCu'!E271</f>
        <v/>
      </c>
    </row>
    <row r="52" ht="18" customHeight="1" s="15">
      <c r="A52" s="24" t="inlineStr">
        <is>
          <t>Lease liabilities</t>
        </is>
      </c>
      <c r="B52" s="25" t="n"/>
      <c r="C52" s="25" t="n"/>
      <c r="D52" s="25" t="n"/>
      <c r="E52" s="25" t="n"/>
    </row>
    <row r="53" ht="18" customHeight="1" s="15">
      <c r="A53" s="22" t="inlineStr">
        <is>
          <t>*Employee benefit liabilities</t>
        </is>
      </c>
      <c r="B53" s="23">
        <f>'SOFP-Sub-CuNonCu'!B280</f>
        <v/>
      </c>
      <c r="C53" s="23">
        <f>'SOFP-Sub-CuNonCu'!C280</f>
        <v/>
      </c>
      <c r="D53" s="23">
        <f>'SOFP-Sub-CuNonCu'!D280</f>
        <v/>
      </c>
      <c r="E53" s="23">
        <f>'SOFP-Sub-CuNonCu'!E280</f>
        <v/>
      </c>
    </row>
    <row r="54" ht="18" customHeight="1" s="15">
      <c r="A54" s="22" t="inlineStr">
        <is>
          <t>*Provisions</t>
        </is>
      </c>
      <c r="B54" s="23">
        <f>'SOFP-Sub-CuNonCu'!B289</f>
        <v/>
      </c>
      <c r="C54" s="23">
        <f>'SOFP-Sub-CuNonCu'!C289</f>
        <v/>
      </c>
      <c r="D54" s="23">
        <f>'SOFP-Sub-CuNonCu'!D289</f>
        <v/>
      </c>
      <c r="E54" s="23">
        <f>'SOFP-Sub-CuNonCu'!E289</f>
        <v/>
      </c>
    </row>
    <row r="55" ht="18" customHeight="1" s="15">
      <c r="A55" s="22" t="inlineStr">
        <is>
          <t>*Trade and other non-current payables</t>
        </is>
      </c>
      <c r="B55" s="23">
        <f>'SOFP-Sub-CuNonCu'!B321</f>
        <v/>
      </c>
      <c r="C55" s="23">
        <f>'SOFP-Sub-CuNonCu'!C321</f>
        <v/>
      </c>
      <c r="D55" s="23">
        <f>'SOFP-Sub-CuNonCu'!D321</f>
        <v/>
      </c>
      <c r="E55" s="23">
        <f>'SOFP-Sub-CuNonCu'!E321</f>
        <v/>
      </c>
    </row>
    <row r="56" ht="18" customHeight="1" s="15">
      <c r="A56" s="24" t="inlineStr">
        <is>
          <t>Contract liabilities</t>
        </is>
      </c>
      <c r="B56" s="25" t="n"/>
      <c r="C56" s="25" t="n"/>
      <c r="D56" s="25" t="n"/>
      <c r="E56" s="25" t="n"/>
    </row>
    <row r="57" ht="18" customHeight="1" s="15">
      <c r="A57" s="24" t="inlineStr">
        <is>
          <t>Deferred tax liabilities</t>
        </is>
      </c>
      <c r="B57" s="25" t="n"/>
      <c r="C57" s="25" t="n"/>
      <c r="D57" s="25" t="n"/>
      <c r="E57" s="25" t="n"/>
    </row>
    <row r="58" ht="18" customHeight="1" s="15">
      <c r="A58" s="22" t="inlineStr">
        <is>
          <t>*Derivative financial liabilities</t>
        </is>
      </c>
      <c r="B58" s="23">
        <f>'SOFP-Sub-CuNonCu'!B336</f>
        <v/>
      </c>
      <c r="C58" s="23">
        <f>'SOFP-Sub-CuNonCu'!C336</f>
        <v/>
      </c>
      <c r="D58" s="23">
        <f>'SOFP-Sub-CuNonCu'!D336</f>
        <v/>
      </c>
      <c r="E58" s="23">
        <f>'SOFP-Sub-CuNonCu'!E336</f>
        <v/>
      </c>
    </row>
    <row r="59" ht="18" customHeight="1" s="15">
      <c r="A59" s="24" t="inlineStr">
        <is>
          <t>Other non-current liabilities</t>
        </is>
      </c>
      <c r="B59" s="25" t="n"/>
      <c r="C59" s="25" t="n"/>
      <c r="D59" s="25" t="n"/>
      <c r="E59" s="25" t="n"/>
    </row>
    <row r="60" ht="18" customHeight="1" s="15">
      <c r="A60" s="26" t="inlineStr">
        <is>
          <t>*Total non-current liabilities</t>
        </is>
      </c>
      <c r="B60" s="27">
        <f>1*B50+1*B51+1*B52+1*B53+1*B54+1*B55+1*B56+1*B57+1*B58+1*B59</f>
        <v/>
      </c>
      <c r="C60" s="27">
        <f>1*C50+1*C51+1*C52+1*C53+1*C54+1*C55+1*C56+1*C57+1*C58+1*C59</f>
        <v/>
      </c>
      <c r="D60" s="27">
        <f>1*D50+1*D51+1*D52+1*D53+1*D54+1*D55+1*D56+1*D57+1*D58+1*D59</f>
        <v/>
      </c>
      <c r="E60" s="27">
        <f>1*E50+1*E51+1*E52+1*E53+1*E54+1*E55+1*E56+1*E57+1*E58+1*E59</f>
        <v/>
      </c>
    </row>
    <row r="61" ht="18" customHeight="1" s="15">
      <c r="A61" s="20" t="inlineStr">
        <is>
          <t>Current liabilities</t>
        </is>
      </c>
      <c r="B61" s="21" t="n"/>
      <c r="C61" s="21" t="n"/>
      <c r="D61" s="21" t="n"/>
      <c r="E61" s="21" t="n"/>
    </row>
    <row r="62" ht="18" customHeight="1" s="15">
      <c r="A62" s="22" t="inlineStr">
        <is>
          <t>*Borrowings</t>
        </is>
      </c>
      <c r="B62" s="23">
        <f>'SOFP-Sub-CuNonCu'!B383</f>
        <v/>
      </c>
      <c r="C62" s="23">
        <f>'SOFP-Sub-CuNonCu'!C383</f>
        <v/>
      </c>
      <c r="D62" s="23">
        <f>'SOFP-Sub-CuNonCu'!D383</f>
        <v/>
      </c>
      <c r="E62" s="23">
        <f>'SOFP-Sub-CuNonCu'!E383</f>
        <v/>
      </c>
    </row>
    <row r="63" ht="18" customHeight="1" s="15">
      <c r="A63" s="24" t="inlineStr">
        <is>
          <t>Lease liabilities</t>
        </is>
      </c>
      <c r="B63" s="25" t="n"/>
      <c r="C63" s="25" t="n"/>
      <c r="D63" s="25" t="n"/>
      <c r="E63" s="25" t="n"/>
    </row>
    <row r="64" ht="18" customHeight="1" s="15">
      <c r="A64" s="22" t="inlineStr">
        <is>
          <t>*Employee benefit liabilities</t>
        </is>
      </c>
      <c r="B64" s="23">
        <f>'SOFP-Sub-CuNonCu'!B392</f>
        <v/>
      </c>
      <c r="C64" s="23">
        <f>'SOFP-Sub-CuNonCu'!C392</f>
        <v/>
      </c>
      <c r="D64" s="23">
        <f>'SOFP-Sub-CuNonCu'!D392</f>
        <v/>
      </c>
      <c r="E64" s="23">
        <f>'SOFP-Sub-CuNonCu'!E392</f>
        <v/>
      </c>
    </row>
    <row r="65" ht="18" customHeight="1" s="15">
      <c r="A65" s="22" t="inlineStr">
        <is>
          <t>*Provisions</t>
        </is>
      </c>
      <c r="B65" s="23">
        <f>'SOFP-Sub-CuNonCu'!B401</f>
        <v/>
      </c>
      <c r="C65" s="23">
        <f>'SOFP-Sub-CuNonCu'!C401</f>
        <v/>
      </c>
      <c r="D65" s="23">
        <f>'SOFP-Sub-CuNonCu'!D401</f>
        <v/>
      </c>
      <c r="E65" s="23">
        <f>'SOFP-Sub-CuNonCu'!E401</f>
        <v/>
      </c>
    </row>
    <row r="66" ht="18" customHeight="1" s="15">
      <c r="A66" s="24" t="inlineStr">
        <is>
          <t>Current tax liabilities</t>
        </is>
      </c>
      <c r="B66" s="25" t="n"/>
      <c r="C66" s="25" t="n"/>
      <c r="D66" s="25" t="n"/>
      <c r="E66" s="25" t="n"/>
    </row>
    <row r="67" ht="18" customHeight="1" s="15">
      <c r="A67" s="22" t="inlineStr">
        <is>
          <t>*Trade and other current payables</t>
        </is>
      </c>
      <c r="B67" s="23">
        <f>'SOFP-Sub-CuNonCu'!B437</f>
        <v/>
      </c>
      <c r="C67" s="23">
        <f>'SOFP-Sub-CuNonCu'!C437</f>
        <v/>
      </c>
      <c r="D67" s="23">
        <f>'SOFP-Sub-CuNonCu'!D437</f>
        <v/>
      </c>
      <c r="E67" s="23">
        <f>'SOFP-Sub-CuNonCu'!E437</f>
        <v/>
      </c>
    </row>
    <row r="68" ht="18" customHeight="1" s="15">
      <c r="A68" s="24" t="inlineStr">
        <is>
          <t>Contract liabilities</t>
        </is>
      </c>
      <c r="B68" s="25" t="n"/>
      <c r="C68" s="25" t="n"/>
      <c r="D68" s="25" t="n"/>
      <c r="E68" s="25" t="n"/>
    </row>
    <row r="69" ht="18" customHeight="1" s="15">
      <c r="A69" s="22" t="inlineStr">
        <is>
          <t>*Derivative financial liabilities</t>
        </is>
      </c>
      <c r="B69" s="23">
        <f>'SOFP-Sub-CuNonCu'!B452</f>
        <v/>
      </c>
      <c r="C69" s="23">
        <f>'SOFP-Sub-CuNonCu'!C452</f>
        <v/>
      </c>
      <c r="D69" s="23">
        <f>'SOFP-Sub-CuNonCu'!D452</f>
        <v/>
      </c>
      <c r="E69" s="23">
        <f>'SOFP-Sub-CuNonCu'!E452</f>
        <v/>
      </c>
    </row>
    <row r="70" ht="18" customHeight="1" s="15">
      <c r="A70" s="24" t="inlineStr">
        <is>
          <t>Other current liabilities</t>
        </is>
      </c>
      <c r="B70" s="25" t="n"/>
      <c r="C70" s="25" t="n"/>
      <c r="D70" s="25" t="n"/>
      <c r="E70" s="25" t="n"/>
    </row>
    <row r="71" ht="18" customHeight="1" s="15">
      <c r="A71" s="26" t="inlineStr">
        <is>
          <t>Total current liabilities other than liabilities held for sale</t>
        </is>
      </c>
      <c r="B71" s="27">
        <f>1*B62+1*B63+1*B64+1*B65+1*B66+1*B67+1*B68+1*B69+1*B70</f>
        <v/>
      </c>
      <c r="C71" s="27">
        <f>1*C62+1*C63+1*C64+1*C65+1*C66+1*C67+1*C68+1*C69+1*C70</f>
        <v/>
      </c>
      <c r="D71" s="27">
        <f>1*D62+1*D63+1*D64+1*D65+1*D66+1*D67+1*D68+1*D69+1*D70</f>
        <v/>
      </c>
      <c r="E71" s="27">
        <f>1*E62+1*E63+1*E64+1*E65+1*E66+1*E67+1*E68+1*E69+1*E70</f>
        <v/>
      </c>
    </row>
    <row r="72" ht="18" customHeight="1" s="15">
      <c r="A72" s="22" t="inlineStr">
        <is>
          <t>*Liabilities included in disposal groups classified as held for sale</t>
        </is>
      </c>
      <c r="B72" s="25" t="n"/>
      <c r="C72" s="25" t="n"/>
      <c r="D72" s="25" t="n"/>
      <c r="E72" s="25" t="n"/>
    </row>
    <row r="73" ht="18" customHeight="1" s="15">
      <c r="A73" s="26" t="inlineStr">
        <is>
          <t>*Total current liabilities</t>
        </is>
      </c>
      <c r="B73" s="27">
        <f>1*B62+1*B63+1*B64+1*B65+1*B66+1*B67+1*B68+1*B69+1*B70+1*B72</f>
        <v/>
      </c>
      <c r="C73" s="27">
        <f>1*C62+1*C63+1*C64+1*C65+1*C66+1*C67+1*C68+1*C69+1*C70+1*C72</f>
        <v/>
      </c>
      <c r="D73" s="27">
        <f>1*D62+1*D63+1*D64+1*D65+1*D66+1*D67+1*D68+1*D69+1*D70+1*D72</f>
        <v/>
      </c>
      <c r="E73" s="27">
        <f>1*E62+1*E63+1*E64+1*E65+1*E66+1*E67+1*E68+1*E69+1*E70+1*E72</f>
        <v/>
      </c>
    </row>
    <row r="74" ht="18" customHeight="1" s="15">
      <c r="A74" s="26" t="inlineStr">
        <is>
          <t>*Total liabilities</t>
        </is>
      </c>
      <c r="B74" s="27">
        <f>1*B50+1*B51+1*B52+1*B53+1*B54+1*B55+1*B56+1*B57+1*B58+1*B59+1*B62+1*B63+1*B64+1*B65+1*B66+1*B67+1*B68+1*B69+1*B70+1*B72</f>
        <v/>
      </c>
      <c r="C74" s="27">
        <f>1*C50+1*C51+1*C52+1*C53+1*C54+1*C55+1*C56+1*C57+1*C58+1*C59+1*C62+1*C63+1*C64+1*C65+1*C66+1*C67+1*C68+1*C69+1*C70+1*C72</f>
        <v/>
      </c>
      <c r="D74" s="27">
        <f>1*D50+1*D51+1*D52+1*D53+1*D54+1*D55+1*D56+1*D57+1*D58+1*D59+1*D62+1*D63+1*D64+1*D65+1*D66+1*D67+1*D68+1*D69+1*D70+1*D72</f>
        <v/>
      </c>
      <c r="E74" s="27">
        <f>1*E50+1*E51+1*E52+1*E53+1*E54+1*E55+1*E56+1*E57+1*E58+1*E59+1*E62+1*E63+1*E64+1*E65+1*E66+1*E67+1*E68+1*E69+1*E70+1*E72</f>
        <v/>
      </c>
    </row>
    <row r="75" ht="18" customHeight="1" s="15">
      <c r="A75" s="26" t="inlineStr">
        <is>
          <t>*Total equity and liabilities</t>
        </is>
      </c>
      <c r="B75" s="27">
        <f>1*B47+1*B74</f>
        <v/>
      </c>
      <c r="C75" s="27">
        <f>1*C47+1*C74</f>
        <v/>
      </c>
      <c r="D75" s="27">
        <f>1*D47+1*D74</f>
        <v/>
      </c>
      <c r="E75" s="27">
        <f>1*E47+1*E74</f>
        <v/>
      </c>
    </row>
  </sheetData>
  <mergeCells count="2">
    <mergeCell ref="B1:C1"/>
    <mergeCell ref="D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4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4" min="1" max="1"/>
    <col width="18" customWidth="1" style="14" min="2" max="3"/>
    <col width="40" customWidth="1" style="14" min="4" max="4"/>
    <col width="18" customWidth="1" style="14" min="5" max="5"/>
    <col width="20" customWidth="1" style="14" min="6" max="6"/>
  </cols>
  <sheetData>
    <row r="1" ht="19.5" customHeight="1" s="15">
      <c r="B1" s="16" t="inlineStr">
        <is>
          <t>Group</t>
        </is>
      </c>
      <c r="C1" s="17" t="n"/>
      <c r="D1" s="16" t="inlineStr">
        <is>
          <t>Company</t>
        </is>
      </c>
      <c r="E1" s="17" t="n"/>
      <c r="F1" s="16" t="inlineStr">
        <is>
          <t>Source</t>
        </is>
      </c>
    </row>
    <row r="2" ht="15" customHeight="1" s="15">
      <c r="B2" s="18" t="inlineStr">
        <is>
          <t>01/01/YYYY - 31/12/YYYY</t>
        </is>
      </c>
      <c r="C2" s="18" t="inlineStr">
        <is>
          <t>01/01/YYYY - 31/12/YYYY</t>
        </is>
      </c>
      <c r="D2" s="18" t="inlineStr">
        <is>
          <t>01/01/YYYY - 31/12/YYYY</t>
        </is>
      </c>
      <c r="E2" s="18" t="inlineStr">
        <is>
          <t>01/01/YYYY - 31/12/YYYY</t>
        </is>
      </c>
    </row>
    <row r="3" ht="24" customHeight="1" s="15">
      <c r="A3" s="19" t="inlineStr">
        <is>
          <t>Sub-classification of assets, liabilities and equity</t>
        </is>
      </c>
      <c r="D3" s="19" t="n"/>
    </row>
    <row r="4" ht="18" customHeight="1" s="15">
      <c r="A4" s="20" t="inlineStr">
        <is>
          <t>Statement on sub-classification of assets, liabilities and equity</t>
        </is>
      </c>
      <c r="B4" s="21" t="n"/>
      <c r="C4" s="21" t="n"/>
      <c r="D4" s="21" t="n"/>
      <c r="E4" s="21" t="n"/>
    </row>
    <row r="5" ht="18" customHeight="1" s="15">
      <c r="A5" s="20" t="inlineStr">
        <is>
          <t>Statement on sub-classification of assets, liabilities and equity</t>
        </is>
      </c>
      <c r="B5" s="21" t="n"/>
      <c r="C5" s="21" t="n"/>
      <c r="D5" s="21" t="n"/>
      <c r="E5" s="21" t="n"/>
    </row>
    <row r="6" ht="18" customHeight="1" s="15">
      <c r="A6" s="20" t="inlineStr">
        <is>
          <t>Sub-classification of assets, liabilities and equity</t>
        </is>
      </c>
      <c r="B6" s="21" t="n"/>
      <c r="C6" s="21" t="n"/>
      <c r="D6" s="21" t="n"/>
      <c r="E6" s="21" t="n"/>
    </row>
    <row r="7" ht="18" customHeight="1" s="15">
      <c r="A7" s="20" t="inlineStr">
        <is>
          <t>Property, plant and equipment</t>
        </is>
      </c>
      <c r="B7" s="21" t="n"/>
      <c r="C7" s="21" t="n"/>
      <c r="D7" s="21" t="n"/>
      <c r="E7" s="21" t="n"/>
    </row>
    <row r="8" ht="18" customHeight="1" s="15">
      <c r="A8" s="20" t="inlineStr">
        <is>
          <t>Land and buildings</t>
        </is>
      </c>
      <c r="B8" s="21" t="n"/>
      <c r="C8" s="21" t="n"/>
      <c r="D8" s="21" t="n"/>
      <c r="E8" s="21" t="n"/>
    </row>
    <row r="9" ht="18" customHeight="1" s="15">
      <c r="A9" s="20" t="inlineStr">
        <is>
          <t>Land</t>
        </is>
      </c>
      <c r="B9" s="21" t="n"/>
      <c r="C9" s="21" t="n"/>
      <c r="D9" s="21" t="n"/>
      <c r="E9" s="21" t="n"/>
    </row>
    <row r="10" ht="18" customHeight="1" s="15">
      <c r="A10" s="24" t="inlineStr">
        <is>
          <t>Freehold land</t>
        </is>
      </c>
      <c r="B10" s="25" t="n"/>
      <c r="C10" s="25" t="n"/>
      <c r="D10" s="25" t="n"/>
      <c r="E10" s="25" t="n"/>
    </row>
    <row r="11" ht="18" customHeight="1" s="15">
      <c r="A11" s="24" t="inlineStr">
        <is>
          <t>Long term leasehold land</t>
        </is>
      </c>
      <c r="B11" s="25" t="n"/>
      <c r="C11" s="25" t="n"/>
      <c r="D11" s="25" t="n"/>
      <c r="E11" s="25" t="n"/>
    </row>
    <row r="12" ht="18" customHeight="1" s="15">
      <c r="A12" s="24" t="inlineStr">
        <is>
          <t>Short term leasehold land</t>
        </is>
      </c>
      <c r="B12" s="25" t="n"/>
      <c r="C12" s="25" t="n"/>
      <c r="D12" s="25" t="n"/>
      <c r="E12" s="25" t="n"/>
    </row>
    <row r="13" ht="18" customHeight="1" s="15">
      <c r="A13" s="26" t="inlineStr">
        <is>
          <t>*Land</t>
        </is>
      </c>
      <c r="B13" s="27">
        <f>1*B10+1*B11+1*B12</f>
        <v/>
      </c>
      <c r="C13" s="27">
        <f>1*C10+1*C11+1*C12</f>
        <v/>
      </c>
      <c r="D13" s="27">
        <f>1*D10+1*D11+1*D12</f>
        <v/>
      </c>
      <c r="E13" s="27">
        <f>1*E10+1*E11+1*E12</f>
        <v/>
      </c>
    </row>
    <row r="14" ht="18" customHeight="1" s="15">
      <c r="A14" s="20" t="inlineStr">
        <is>
          <t>Buildings</t>
        </is>
      </c>
      <c r="B14" s="21" t="n"/>
      <c r="C14" s="21" t="n"/>
      <c r="D14" s="21" t="n"/>
      <c r="E14" s="21" t="n"/>
    </row>
    <row r="15" ht="18" customHeight="1" s="15">
      <c r="A15" s="24" t="inlineStr">
        <is>
          <t>Building on freehold land</t>
        </is>
      </c>
      <c r="B15" s="28" t="n"/>
      <c r="C15" s="28" t="n"/>
      <c r="D15" s="28" t="n"/>
      <c r="E15" s="28" t="n"/>
    </row>
    <row r="16" ht="18" customHeight="1" s="15">
      <c r="A16" s="24" t="inlineStr">
        <is>
          <t>Building on long term leasehold land</t>
        </is>
      </c>
      <c r="B16" s="25" t="n"/>
      <c r="C16" s="25" t="n"/>
      <c r="D16" s="25" t="n"/>
      <c r="E16" s="25" t="n"/>
    </row>
    <row r="17" ht="18" customHeight="1" s="15">
      <c r="A17" s="24" t="inlineStr">
        <is>
          <t>Building on short term leasehold land</t>
        </is>
      </c>
      <c r="B17" s="25" t="n"/>
      <c r="C17" s="25" t="n"/>
      <c r="D17" s="25" t="n"/>
      <c r="E17" s="25" t="n"/>
    </row>
    <row r="18" ht="18" customHeight="1" s="15">
      <c r="A18" s="24" t="inlineStr">
        <is>
          <t>Leased properties</t>
        </is>
      </c>
      <c r="B18" s="25" t="n"/>
      <c r="C18" s="25" t="n"/>
      <c r="D18" s="25" t="n"/>
      <c r="E18" s="25" t="n"/>
    </row>
    <row r="19" ht="18" customHeight="1" s="15">
      <c r="A19" s="26" t="inlineStr">
        <is>
          <t>Total buildings</t>
        </is>
      </c>
      <c r="B19" s="27">
        <f>1*B15+1*B16+1*B17+1*B18</f>
        <v/>
      </c>
      <c r="C19" s="27">
        <f>1*C15+1*C16+1*C17+1*C18</f>
        <v/>
      </c>
      <c r="D19" s="27">
        <f>1*D15+1*D16+1*D17+1*D18</f>
        <v/>
      </c>
      <c r="E19" s="27">
        <f>1*E15+1*E16+1*E17+1*E18</f>
        <v/>
      </c>
    </row>
    <row r="20" ht="18" customHeight="1" s="15">
      <c r="A20" s="26" t="inlineStr">
        <is>
          <t>*Total land and buildings</t>
        </is>
      </c>
      <c r="B20" s="27">
        <f>1*B13+1*B19</f>
        <v/>
      </c>
      <c r="C20" s="27">
        <f>1*C13+1*C19</f>
        <v/>
      </c>
      <c r="D20" s="27">
        <f>1*D13+1*D19</f>
        <v/>
      </c>
      <c r="E20" s="27">
        <f>1*E13+1*E19</f>
        <v/>
      </c>
    </row>
    <row r="21" ht="18" customHeight="1" s="15">
      <c r="A21" s="20" t="inlineStr">
        <is>
          <t>Vehicles</t>
        </is>
      </c>
      <c r="B21" s="21" t="n"/>
      <c r="C21" s="21" t="n"/>
      <c r="D21" s="21" t="n"/>
      <c r="E21" s="21" t="n"/>
    </row>
    <row r="22" ht="18" customHeight="1" s="15">
      <c r="A22" s="24" t="inlineStr">
        <is>
          <t>Vessels</t>
        </is>
      </c>
      <c r="B22" s="25" t="n"/>
      <c r="C22" s="25" t="n"/>
      <c r="D22" s="25" t="n"/>
      <c r="E22" s="25" t="n"/>
    </row>
    <row r="23" ht="18" customHeight="1" s="15">
      <c r="A23" s="24" t="inlineStr">
        <is>
          <t>Aircraft</t>
        </is>
      </c>
      <c r="B23" s="25" t="n"/>
      <c r="C23" s="25" t="n"/>
      <c r="D23" s="25" t="n"/>
      <c r="E23" s="25" t="n"/>
    </row>
    <row r="24" ht="18" customHeight="1" s="15">
      <c r="A24" s="24" t="inlineStr">
        <is>
          <t>Motor vehicles</t>
        </is>
      </c>
      <c r="B24" s="25" t="n"/>
      <c r="C24" s="25" t="n"/>
      <c r="D24" s="25" t="n"/>
      <c r="E24" s="25" t="n"/>
    </row>
    <row r="25" ht="18" customHeight="1" s="15">
      <c r="A25" s="24" t="inlineStr">
        <is>
          <t>Other vehicles</t>
        </is>
      </c>
      <c r="B25" s="25" t="n"/>
      <c r="C25" s="25" t="n"/>
      <c r="D25" s="25" t="n"/>
      <c r="E25" s="25" t="n"/>
    </row>
    <row r="26" ht="18" customHeight="1" s="15">
      <c r="A26" s="26" t="inlineStr">
        <is>
          <t>*Total vehicles</t>
        </is>
      </c>
      <c r="B26" s="27">
        <f>1*B22+1*B23+1*B24+1*B25</f>
        <v/>
      </c>
      <c r="C26" s="27">
        <f>1*C22+1*C23+1*C24+1*C25</f>
        <v/>
      </c>
      <c r="D26" s="27">
        <f>1*D22+1*D23+1*D24+1*D25</f>
        <v/>
      </c>
      <c r="E26" s="27">
        <f>1*E22+1*E23+1*E24+1*E25</f>
        <v/>
      </c>
    </row>
    <row r="27" ht="18" customHeight="1" s="15">
      <c r="A27" s="24" t="inlineStr">
        <is>
          <t>Machinery</t>
        </is>
      </c>
      <c r="B27" s="25" t="n"/>
      <c r="C27" s="25" t="n"/>
      <c r="D27" s="25" t="n"/>
      <c r="E27" s="25" t="n"/>
    </row>
    <row r="28" ht="18" customHeight="1" s="15">
      <c r="A28" s="24" t="inlineStr">
        <is>
          <t>Plant and equipment</t>
        </is>
      </c>
      <c r="B28" s="25" t="n"/>
      <c r="C28" s="25" t="n"/>
      <c r="D28" s="25" t="n"/>
      <c r="E28" s="25" t="n"/>
    </row>
    <row r="29" ht="18" customHeight="1" s="15">
      <c r="A29" s="24" t="inlineStr">
        <is>
          <t>Office equipment, fixture and fittings</t>
        </is>
      </c>
      <c r="B29" s="25" t="n"/>
      <c r="C29" s="25" t="n"/>
      <c r="D29" s="25" t="n"/>
      <c r="E29" s="25" t="n"/>
    </row>
    <row r="30" ht="18" customHeight="1" s="15">
      <c r="A30" s="24" t="inlineStr">
        <is>
          <t>Computer software and hardware</t>
        </is>
      </c>
      <c r="B30" s="25" t="n"/>
      <c r="C30" s="25" t="n"/>
      <c r="D30" s="25" t="n"/>
      <c r="E30" s="25" t="n"/>
    </row>
    <row r="31" ht="18" customHeight="1" s="15">
      <c r="A31" s="24" t="inlineStr">
        <is>
          <t>Bearer plants</t>
        </is>
      </c>
      <c r="B31" s="25" t="n"/>
      <c r="C31" s="25" t="n"/>
      <c r="D31" s="25" t="n"/>
      <c r="E31" s="25" t="n"/>
    </row>
    <row r="32" ht="18" customHeight="1" s="15">
      <c r="A32" s="24" t="inlineStr">
        <is>
          <t>Infrastructure and site facilities</t>
        </is>
      </c>
      <c r="B32" s="25" t="n"/>
      <c r="C32" s="25" t="n"/>
      <c r="D32" s="25" t="n"/>
      <c r="E32" s="25" t="n"/>
    </row>
    <row r="33" ht="18" customHeight="1" s="15">
      <c r="A33" s="24" t="inlineStr">
        <is>
          <t>Mining assets</t>
        </is>
      </c>
      <c r="B33" s="25" t="n"/>
      <c r="C33" s="25" t="n"/>
      <c r="D33" s="25" t="n"/>
      <c r="E33" s="25" t="n"/>
    </row>
    <row r="34" ht="18" customHeight="1" s="15">
      <c r="A34" s="24" t="inlineStr">
        <is>
          <t>Oil and gas assets</t>
        </is>
      </c>
      <c r="B34" s="25" t="n"/>
      <c r="C34" s="25" t="n"/>
      <c r="D34" s="25" t="n"/>
      <c r="E34" s="25" t="n"/>
    </row>
    <row r="35" ht="18" customHeight="1" s="15">
      <c r="A35" s="24" t="inlineStr">
        <is>
          <t>Tangible exploration and evaluation assets</t>
        </is>
      </c>
      <c r="B35" s="25" t="n"/>
      <c r="C35" s="25" t="n"/>
      <c r="D35" s="25" t="n"/>
      <c r="E35" s="25" t="n"/>
    </row>
    <row r="36" ht="18" customHeight="1" s="15">
      <c r="A36" s="24" t="inlineStr">
        <is>
          <t>Telecommunication equipments</t>
        </is>
      </c>
      <c r="B36" s="25" t="n"/>
      <c r="C36" s="25" t="n"/>
      <c r="D36" s="25" t="n"/>
      <c r="E36" s="25" t="n"/>
    </row>
    <row r="37" ht="18" customHeight="1" s="15">
      <c r="A37" s="24" t="inlineStr">
        <is>
          <t>Construction in progress/Asset work-in progress</t>
        </is>
      </c>
      <c r="B37" s="25" t="n"/>
      <c r="C37" s="25" t="n"/>
      <c r="D37" s="25" t="n"/>
      <c r="E37" s="25" t="n"/>
    </row>
    <row r="38" ht="18" customHeight="1" s="15">
      <c r="A38" s="24" t="inlineStr">
        <is>
          <t>Other property, plant and equipment</t>
        </is>
      </c>
      <c r="B38" s="25" t="n"/>
      <c r="C38" s="25" t="n"/>
      <c r="D38" s="25" t="n"/>
      <c r="E38" s="25" t="n"/>
    </row>
    <row r="39" ht="18" customHeight="1" s="15">
      <c r="A39" s="26" t="inlineStr">
        <is>
          <t>*Total property, plant and equipment</t>
        </is>
      </c>
      <c r="B39" s="27">
        <f>1*B20+1*B26+1*B27+1*B28+1*B29+1*B30+1*B31+1*B32+1*B33+1*B34+1*B35+1*B36+1*B37+1*B38</f>
        <v/>
      </c>
      <c r="C39" s="27">
        <f>1*C20+1*C26+1*C27+1*C28+1*C29+1*C30+1*C31+1*C32+1*C33+1*C34+1*C35+1*C36+1*C37+1*C38</f>
        <v/>
      </c>
      <c r="D39" s="27">
        <f>1*D20+1*D26+1*D27+1*D28+1*D29+1*D30+1*D31+1*D32+1*D33+1*D34+1*D35+1*D36+1*D37+1*D38</f>
        <v/>
      </c>
      <c r="E39" s="27">
        <f>1*E20+1*E26+1*E27+1*E28+1*E29+1*E30+1*E31+1*E32+1*E33+1*E34+1*E35+1*E36+1*E37+1*E38</f>
        <v/>
      </c>
    </row>
    <row r="40" ht="18" customHeight="1" s="15">
      <c r="A40" s="20" t="inlineStr">
        <is>
          <t>Investment property</t>
        </is>
      </c>
      <c r="B40" s="21" t="n"/>
      <c r="C40" s="21" t="n"/>
      <c r="D40" s="21" t="n"/>
      <c r="E40" s="21" t="n"/>
    </row>
    <row r="41" ht="18" customHeight="1" s="15">
      <c r="A41" s="20" t="inlineStr">
        <is>
          <t>Investment properties completed, at carrying value</t>
        </is>
      </c>
      <c r="B41" s="21" t="n"/>
      <c r="C41" s="21" t="n"/>
      <c r="D41" s="21" t="n"/>
      <c r="E41" s="21" t="n"/>
    </row>
    <row r="42" ht="18" customHeight="1" s="15">
      <c r="A42" s="24" t="inlineStr">
        <is>
          <t>Freehold land and building</t>
        </is>
      </c>
      <c r="B42" s="25" t="n"/>
      <c r="C42" s="25" t="n"/>
      <c r="D42" s="25" t="n"/>
      <c r="E42" s="25" t="n"/>
    </row>
    <row r="43" ht="18" customHeight="1" s="15">
      <c r="A43" s="24" t="inlineStr">
        <is>
          <t>Leasehold land and building</t>
        </is>
      </c>
      <c r="B43" s="25" t="n"/>
      <c r="C43" s="25" t="n"/>
      <c r="D43" s="25" t="n"/>
      <c r="E43" s="25" t="n"/>
    </row>
    <row r="44" ht="18" customHeight="1" s="15">
      <c r="A44" s="26" t="inlineStr">
        <is>
          <t>Total investment properties completed, at carrying value</t>
        </is>
      </c>
      <c r="B44" s="27">
        <f>1*B42+1*B43</f>
        <v/>
      </c>
      <c r="C44" s="27">
        <f>1*C42+1*C43</f>
        <v/>
      </c>
      <c r="D44" s="27">
        <f>1*D42+1*D43</f>
        <v/>
      </c>
      <c r="E44" s="27">
        <f>1*E42+1*E43</f>
        <v/>
      </c>
    </row>
    <row r="45" ht="18" customHeight="1" s="15">
      <c r="A45" s="20" t="inlineStr">
        <is>
          <t>Investment properties under construction or development, at cost</t>
        </is>
      </c>
      <c r="B45" s="21" t="n"/>
      <c r="C45" s="21" t="n"/>
      <c r="D45" s="21" t="n"/>
      <c r="E45" s="21" t="n"/>
    </row>
    <row r="46" ht="18" customHeight="1" s="15">
      <c r="A46" s="24" t="inlineStr">
        <is>
          <t>Building under construction</t>
        </is>
      </c>
      <c r="B46" s="25" t="n"/>
      <c r="C46" s="25" t="n"/>
      <c r="D46" s="25" t="n"/>
      <c r="E46" s="25" t="n"/>
    </row>
    <row r="47" ht="18" customHeight="1" s="15">
      <c r="A47" s="26" t="inlineStr">
        <is>
          <t>Total investment properties under construction or development, at cost</t>
        </is>
      </c>
      <c r="B47" s="27">
        <f>1*B46</f>
        <v/>
      </c>
      <c r="C47" s="27">
        <f>1*C46</f>
        <v/>
      </c>
      <c r="D47" s="27">
        <f>1*D46</f>
        <v/>
      </c>
      <c r="E47" s="27">
        <f>1*E46</f>
        <v/>
      </c>
    </row>
    <row r="48" ht="18" customHeight="1" s="15">
      <c r="A48" s="24" t="inlineStr">
        <is>
          <t>Other investment property</t>
        </is>
      </c>
      <c r="B48" s="25" t="n"/>
      <c r="C48" s="25" t="n"/>
      <c r="D48" s="25" t="n"/>
      <c r="E48" s="25" t="n"/>
    </row>
    <row r="49" ht="18" customHeight="1" s="15">
      <c r="A49" s="26" t="inlineStr">
        <is>
          <t>*Total investment properties</t>
        </is>
      </c>
      <c r="B49" s="27">
        <f>1*B44+1*B47+1*B48</f>
        <v/>
      </c>
      <c r="C49" s="27">
        <f>1*C44+1*C47+1*C48</f>
        <v/>
      </c>
      <c r="D49" s="27">
        <f>1*D44+1*D47+1*D48</f>
        <v/>
      </c>
      <c r="E49" s="27">
        <f>1*E44+1*E47+1*E48</f>
        <v/>
      </c>
    </row>
    <row r="50" ht="18" customHeight="1" s="15">
      <c r="A50" s="20" t="inlineStr">
        <is>
          <t>Biological assets</t>
        </is>
      </c>
      <c r="B50" s="21" t="n"/>
      <c r="C50" s="21" t="n"/>
      <c r="D50" s="21" t="n"/>
      <c r="E50" s="21" t="n"/>
    </row>
    <row r="51" ht="18" customHeight="1" s="15">
      <c r="A51" s="24" t="inlineStr">
        <is>
          <t>Consumable biological assets</t>
        </is>
      </c>
      <c r="B51" s="25" t="n"/>
      <c r="C51" s="25" t="n"/>
      <c r="D51" s="25" t="n"/>
      <c r="E51" s="25" t="n"/>
    </row>
    <row r="52" ht="18" customHeight="1" s="15">
      <c r="A52" s="24" t="inlineStr">
        <is>
          <t>Bearer biological assets</t>
        </is>
      </c>
      <c r="B52" s="25" t="n"/>
      <c r="C52" s="25" t="n"/>
      <c r="D52" s="25" t="n"/>
      <c r="E52" s="25" t="n"/>
    </row>
    <row r="53" ht="18" customHeight="1" s="15">
      <c r="A53" s="26" t="inlineStr">
        <is>
          <t>Total biological assets</t>
        </is>
      </c>
      <c r="B53" s="27">
        <f>1*B51+1*B52</f>
        <v/>
      </c>
      <c r="C53" s="27">
        <f>1*C51+1*C52</f>
        <v/>
      </c>
      <c r="D53" s="27">
        <f>1*D51+1*D52</f>
        <v/>
      </c>
      <c r="E53" s="27">
        <f>1*E51+1*E52</f>
        <v/>
      </c>
    </row>
    <row r="54" ht="18" customHeight="1" s="15">
      <c r="A54" s="20" t="inlineStr">
        <is>
          <t>Intangible assets and goodwill</t>
        </is>
      </c>
      <c r="B54" s="21" t="n"/>
      <c r="C54" s="21" t="n"/>
      <c r="D54" s="21" t="n"/>
      <c r="E54" s="21" t="n"/>
    </row>
    <row r="55" ht="18" customHeight="1" s="15">
      <c r="A55" s="20" t="inlineStr">
        <is>
          <t>Intangible assets other than goodwill</t>
        </is>
      </c>
      <c r="B55" s="21" t="n"/>
      <c r="C55" s="21" t="n"/>
      <c r="D55" s="21" t="n"/>
      <c r="E55" s="21" t="n"/>
    </row>
    <row r="56" ht="18" customHeight="1" s="15">
      <c r="A56" s="24" t="inlineStr">
        <is>
          <t>Customer acquisition costs</t>
        </is>
      </c>
      <c r="B56" s="25" t="n"/>
      <c r="C56" s="25" t="n"/>
      <c r="D56" s="25" t="n"/>
      <c r="E56" s="25" t="n"/>
    </row>
    <row r="57" ht="18" customHeight="1" s="15">
      <c r="A57" s="24" t="inlineStr">
        <is>
          <t>Brand names</t>
        </is>
      </c>
      <c r="B57" s="25" t="n"/>
      <c r="C57" s="25" t="n"/>
      <c r="D57" s="25" t="n"/>
      <c r="E57" s="25" t="n"/>
    </row>
    <row r="58" ht="18" customHeight="1" s="15">
      <c r="A58" s="24" t="inlineStr">
        <is>
          <t>Customer relationships</t>
        </is>
      </c>
      <c r="B58" s="25" t="n"/>
      <c r="C58" s="25" t="n"/>
      <c r="D58" s="25" t="n"/>
      <c r="E58" s="25" t="n"/>
    </row>
    <row r="59" ht="18" customHeight="1" s="15">
      <c r="A59" s="24" t="inlineStr">
        <is>
          <t>Copyrights, patents and other industrial property rights, service and operating rights</t>
        </is>
      </c>
      <c r="B59" s="25" t="n"/>
      <c r="C59" s="25" t="n"/>
      <c r="D59" s="25" t="n"/>
      <c r="E59" s="25" t="n"/>
    </row>
    <row r="60" ht="18" customHeight="1" s="15">
      <c r="A60" s="24" t="inlineStr">
        <is>
          <t>Intangible assets under development</t>
        </is>
      </c>
      <c r="B60" s="25" t="n"/>
      <c r="C60" s="25" t="n"/>
      <c r="D60" s="25" t="n"/>
      <c r="E60" s="25" t="n"/>
    </row>
    <row r="61" ht="18" customHeight="1" s="15">
      <c r="A61" s="24" t="inlineStr">
        <is>
          <t>Intangible exploration and evaluation assets</t>
        </is>
      </c>
      <c r="B61" s="25" t="n"/>
      <c r="C61" s="25" t="n"/>
      <c r="D61" s="25" t="n"/>
      <c r="E61" s="25" t="n"/>
    </row>
    <row r="62" ht="18" customHeight="1" s="15">
      <c r="A62" s="24" t="inlineStr">
        <is>
          <t>Licences and franchises</t>
        </is>
      </c>
      <c r="B62" s="25" t="n"/>
      <c r="C62" s="25" t="n"/>
      <c r="D62" s="25" t="n"/>
      <c r="E62" s="25" t="n"/>
    </row>
    <row r="63" ht="18" customHeight="1" s="15">
      <c r="A63" s="24" t="inlineStr">
        <is>
          <t>Recipes, formulae, models, designs and prototypes</t>
        </is>
      </c>
      <c r="B63" s="25" t="n"/>
      <c r="C63" s="25" t="n"/>
      <c r="D63" s="25" t="n"/>
      <c r="E63" s="25" t="n"/>
    </row>
    <row r="64" ht="18" customHeight="1" s="15">
      <c r="A64" s="24" t="inlineStr">
        <is>
          <t>Computer software</t>
        </is>
      </c>
      <c r="B64" s="25" t="n"/>
      <c r="C64" s="25" t="n"/>
      <c r="D64" s="25" t="n"/>
      <c r="E64" s="25" t="n"/>
    </row>
    <row r="65" ht="18" customHeight="1" s="15">
      <c r="A65" s="24" t="inlineStr">
        <is>
          <t>Small holder relationship</t>
        </is>
      </c>
      <c r="B65" s="25" t="n"/>
      <c r="C65" s="25" t="n"/>
      <c r="D65" s="25" t="n"/>
      <c r="E65" s="25" t="n"/>
    </row>
    <row r="66" ht="18" customHeight="1" s="15">
      <c r="A66" s="24" t="inlineStr">
        <is>
          <t>Other intangible assets</t>
        </is>
      </c>
      <c r="B66" s="25" t="n"/>
      <c r="C66" s="25" t="n"/>
      <c r="D66" s="25" t="n"/>
      <c r="E66" s="25" t="n"/>
    </row>
    <row r="67" ht="18" customHeight="1" s="15">
      <c r="A67" s="26" t="inlineStr">
        <is>
          <t>*Total intangible assets other than goodwill</t>
        </is>
      </c>
      <c r="B67" s="27">
        <f>1*B56+1*B57+1*B58+1*B59+1*B60+1*B61+1*B62+1*B63+1*B64+1*B65+1*B66</f>
        <v/>
      </c>
      <c r="C67" s="27">
        <f>1*C56+1*C57+1*C58+1*C59+1*C60+1*C61+1*C62+1*C63+1*C64+1*C65+1*C66</f>
        <v/>
      </c>
      <c r="D67" s="27">
        <f>1*D56+1*D57+1*D58+1*D59+1*D60+1*D61+1*D62+1*D63+1*D64+1*D65+1*D66</f>
        <v/>
      </c>
      <c r="E67" s="27">
        <f>1*E56+1*E57+1*E58+1*E59+1*E60+1*E61+1*E62+1*E63+1*E64+1*E65+1*E66</f>
        <v/>
      </c>
    </row>
    <row r="68" ht="18" customHeight="1" s="15">
      <c r="A68" s="24" t="inlineStr">
        <is>
          <t>Goodwill</t>
        </is>
      </c>
      <c r="B68" s="25" t="n"/>
      <c r="C68" s="25" t="n"/>
      <c r="D68" s="25" t="n"/>
      <c r="E68" s="25" t="n"/>
    </row>
    <row r="69" ht="18" customHeight="1" s="15">
      <c r="A69" s="26" t="inlineStr">
        <is>
          <t>*Total intangible assets and goodwill</t>
        </is>
      </c>
      <c r="B69" s="27">
        <f>1*B67+1*B68</f>
        <v/>
      </c>
      <c r="C69" s="27">
        <f>1*C67+1*C68</f>
        <v/>
      </c>
      <c r="D69" s="27">
        <f>1*D67+1*D68</f>
        <v/>
      </c>
      <c r="E69" s="27">
        <f>1*E67+1*E68</f>
        <v/>
      </c>
    </row>
    <row r="70" ht="18" customHeight="1" s="15">
      <c r="A70" s="20" t="inlineStr">
        <is>
          <t>Investments in subsidiaries</t>
        </is>
      </c>
      <c r="B70" s="21" t="n"/>
      <c r="C70" s="21" t="n"/>
      <c r="D70" s="21" t="n"/>
      <c r="E70" s="21" t="n"/>
    </row>
    <row r="71" ht="18" customHeight="1" s="15">
      <c r="A71" s="24" t="inlineStr">
        <is>
          <t>Unquoted shares, net of impairment losses</t>
        </is>
      </c>
      <c r="B71" s="25" t="n"/>
      <c r="C71" s="25" t="n"/>
      <c r="D71" s="25" t="n"/>
      <c r="E71" s="25" t="n"/>
    </row>
    <row r="72" ht="18" customHeight="1" s="15">
      <c r="A72" s="24" t="inlineStr">
        <is>
          <t>Quoted shares in Malaysia</t>
        </is>
      </c>
      <c r="B72" s="25" t="n"/>
      <c r="C72" s="25" t="n"/>
      <c r="D72" s="25" t="n"/>
      <c r="E72" s="25" t="n"/>
    </row>
    <row r="73" ht="18" customHeight="1" s="15">
      <c r="A73" s="24" t="inlineStr">
        <is>
          <t>Quoted shares outside Malaysia</t>
        </is>
      </c>
      <c r="B73" s="25" t="n"/>
      <c r="C73" s="25" t="n"/>
      <c r="D73" s="25" t="n"/>
      <c r="E73" s="25" t="n"/>
    </row>
    <row r="74" ht="18" customHeight="1" s="15">
      <c r="A74" s="24" t="inlineStr">
        <is>
          <t>Fair value adjustments on loans and advances and financial guarantee</t>
        </is>
      </c>
      <c r="B74" s="25" t="n"/>
      <c r="C74" s="25" t="n"/>
      <c r="D74" s="25" t="n"/>
      <c r="E74" s="25" t="n"/>
    </row>
    <row r="75" ht="18" customHeight="1" s="15">
      <c r="A75" s="24" t="inlineStr">
        <is>
          <t>Contributions to subsidiaries, net of impairment losses</t>
        </is>
      </c>
      <c r="B75" s="25" t="n"/>
      <c r="C75" s="25" t="n"/>
      <c r="D75" s="25" t="n"/>
      <c r="E75" s="25" t="n"/>
    </row>
    <row r="76" ht="18" customHeight="1" s="15">
      <c r="A76" s="24" t="inlineStr">
        <is>
          <t>Other investments in subsidiaries</t>
        </is>
      </c>
      <c r="B76" s="25" t="n"/>
      <c r="C76" s="25" t="n"/>
      <c r="D76" s="25" t="n"/>
      <c r="E76" s="25" t="n"/>
    </row>
    <row r="77" ht="18" customHeight="1" s="15">
      <c r="A77" s="26" t="inlineStr">
        <is>
          <t>*Total investments in subsidiaries</t>
        </is>
      </c>
      <c r="B77" s="27">
        <f>1*B71+1*B72+1*B73+1*B74+1*B75+1*B76</f>
        <v/>
      </c>
      <c r="C77" s="27">
        <f>1*C71+1*C72+1*C73+1*C74+1*C75+1*C76</f>
        <v/>
      </c>
      <c r="D77" s="27">
        <f>1*D71+1*D72+1*D73+1*D74+1*D75+1*D76</f>
        <v/>
      </c>
      <c r="E77" s="27">
        <f>1*E71+1*E72+1*E73+1*E74+1*E75+1*E76</f>
        <v/>
      </c>
    </row>
    <row r="78" ht="18" customHeight="1" s="15">
      <c r="A78" s="20" t="inlineStr">
        <is>
          <t>Investments in associates</t>
        </is>
      </c>
      <c r="B78" s="21" t="n"/>
      <c r="C78" s="21" t="n"/>
      <c r="D78" s="21" t="n"/>
      <c r="E78" s="21" t="n"/>
    </row>
    <row r="79" ht="18" customHeight="1" s="15">
      <c r="A79" s="24" t="inlineStr">
        <is>
          <t>Unquoted shares, net of impairment losses</t>
        </is>
      </c>
      <c r="B79" s="25" t="n"/>
      <c r="C79" s="25" t="n"/>
      <c r="D79" s="25" t="n"/>
      <c r="E79" s="25" t="n"/>
    </row>
    <row r="80" ht="18" customHeight="1" s="15">
      <c r="A80" s="24" t="inlineStr">
        <is>
          <t>Quoted shares in Malaysia</t>
        </is>
      </c>
      <c r="B80" s="25" t="n"/>
      <c r="C80" s="25" t="n"/>
      <c r="D80" s="25" t="n"/>
      <c r="E80" s="25" t="n"/>
    </row>
    <row r="81" ht="18" customHeight="1" s="15">
      <c r="A81" s="24" t="inlineStr">
        <is>
          <t>Quoted shares outside Malaysia</t>
        </is>
      </c>
      <c r="B81" s="25" t="n"/>
      <c r="C81" s="25" t="n"/>
      <c r="D81" s="25" t="n"/>
      <c r="E81" s="25" t="n"/>
    </row>
    <row r="82" ht="18" customHeight="1" s="15">
      <c r="A82" s="24" t="inlineStr">
        <is>
          <t>Fair value adjustments on loans and advances and financial guarantee</t>
        </is>
      </c>
      <c r="B82" s="25" t="n"/>
      <c r="C82" s="25" t="n"/>
      <c r="D82" s="25" t="n"/>
      <c r="E82" s="25" t="n"/>
    </row>
    <row r="83" ht="18" customHeight="1" s="15">
      <c r="A83" s="24" t="inlineStr">
        <is>
          <t>Share of post-acquisition profits and reserves</t>
        </is>
      </c>
      <c r="B83" s="25" t="n"/>
      <c r="C83" s="25" t="n"/>
      <c r="D83" s="25" t="n"/>
      <c r="E83" s="25" t="n"/>
    </row>
    <row r="84" ht="18" customHeight="1" s="15">
      <c r="A84" s="24" t="inlineStr">
        <is>
          <t>Unrealised profit on transactions with associates</t>
        </is>
      </c>
      <c r="B84" s="25" t="n"/>
      <c r="C84" s="25" t="n"/>
      <c r="D84" s="25" t="n"/>
      <c r="E84" s="25" t="n"/>
    </row>
    <row r="85" ht="18" customHeight="1" s="15">
      <c r="A85" s="24" t="inlineStr">
        <is>
          <t>Other investments in associates</t>
        </is>
      </c>
      <c r="B85" s="25" t="n"/>
      <c r="C85" s="25" t="n"/>
      <c r="D85" s="25" t="n"/>
      <c r="E85" s="25" t="n"/>
    </row>
    <row r="86" ht="18" customHeight="1" s="15">
      <c r="A86" s="26" t="inlineStr">
        <is>
          <t>*Total investments in associates</t>
        </is>
      </c>
      <c r="B86" s="27">
        <f>1*B79+1*B80+1*B81+1*B82+1*B83+1*B84+1*B85</f>
        <v/>
      </c>
      <c r="C86" s="27">
        <f>1*C79+1*C80+1*C81+1*C82+1*C83+1*C84+1*C85</f>
        <v/>
      </c>
      <c r="D86" s="27">
        <f>1*D79+1*D80+1*D81+1*D82+1*D83+1*D84+1*D85</f>
        <v/>
      </c>
      <c r="E86" s="27">
        <f>1*E79+1*E80+1*E81+1*E82+1*E83+1*E84+1*E85</f>
        <v/>
      </c>
    </row>
    <row r="87" ht="18" customHeight="1" s="15">
      <c r="A87" s="20" t="inlineStr">
        <is>
          <t>Investments in joint ventures</t>
        </is>
      </c>
      <c r="B87" s="21" t="n"/>
      <c r="C87" s="21" t="n"/>
      <c r="D87" s="21" t="n"/>
      <c r="E87" s="21" t="n"/>
    </row>
    <row r="88" ht="18" customHeight="1" s="15">
      <c r="A88" s="24" t="inlineStr">
        <is>
          <t>Unquoted shares, net of impairment losses</t>
        </is>
      </c>
      <c r="B88" s="25" t="n"/>
      <c r="C88" s="25" t="n"/>
      <c r="D88" s="25" t="n"/>
      <c r="E88" s="25" t="n"/>
    </row>
    <row r="89" ht="18" customHeight="1" s="15">
      <c r="A89" s="24" t="inlineStr">
        <is>
          <t>Quoted shares in Malaysia</t>
        </is>
      </c>
      <c r="B89" s="25" t="n"/>
      <c r="C89" s="25" t="n"/>
      <c r="D89" s="25" t="n"/>
      <c r="E89" s="25" t="n"/>
    </row>
    <row r="90" ht="18" customHeight="1" s="15">
      <c r="A90" s="24" t="inlineStr">
        <is>
          <t>Quoted shares outside Malaysia</t>
        </is>
      </c>
      <c r="B90" s="25" t="n"/>
      <c r="C90" s="25" t="n"/>
      <c r="D90" s="25" t="n"/>
      <c r="E90" s="25" t="n"/>
    </row>
    <row r="91" ht="18" customHeight="1" s="15">
      <c r="A91" s="24" t="inlineStr">
        <is>
          <t>Fair value adjustments on loans and advances and financial guarantee</t>
        </is>
      </c>
      <c r="B91" s="25" t="n"/>
      <c r="C91" s="25" t="n"/>
      <c r="D91" s="25" t="n"/>
      <c r="E91" s="25" t="n"/>
    </row>
    <row r="92" ht="18" customHeight="1" s="15">
      <c r="A92" s="24" t="inlineStr">
        <is>
          <t>Share of post-acquisition profits and reserves</t>
        </is>
      </c>
      <c r="B92" s="25" t="n"/>
      <c r="C92" s="25" t="n"/>
      <c r="D92" s="25" t="n"/>
      <c r="E92" s="25" t="n"/>
    </row>
    <row r="93" ht="18" customHeight="1" s="15">
      <c r="A93" s="24" t="inlineStr">
        <is>
          <t>Unrealised profit on transactions with joint ventures</t>
        </is>
      </c>
      <c r="B93" s="25" t="n"/>
      <c r="C93" s="25" t="n"/>
      <c r="D93" s="25" t="n"/>
      <c r="E93" s="25" t="n"/>
    </row>
    <row r="94" ht="18" customHeight="1" s="15">
      <c r="A94" s="24" t="inlineStr">
        <is>
          <t>Other investments in joint ventures</t>
        </is>
      </c>
      <c r="B94" s="25" t="n"/>
      <c r="C94" s="25" t="n"/>
      <c r="D94" s="25" t="n"/>
      <c r="E94" s="25" t="n"/>
    </row>
    <row r="95" ht="18" customHeight="1" s="15">
      <c r="A95" s="26" t="inlineStr">
        <is>
          <t>*Total investments in joint ventures</t>
        </is>
      </c>
      <c r="B95" s="27">
        <f>1*B88+1*B89+1*B90+1*B91+1*B92+1*B93+1*B94</f>
        <v/>
      </c>
      <c r="C95" s="27">
        <f>1*C88+1*C89+1*C90+1*C91+1*C92+1*C93+1*C94</f>
        <v/>
      </c>
      <c r="D95" s="27">
        <f>1*D88+1*D89+1*D90+1*D91+1*D92+1*D93+1*D94</f>
        <v/>
      </c>
      <c r="E95" s="27">
        <f>1*E88+1*E89+1*E90+1*E91+1*E92+1*E93+1*E94</f>
        <v/>
      </c>
    </row>
    <row r="96" ht="18" customHeight="1" s="15">
      <c r="A96" s="20" t="inlineStr">
        <is>
          <t>Trade and other non-current receivables</t>
        </is>
      </c>
      <c r="B96" s="21" t="n"/>
      <c r="C96" s="21" t="n"/>
      <c r="D96" s="21" t="n"/>
      <c r="E96" s="21" t="n"/>
    </row>
    <row r="97" ht="18" customHeight="1" s="15">
      <c r="A97" s="20" t="inlineStr">
        <is>
          <t>Non-current trade receivables</t>
        </is>
      </c>
      <c r="B97" s="21" t="n"/>
      <c r="C97" s="21" t="n"/>
      <c r="D97" s="21" t="n"/>
      <c r="E97" s="21" t="n"/>
    </row>
    <row r="98" ht="18" customHeight="1" s="15">
      <c r="A98" s="24" t="inlineStr">
        <is>
          <t>Trade receivables</t>
        </is>
      </c>
      <c r="B98" s="25" t="n"/>
      <c r="C98" s="25" t="n"/>
      <c r="D98" s="25" t="n"/>
      <c r="E98" s="25" t="n"/>
    </row>
    <row r="99" ht="18" customHeight="1" s="15">
      <c r="A99" s="24" t="inlineStr">
        <is>
          <t>Trade receivables due from holding company</t>
        </is>
      </c>
      <c r="B99" s="25" t="n"/>
      <c r="C99" s="25" t="n"/>
      <c r="D99" s="25" t="n"/>
      <c r="E99" s="25" t="n"/>
    </row>
    <row r="100" ht="18" customHeight="1" s="15">
      <c r="A100" s="24" t="inlineStr">
        <is>
          <t>Trade receivables due from subsidiaries</t>
        </is>
      </c>
      <c r="B100" s="25" t="n"/>
      <c r="C100" s="25" t="n"/>
      <c r="D100" s="25" t="n"/>
      <c r="E100" s="25" t="n"/>
    </row>
    <row r="101" ht="18" customHeight="1" s="15">
      <c r="A101" s="24" t="inlineStr">
        <is>
          <t>Trade receivables from associates</t>
        </is>
      </c>
      <c r="B101" s="25" t="n"/>
      <c r="C101" s="25" t="n"/>
      <c r="D101" s="25" t="n"/>
      <c r="E101" s="25" t="n"/>
    </row>
    <row r="102" ht="18" customHeight="1" s="15">
      <c r="A102" s="24" t="inlineStr">
        <is>
          <t>Trade receivables due from joint ventures</t>
        </is>
      </c>
      <c r="B102" s="25" t="n"/>
      <c r="C102" s="25" t="n"/>
      <c r="D102" s="25" t="n"/>
      <c r="E102" s="25" t="n"/>
    </row>
    <row r="103" ht="18" customHeight="1" s="15">
      <c r="A103" s="24" t="inlineStr">
        <is>
          <t>Trade receivables due from other related parties</t>
        </is>
      </c>
      <c r="B103" s="25" t="n"/>
      <c r="C103" s="25" t="n"/>
      <c r="D103" s="25" t="n"/>
      <c r="E103" s="25" t="n"/>
    </row>
    <row r="104" ht="18" customHeight="1" s="15">
      <c r="A104" s="24" t="inlineStr">
        <is>
          <t>Other non-current trade receivables</t>
        </is>
      </c>
      <c r="B104" s="25" t="n"/>
      <c r="C104" s="25" t="n"/>
      <c r="D104" s="25" t="n"/>
      <c r="E104" s="25" t="n"/>
    </row>
    <row r="105" ht="18" customHeight="1" s="15">
      <c r="A105" s="26" t="inlineStr">
        <is>
          <t>Total non-current trade receivables</t>
        </is>
      </c>
      <c r="B105" s="27">
        <f>1*B98+1*B99+1*B100+1*B101+1*B102+1*B103+1*B104</f>
        <v/>
      </c>
      <c r="C105" s="27">
        <f>1*C98+1*C99+1*C100+1*C101+1*C102+1*C103+1*C104</f>
        <v/>
      </c>
      <c r="D105" s="27">
        <f>1*D98+1*D99+1*D100+1*D101+1*D102+1*D103+1*D104</f>
        <v/>
      </c>
      <c r="E105" s="27">
        <f>1*E98+1*E99+1*E100+1*E101+1*E102+1*E103+1*E104</f>
        <v/>
      </c>
    </row>
    <row r="106" ht="18" customHeight="1" s="15">
      <c r="A106" s="20" t="inlineStr">
        <is>
          <t>Other non-current receivables</t>
        </is>
      </c>
      <c r="B106" s="21" t="n"/>
      <c r="C106" s="21" t="n"/>
      <c r="D106" s="21" t="n"/>
      <c r="E106" s="21" t="n"/>
    </row>
    <row r="107" ht="18" customHeight="1" s="15">
      <c r="A107" s="20" t="inlineStr">
        <is>
          <t>Other non-current receivables due from related parties</t>
        </is>
      </c>
      <c r="B107" s="21" t="n"/>
      <c r="C107" s="21" t="n"/>
      <c r="D107" s="21" t="n"/>
      <c r="E107" s="21" t="n"/>
    </row>
    <row r="108" ht="18" customHeight="1" s="15">
      <c r="A108" s="24" t="inlineStr">
        <is>
          <t>Other receivables due from holding company</t>
        </is>
      </c>
      <c r="B108" s="25" t="n"/>
      <c r="C108" s="25" t="n"/>
      <c r="D108" s="25" t="n"/>
      <c r="E108" s="25" t="n"/>
    </row>
    <row r="109" ht="18" customHeight="1" s="15">
      <c r="A109" s="24" t="inlineStr">
        <is>
          <t>Other receivables due from subsidiaries</t>
        </is>
      </c>
      <c r="B109" s="25" t="n"/>
      <c r="C109" s="25" t="n"/>
      <c r="D109" s="25" t="n"/>
      <c r="E109" s="25" t="n"/>
    </row>
    <row r="110" ht="18" customHeight="1" s="15">
      <c r="A110" s="24" t="inlineStr">
        <is>
          <t>Other receivables due from associates</t>
        </is>
      </c>
      <c r="B110" s="25" t="n"/>
      <c r="C110" s="25" t="n"/>
      <c r="D110" s="25" t="n"/>
      <c r="E110" s="25" t="n"/>
    </row>
    <row r="111" ht="18" customHeight="1" s="15">
      <c r="A111" s="24" t="inlineStr">
        <is>
          <t>Other receivables due from joint ventures</t>
        </is>
      </c>
      <c r="B111" s="25" t="n"/>
      <c r="C111" s="25" t="n"/>
      <c r="D111" s="25" t="n"/>
      <c r="E111" s="25" t="n"/>
    </row>
    <row r="112" ht="18" customHeight="1" s="15">
      <c r="A112" s="24" t="inlineStr">
        <is>
          <t>Other receivables due from other related companies</t>
        </is>
      </c>
      <c r="B112" s="25" t="n"/>
      <c r="C112" s="25" t="n"/>
      <c r="D112" s="25" t="n"/>
      <c r="E112" s="25" t="n"/>
    </row>
    <row r="113" ht="18" customHeight="1" s="15">
      <c r="A113" s="26" t="inlineStr">
        <is>
          <t>*Total other non-current receivables due from related parties</t>
        </is>
      </c>
      <c r="B113" s="27">
        <f>1*B108+1*B109+1*B110+1*B111+1*B112</f>
        <v/>
      </c>
      <c r="C113" s="27">
        <f>1*C108+1*C109+1*C110+1*C111+1*C112</f>
        <v/>
      </c>
      <c r="D113" s="27">
        <f>1*D108+1*D109+1*D110+1*D111+1*D112</f>
        <v/>
      </c>
      <c r="E113" s="27">
        <f>1*E108+1*E109+1*E110+1*E111+1*E112</f>
        <v/>
      </c>
    </row>
    <row r="114" ht="18" customHeight="1" s="15">
      <c r="A114" s="20" t="inlineStr">
        <is>
          <t>Non-current non-trade receivables</t>
        </is>
      </c>
      <c r="B114" s="21" t="n"/>
      <c r="C114" s="21" t="n"/>
      <c r="D114" s="21" t="n"/>
      <c r="E114" s="21" t="n"/>
    </row>
    <row r="115" ht="18" customHeight="1" s="15">
      <c r="A115" s="24" t="inlineStr">
        <is>
          <t>Accrued income</t>
        </is>
      </c>
      <c r="B115" s="25" t="n"/>
      <c r="C115" s="25" t="n"/>
      <c r="D115" s="25" t="n"/>
      <c r="E115" s="25" t="n"/>
    </row>
    <row r="116" ht="18" customHeight="1" s="15">
      <c r="A116" s="24" t="inlineStr">
        <is>
          <t>Lease and hire purchase receivables</t>
        </is>
      </c>
      <c r="B116" s="25" t="n"/>
      <c r="C116" s="25" t="n"/>
      <c r="D116" s="25" t="n"/>
      <c r="E116" s="25" t="n"/>
    </row>
    <row r="117" ht="18" customHeight="1" s="15">
      <c r="A117" s="24" t="inlineStr">
        <is>
          <t>Other non-current non-trade receivables</t>
        </is>
      </c>
      <c r="B117" s="25" t="n"/>
      <c r="C117" s="25" t="n"/>
      <c r="D117" s="25" t="n"/>
      <c r="E117" s="25" t="n"/>
    </row>
    <row r="118" ht="18" customHeight="1" s="15">
      <c r="A118" s="26" t="inlineStr">
        <is>
          <t>*Total non-current non-trade receivables</t>
        </is>
      </c>
      <c r="B118" s="27">
        <f>1*B115+1*B116+1*B117</f>
        <v/>
      </c>
      <c r="C118" s="27">
        <f>1*C115+1*C116+1*C117</f>
        <v/>
      </c>
      <c r="D118" s="27">
        <f>1*D115+1*D116+1*D117</f>
        <v/>
      </c>
      <c r="E118" s="27">
        <f>1*E115+1*E116+1*E117</f>
        <v/>
      </c>
    </row>
    <row r="119" ht="18" customHeight="1" s="15">
      <c r="A119" s="26" t="inlineStr">
        <is>
          <t>Total other non-current receivables</t>
        </is>
      </c>
      <c r="B119" s="27">
        <f>1*B113+1*B118</f>
        <v/>
      </c>
      <c r="C119" s="27">
        <f>1*C113+1*C118</f>
        <v/>
      </c>
      <c r="D119" s="27">
        <f>1*D113+1*D118</f>
        <v/>
      </c>
      <c r="E119" s="27">
        <f>1*E113+1*E118</f>
        <v/>
      </c>
    </row>
    <row r="120" ht="18" customHeight="1" s="15">
      <c r="A120" s="26" t="inlineStr">
        <is>
          <t>*Total trade and other non-current receivables</t>
        </is>
      </c>
      <c r="B120" s="27">
        <f>1*B105+1*B119</f>
        <v/>
      </c>
      <c r="C120" s="27">
        <f>1*C105+1*C119</f>
        <v/>
      </c>
      <c r="D120" s="27">
        <f>1*D105+1*D119</f>
        <v/>
      </c>
      <c r="E120" s="27">
        <f>1*E105+1*E119</f>
        <v/>
      </c>
    </row>
    <row r="121" ht="18" customHeight="1" s="15">
      <c r="A121" s="20" t="inlineStr">
        <is>
          <t>Non-current derivative financial assets</t>
        </is>
      </c>
      <c r="B121" s="21" t="n"/>
      <c r="C121" s="21" t="n"/>
      <c r="D121" s="21" t="n"/>
      <c r="E121" s="21" t="n"/>
    </row>
    <row r="122" ht="18" customHeight="1" s="15">
      <c r="A122" s="20" t="inlineStr">
        <is>
          <t>Non-current derivatives at fair value through profit or loss</t>
        </is>
      </c>
      <c r="B122" s="21" t="n"/>
      <c r="C122" s="21" t="n"/>
      <c r="D122" s="21" t="n"/>
      <c r="E122" s="21" t="n"/>
    </row>
    <row r="123" ht="18" customHeight="1" s="15">
      <c r="A123" s="24" t="inlineStr">
        <is>
          <t>Forward contract</t>
        </is>
      </c>
      <c r="B123" s="25" t="n"/>
      <c r="C123" s="25" t="n"/>
      <c r="D123" s="25" t="n"/>
      <c r="E123" s="25" t="n"/>
    </row>
    <row r="124" ht="18" customHeight="1" s="15">
      <c r="A124" s="24" t="inlineStr">
        <is>
          <t>Options</t>
        </is>
      </c>
      <c r="B124" s="25" t="n"/>
      <c r="C124" s="25" t="n"/>
      <c r="D124" s="25" t="n"/>
      <c r="E124" s="25" t="n"/>
    </row>
    <row r="125" ht="18" customHeight="1" s="15">
      <c r="A125" s="24" t="inlineStr">
        <is>
          <t>Swap</t>
        </is>
      </c>
      <c r="B125" s="25" t="n"/>
      <c r="C125" s="25" t="n"/>
      <c r="D125" s="25" t="n"/>
      <c r="E125" s="25" t="n"/>
    </row>
    <row r="126" ht="18" customHeight="1" s="15">
      <c r="A126" s="24" t="inlineStr">
        <is>
          <t>Other derivatives</t>
        </is>
      </c>
      <c r="B126" s="25" t="n"/>
      <c r="C126" s="25" t="n"/>
      <c r="D126" s="25" t="n"/>
      <c r="E126" s="25" t="n"/>
    </row>
    <row r="127" ht="18" customHeight="1" s="15">
      <c r="A127" s="26" t="inlineStr">
        <is>
          <t>Total non-current derivatives at fair value through profit or loss</t>
        </is>
      </c>
      <c r="B127" s="27">
        <f>1*B123+1*B124+1*B125+1*B126</f>
        <v/>
      </c>
      <c r="C127" s="27">
        <f>1*C123+1*C124+1*C125+1*C126</f>
        <v/>
      </c>
      <c r="D127" s="27">
        <f>1*D123+1*D124+1*D125+1*D126</f>
        <v/>
      </c>
      <c r="E127" s="27">
        <f>1*E123+1*E124+1*E125+1*E126</f>
        <v/>
      </c>
    </row>
    <row r="128" ht="18" customHeight="1" s="15">
      <c r="A128" s="24" t="inlineStr">
        <is>
          <t>Other non-current derivative financial assets</t>
        </is>
      </c>
      <c r="B128" s="25" t="n"/>
      <c r="C128" s="25" t="n"/>
      <c r="D128" s="25" t="n"/>
      <c r="E128" s="25" t="n"/>
    </row>
    <row r="129" ht="18" customHeight="1" s="15">
      <c r="A129" s="26" t="inlineStr">
        <is>
          <t>*Total non-current derivative financial assets</t>
        </is>
      </c>
      <c r="B129" s="27">
        <f>1*B127+1*B128</f>
        <v/>
      </c>
      <c r="C129" s="27">
        <f>1*C127+1*C128</f>
        <v/>
      </c>
      <c r="D129" s="27">
        <f>1*D127+1*D128</f>
        <v/>
      </c>
      <c r="E129" s="27">
        <f>1*E127+1*E128</f>
        <v/>
      </c>
    </row>
    <row r="130" ht="18" customHeight="1" s="15">
      <c r="A130" s="20" t="inlineStr">
        <is>
          <t>Inventories</t>
        </is>
      </c>
      <c r="B130" s="21" t="n"/>
      <c r="C130" s="21" t="n"/>
      <c r="D130" s="21" t="n"/>
      <c r="E130" s="21" t="n"/>
    </row>
    <row r="131" ht="18" customHeight="1" s="15">
      <c r="A131" s="24" t="inlineStr">
        <is>
          <t>Raw materials</t>
        </is>
      </c>
      <c r="B131" s="25" t="n"/>
      <c r="C131" s="25" t="n"/>
      <c r="D131" s="25" t="n"/>
      <c r="E131" s="25" t="n"/>
    </row>
    <row r="132" ht="18" customHeight="1" s="15">
      <c r="A132" s="24" t="inlineStr">
        <is>
          <t>Work in progress</t>
        </is>
      </c>
      <c r="B132" s="25" t="n"/>
      <c r="C132" s="25" t="n"/>
      <c r="D132" s="25" t="n"/>
      <c r="E132" s="25" t="n"/>
    </row>
    <row r="133" ht="18" customHeight="1" s="15">
      <c r="A133" s="24" t="inlineStr">
        <is>
          <t>Finished goods</t>
        </is>
      </c>
      <c r="B133" s="25" t="n"/>
      <c r="C133" s="25" t="n"/>
      <c r="D133" s="25" t="n"/>
      <c r="E133" s="25" t="n"/>
    </row>
    <row r="134" ht="18" customHeight="1" s="15">
      <c r="A134" s="24" t="inlineStr">
        <is>
          <t>Spare parts</t>
        </is>
      </c>
      <c r="B134" s="25" t="n"/>
      <c r="C134" s="25" t="n"/>
      <c r="D134" s="25" t="n"/>
      <c r="E134" s="25" t="n"/>
    </row>
    <row r="135" ht="18" customHeight="1" s="15">
      <c r="A135" s="24" t="inlineStr">
        <is>
          <t>Other inventories</t>
        </is>
      </c>
      <c r="B135" s="25" t="n"/>
      <c r="C135" s="25" t="n"/>
      <c r="D135" s="25" t="n"/>
      <c r="E135" s="25" t="n"/>
    </row>
    <row r="136" ht="18" customHeight="1" s="15">
      <c r="A136" s="26" t="inlineStr">
        <is>
          <t>*Total inventories</t>
        </is>
      </c>
      <c r="B136" s="27">
        <f>1*B131+1*B132+1*B133+1*B134+1*B135</f>
        <v/>
      </c>
      <c r="C136" s="27">
        <f>1*C131+1*C132+1*C133+1*C134+1*C135</f>
        <v/>
      </c>
      <c r="D136" s="27">
        <f>1*D131+1*D132+1*D133+1*D134+1*D135</f>
        <v/>
      </c>
      <c r="E136" s="27">
        <f>1*E131+1*E132+1*E133+1*E134+1*E135</f>
        <v/>
      </c>
    </row>
    <row r="137" ht="18" customHeight="1" s="15">
      <c r="A137" s="20" t="inlineStr">
        <is>
          <t>Trade and other current receivables</t>
        </is>
      </c>
      <c r="B137" s="21" t="n"/>
      <c r="C137" s="21" t="n"/>
      <c r="D137" s="21" t="n"/>
      <c r="E137" s="21" t="n"/>
    </row>
    <row r="138" ht="18" customHeight="1" s="15">
      <c r="A138" s="20" t="inlineStr">
        <is>
          <t>Current trade receivables</t>
        </is>
      </c>
      <c r="B138" s="21" t="n"/>
      <c r="C138" s="21" t="n"/>
      <c r="D138" s="21" t="n"/>
      <c r="E138" s="21" t="n"/>
    </row>
    <row r="139" ht="18" customHeight="1" s="15">
      <c r="A139" s="24" t="inlineStr">
        <is>
          <t>Trade receivables</t>
        </is>
      </c>
      <c r="B139" s="25" t="n"/>
      <c r="C139" s="25" t="n"/>
      <c r="D139" s="25" t="n"/>
      <c r="E139" s="25" t="n"/>
    </row>
    <row r="140" ht="18" customHeight="1" s="15">
      <c r="A140" s="24" t="inlineStr">
        <is>
          <t>Trade receivables due from contract customers</t>
        </is>
      </c>
      <c r="B140" s="25" t="n"/>
      <c r="C140" s="25" t="n"/>
      <c r="D140" s="25" t="n"/>
      <c r="E140" s="25" t="n"/>
    </row>
    <row r="141" ht="18" customHeight="1" s="15">
      <c r="A141" s="24" t="inlineStr">
        <is>
          <t>Trade receivables due from holding company</t>
        </is>
      </c>
      <c r="B141" s="25" t="n"/>
      <c r="C141" s="25" t="n"/>
      <c r="D141" s="25" t="n"/>
      <c r="E141" s="25" t="n"/>
    </row>
    <row r="142" ht="18" customHeight="1" s="15">
      <c r="A142" s="24" t="inlineStr">
        <is>
          <t>Trade receivables due from subsidiaries</t>
        </is>
      </c>
      <c r="B142" s="25" t="n"/>
      <c r="C142" s="25" t="n"/>
      <c r="D142" s="25" t="n"/>
      <c r="E142" s="25" t="n"/>
    </row>
    <row r="143" ht="18" customHeight="1" s="15">
      <c r="A143" s="24" t="inlineStr">
        <is>
          <t>Trade receivables due from associates</t>
        </is>
      </c>
      <c r="B143" s="25" t="n"/>
      <c r="C143" s="25" t="n"/>
      <c r="D143" s="25" t="n"/>
      <c r="E143" s="25" t="n"/>
    </row>
    <row r="144" ht="18" customHeight="1" s="15">
      <c r="A144" s="24" t="inlineStr">
        <is>
          <t>Trade receivables due from joint ventures</t>
        </is>
      </c>
      <c r="B144" s="25" t="n"/>
      <c r="C144" s="25" t="n"/>
      <c r="D144" s="25" t="n"/>
      <c r="E144" s="25" t="n"/>
    </row>
    <row r="145" ht="18" customHeight="1" s="15">
      <c r="A145" s="24" t="inlineStr">
        <is>
          <t>Trade receivables due from other related parties</t>
        </is>
      </c>
      <c r="B145" s="25" t="n"/>
      <c r="C145" s="25" t="n"/>
      <c r="D145" s="25" t="n"/>
      <c r="E145" s="25" t="n"/>
    </row>
    <row r="146" ht="18" customHeight="1" s="15">
      <c r="A146" s="24" t="inlineStr">
        <is>
          <t>Unearned current carrying charges</t>
        </is>
      </c>
      <c r="B146" s="25" t="n"/>
      <c r="C146" s="25" t="n"/>
      <c r="D146" s="25" t="n"/>
      <c r="E146" s="25" t="n"/>
    </row>
    <row r="147" ht="18" customHeight="1" s="15">
      <c r="A147" s="24" t="inlineStr">
        <is>
          <t>Other current trade receivables</t>
        </is>
      </c>
      <c r="B147" s="25" t="n"/>
      <c r="C147" s="25" t="n"/>
      <c r="D147" s="25" t="n"/>
      <c r="E147" s="25" t="n"/>
    </row>
    <row r="148" ht="18" customHeight="1" s="15">
      <c r="A148" s="26" t="inlineStr">
        <is>
          <t>Total current trade receivables</t>
        </is>
      </c>
      <c r="B148" s="27">
        <f>1*B139+1*B140+1*B141+1*B142+1*B143+1*B144+1*B145+1*B146+1*B147</f>
        <v/>
      </c>
      <c r="C148" s="27">
        <f>1*C139+1*C140+1*C141+1*C142+1*C143+1*C144+1*C145+1*C146+1*C147</f>
        <v/>
      </c>
      <c r="D148" s="27">
        <f>1*D139+1*D140+1*D141+1*D142+1*D143+1*D144+1*D145+1*D146+1*D147</f>
        <v/>
      </c>
      <c r="E148" s="27">
        <f>1*E139+1*E140+1*E141+1*E142+1*E143+1*E144+1*E145+1*E146+1*E147</f>
        <v/>
      </c>
    </row>
    <row r="149" ht="18" customHeight="1" s="15">
      <c r="A149" s="20" t="inlineStr">
        <is>
          <t>Other current receivables</t>
        </is>
      </c>
      <c r="B149" s="21" t="n"/>
      <c r="C149" s="21" t="n"/>
      <c r="D149" s="21" t="n"/>
      <c r="E149" s="21" t="n"/>
    </row>
    <row r="150" ht="18" customHeight="1" s="15">
      <c r="A150" s="20" t="inlineStr">
        <is>
          <t>Other current receivables due from related parties</t>
        </is>
      </c>
      <c r="B150" s="21" t="n"/>
      <c r="C150" s="21" t="n"/>
      <c r="D150" s="21" t="n"/>
      <c r="E150" s="21" t="n"/>
    </row>
    <row r="151" ht="18" customHeight="1" s="15">
      <c r="A151" s="24" t="inlineStr">
        <is>
          <t>Other receivables due from holding company</t>
        </is>
      </c>
      <c r="B151" s="25" t="n"/>
      <c r="C151" s="25" t="n"/>
      <c r="D151" s="25" t="n"/>
      <c r="E151" s="25" t="n"/>
    </row>
    <row r="152" ht="18" customHeight="1" s="15">
      <c r="A152" s="24" t="inlineStr">
        <is>
          <t>Other receivables due from subsidiaries</t>
        </is>
      </c>
      <c r="B152" s="25" t="n"/>
      <c r="C152" s="25" t="n"/>
      <c r="D152" s="25" t="n"/>
      <c r="E152" s="25" t="n"/>
    </row>
    <row r="153" ht="18" customHeight="1" s="15">
      <c r="A153" s="24" t="inlineStr">
        <is>
          <t>Other receivables due from associates</t>
        </is>
      </c>
      <c r="B153" s="25" t="n"/>
      <c r="C153" s="25" t="n"/>
      <c r="D153" s="25" t="n"/>
      <c r="E153" s="25" t="n"/>
    </row>
    <row r="154" ht="18" customHeight="1" s="15">
      <c r="A154" s="24" t="inlineStr">
        <is>
          <t>Other receivables due from joint ventures</t>
        </is>
      </c>
      <c r="B154" s="25" t="n"/>
      <c r="C154" s="25" t="n"/>
      <c r="D154" s="25" t="n"/>
      <c r="E154" s="25" t="n"/>
    </row>
    <row r="155" ht="18" customHeight="1" s="15">
      <c r="A155" s="24" t="inlineStr">
        <is>
          <t>Other receivables due from other related parties</t>
        </is>
      </c>
      <c r="B155" s="25" t="n"/>
      <c r="C155" s="25" t="n"/>
      <c r="D155" s="25" t="n"/>
      <c r="E155" s="25" t="n"/>
    </row>
    <row r="156" ht="18" customHeight="1" s="15">
      <c r="A156" s="26" t="inlineStr">
        <is>
          <t>Total other current receivables due from related parties</t>
        </is>
      </c>
      <c r="B156" s="27">
        <f>1*B151+1*B152+1*B153+1*B154+1*B155</f>
        <v/>
      </c>
      <c r="C156" s="27">
        <f>1*C151+1*C152+1*C153+1*C154+1*C155</f>
        <v/>
      </c>
      <c r="D156" s="27">
        <f>1*D151+1*D152+1*D153+1*D154+1*D155</f>
        <v/>
      </c>
      <c r="E156" s="27">
        <f>1*E151+1*E152+1*E153+1*E154+1*E155</f>
        <v/>
      </c>
    </row>
    <row r="157" ht="18" customHeight="1" s="15">
      <c r="A157" s="20" t="inlineStr">
        <is>
          <t>Current prepayments and current accrued income</t>
        </is>
      </c>
      <c r="B157" s="21" t="n"/>
      <c r="C157" s="21" t="n"/>
      <c r="D157" s="21" t="n"/>
      <c r="E157" s="21" t="n"/>
    </row>
    <row r="158" ht="18" customHeight="1" s="15">
      <c r="A158" s="24" t="inlineStr">
        <is>
          <t>Prepayments</t>
        </is>
      </c>
      <c r="B158" s="25" t="n"/>
      <c r="C158" s="25" t="n"/>
      <c r="D158" s="25" t="n"/>
      <c r="E158" s="25" t="n"/>
    </row>
    <row r="159" ht="18" customHeight="1" s="15">
      <c r="A159" s="24" t="inlineStr">
        <is>
          <t>Accrued income</t>
        </is>
      </c>
      <c r="B159" s="25" t="n"/>
      <c r="C159" s="25" t="n"/>
      <c r="D159" s="25" t="n"/>
      <c r="E159" s="25" t="n"/>
    </row>
    <row r="160" ht="18" customHeight="1" s="15">
      <c r="A160" s="26" t="inlineStr">
        <is>
          <t>Total current prepayments and current accrued income</t>
        </is>
      </c>
      <c r="B160" s="27">
        <f>1*B158+1*B159</f>
        <v/>
      </c>
      <c r="C160" s="27">
        <f>1*C158+1*C159</f>
        <v/>
      </c>
      <c r="D160" s="27">
        <f>1*D158+1*D159</f>
        <v/>
      </c>
      <c r="E160" s="27">
        <f>1*E158+1*E159</f>
        <v/>
      </c>
    </row>
    <row r="161" ht="18" customHeight="1" s="15">
      <c r="A161" s="20" t="inlineStr">
        <is>
          <t>Current non-trade receivables</t>
        </is>
      </c>
      <c r="B161" s="21" t="n"/>
      <c r="C161" s="21" t="n"/>
      <c r="D161" s="21" t="n"/>
      <c r="E161" s="21" t="n"/>
    </row>
    <row r="162" ht="18" customHeight="1" s="15">
      <c r="A162" s="24" t="inlineStr">
        <is>
          <t>Interest receivables</t>
        </is>
      </c>
      <c r="B162" s="25" t="n"/>
      <c r="C162" s="25" t="n"/>
      <c r="D162" s="25" t="n"/>
      <c r="E162" s="25" t="n"/>
    </row>
    <row r="163" ht="18" customHeight="1" s="15">
      <c r="A163" s="24" t="inlineStr">
        <is>
          <t>Deposits</t>
        </is>
      </c>
      <c r="B163" s="25" t="n"/>
      <c r="C163" s="25" t="n"/>
      <c r="D163" s="25" t="n"/>
      <c r="E163" s="25" t="n"/>
    </row>
    <row r="164" ht="18" customHeight="1" s="15">
      <c r="A164" s="24" t="inlineStr">
        <is>
          <t>Dividend receivables</t>
        </is>
      </c>
      <c r="B164" s="25" t="n"/>
      <c r="C164" s="25" t="n"/>
      <c r="D164" s="25" t="n"/>
      <c r="E164" s="25" t="n"/>
    </row>
    <row r="165" ht="18" customHeight="1" s="15">
      <c r="A165" s="24" t="inlineStr">
        <is>
          <t>Lease and hire purchase receivables</t>
        </is>
      </c>
      <c r="B165" s="25" t="n"/>
      <c r="C165" s="25" t="n"/>
      <c r="D165" s="25" t="n"/>
      <c r="E165" s="25" t="n"/>
    </row>
    <row r="166" ht="18" customHeight="1" s="15">
      <c r="A166" s="24" t="inlineStr">
        <is>
          <t>Other current non-trade receivables</t>
        </is>
      </c>
      <c r="B166" s="25" t="n"/>
      <c r="C166" s="25" t="n"/>
      <c r="D166" s="25" t="n"/>
      <c r="E166" s="25" t="n"/>
    </row>
    <row r="167" ht="18" customHeight="1" s="15">
      <c r="A167" s="26" t="inlineStr">
        <is>
          <t>Total current non-trade receivables</t>
        </is>
      </c>
      <c r="B167" s="27">
        <f>1*B162+1*B163+1*B164+1*B165+1*B166</f>
        <v/>
      </c>
      <c r="C167" s="27">
        <f>1*C162+1*C163+1*C164+1*C165+1*C166</f>
        <v/>
      </c>
      <c r="D167" s="27">
        <f>1*D162+1*D163+1*D164+1*D165+1*D166</f>
        <v/>
      </c>
      <c r="E167" s="27">
        <f>1*E162+1*E163+1*E164+1*E165+1*E166</f>
        <v/>
      </c>
    </row>
    <row r="168" ht="18" customHeight="1" s="15">
      <c r="A168" s="26" t="inlineStr">
        <is>
          <t>Total other current receivables</t>
        </is>
      </c>
      <c r="B168" s="27">
        <f>1*B156+1*B160+1*B167</f>
        <v/>
      </c>
      <c r="C168" s="27">
        <f>1*C156+1*C160+1*C167</f>
        <v/>
      </c>
      <c r="D168" s="27">
        <f>1*D156+1*D160+1*D167</f>
        <v/>
      </c>
      <c r="E168" s="27">
        <f>1*E156+1*E160+1*E167</f>
        <v/>
      </c>
    </row>
    <row r="169" ht="18" customHeight="1" s="15">
      <c r="A169" s="26" t="inlineStr">
        <is>
          <t>*Total trade and other current receivables</t>
        </is>
      </c>
      <c r="B169" s="27">
        <f>1*B148+1*B168</f>
        <v/>
      </c>
      <c r="C169" s="27">
        <f>1*C148+1*C168</f>
        <v/>
      </c>
      <c r="D169" s="27">
        <f>1*D148+1*D168</f>
        <v/>
      </c>
      <c r="E169" s="27">
        <f>1*E148+1*E168</f>
        <v/>
      </c>
    </row>
    <row r="170" ht="18" customHeight="1" s="15">
      <c r="A170" s="20" t="inlineStr">
        <is>
          <t>Current derivative financial assets</t>
        </is>
      </c>
      <c r="B170" s="21" t="n"/>
      <c r="C170" s="21" t="n"/>
      <c r="D170" s="21" t="n"/>
      <c r="E170" s="21" t="n"/>
    </row>
    <row r="171" ht="18" customHeight="1" s="15">
      <c r="A171" s="20" t="inlineStr">
        <is>
          <t>Current derivatives at fair value through profit or loss</t>
        </is>
      </c>
      <c r="B171" s="21" t="n"/>
      <c r="C171" s="21" t="n"/>
      <c r="D171" s="21" t="n"/>
      <c r="E171" s="21" t="n"/>
    </row>
    <row r="172" ht="18" customHeight="1" s="15">
      <c r="A172" s="24" t="inlineStr">
        <is>
          <t>Forward contract</t>
        </is>
      </c>
      <c r="B172" s="25" t="n"/>
      <c r="C172" s="25" t="n"/>
      <c r="D172" s="25" t="n"/>
      <c r="E172" s="25" t="n"/>
    </row>
    <row r="173" ht="18" customHeight="1" s="15">
      <c r="A173" s="24" t="inlineStr">
        <is>
          <t>Options</t>
        </is>
      </c>
      <c r="B173" s="25" t="n"/>
      <c r="C173" s="25" t="n"/>
      <c r="D173" s="25" t="n"/>
      <c r="E173" s="25" t="n"/>
    </row>
    <row r="174" ht="18" customHeight="1" s="15">
      <c r="A174" s="24" t="inlineStr">
        <is>
          <t>Swap</t>
        </is>
      </c>
      <c r="B174" s="25" t="n"/>
      <c r="C174" s="25" t="n"/>
      <c r="D174" s="25" t="n"/>
      <c r="E174" s="25" t="n"/>
    </row>
    <row r="175" ht="18" customHeight="1" s="15">
      <c r="A175" s="24" t="inlineStr">
        <is>
          <t>Other derivatives</t>
        </is>
      </c>
      <c r="B175" s="25" t="n"/>
      <c r="C175" s="25" t="n"/>
      <c r="D175" s="25" t="n"/>
      <c r="E175" s="25" t="n"/>
    </row>
    <row r="176" ht="18" customHeight="1" s="15">
      <c r="A176" s="26" t="inlineStr">
        <is>
          <t>Total current derivatives at fair value through profit or loss</t>
        </is>
      </c>
      <c r="B176" s="27">
        <f>1*B172+1*B173+1*B174+1*B175</f>
        <v/>
      </c>
      <c r="C176" s="27">
        <f>1*C172+1*C173+1*C174+1*C175</f>
        <v/>
      </c>
      <c r="D176" s="27">
        <f>1*D172+1*D173+1*D174+1*D175</f>
        <v/>
      </c>
      <c r="E176" s="27">
        <f>1*E172+1*E173+1*E174+1*E175</f>
        <v/>
      </c>
    </row>
    <row r="177" ht="18" customHeight="1" s="15">
      <c r="A177" s="24" t="inlineStr">
        <is>
          <t>Other current derivative financial assets</t>
        </is>
      </c>
      <c r="B177" s="25" t="n"/>
      <c r="C177" s="25" t="n"/>
      <c r="D177" s="25" t="n"/>
      <c r="E177" s="25" t="n"/>
    </row>
    <row r="178" ht="18" customHeight="1" s="15">
      <c r="A178" s="26" t="inlineStr">
        <is>
          <t>*Total current derivative financial assets</t>
        </is>
      </c>
      <c r="B178" s="27">
        <f>1*B176+1*B177</f>
        <v/>
      </c>
      <c r="C178" s="27">
        <f>1*C176+1*C177</f>
        <v/>
      </c>
      <c r="D178" s="27">
        <f>1*D176+1*D177</f>
        <v/>
      </c>
      <c r="E178" s="27">
        <f>1*E176+1*E177</f>
        <v/>
      </c>
    </row>
    <row r="179" ht="18" customHeight="1" s="15">
      <c r="A179" s="20" t="inlineStr">
        <is>
          <t>Cash and cash equivalents</t>
        </is>
      </c>
      <c r="B179" s="21" t="n"/>
      <c r="C179" s="21" t="n"/>
      <c r="D179" s="21" t="n"/>
      <c r="E179" s="21" t="n"/>
    </row>
    <row r="180" ht="18" customHeight="1" s="15">
      <c r="A180" s="20" t="inlineStr">
        <is>
          <t>Cash</t>
        </is>
      </c>
      <c r="B180" s="21" t="n"/>
      <c r="C180" s="21" t="n"/>
      <c r="D180" s="21" t="n"/>
      <c r="E180" s="21" t="n"/>
    </row>
    <row r="181" ht="18" customHeight="1" s="15">
      <c r="A181" s="24" t="inlineStr">
        <is>
          <t>Cash in hand</t>
        </is>
      </c>
      <c r="B181" s="25" t="n"/>
      <c r="C181" s="25" t="n"/>
      <c r="D181" s="25" t="n"/>
      <c r="E181" s="25" t="n"/>
    </row>
    <row r="182" ht="18" customHeight="1" s="15">
      <c r="A182" s="24" t="inlineStr">
        <is>
          <t>Balances with Licensed Banks</t>
        </is>
      </c>
      <c r="B182" s="25" t="n"/>
      <c r="C182" s="25" t="n"/>
      <c r="D182" s="25" t="n"/>
      <c r="E182" s="25" t="n"/>
    </row>
    <row r="183" ht="18" customHeight="1" s="15">
      <c r="A183" s="26" t="inlineStr">
        <is>
          <t>*Total cash</t>
        </is>
      </c>
      <c r="B183" s="27">
        <f>1*B181+1*B182</f>
        <v/>
      </c>
      <c r="C183" s="27">
        <f>1*C181+1*C182</f>
        <v/>
      </c>
      <c r="D183" s="27">
        <f>1*D181+1*D182</f>
        <v/>
      </c>
      <c r="E183" s="27">
        <f>1*E181+1*E182</f>
        <v/>
      </c>
    </row>
    <row r="184" ht="18" customHeight="1" s="15">
      <c r="A184" s="20" t="inlineStr">
        <is>
          <t>Cash equivalents</t>
        </is>
      </c>
      <c r="B184" s="21" t="n"/>
      <c r="C184" s="21" t="n"/>
      <c r="D184" s="21" t="n"/>
      <c r="E184" s="21" t="n"/>
    </row>
    <row r="185" ht="18" customHeight="1" s="15">
      <c r="A185" s="24" t="inlineStr">
        <is>
          <t>Deposits placed with licensed banks</t>
        </is>
      </c>
      <c r="B185" s="25" t="n"/>
      <c r="C185" s="25" t="n"/>
      <c r="D185" s="25" t="n"/>
      <c r="E185" s="25" t="n"/>
    </row>
    <row r="186" ht="18" customHeight="1" s="15">
      <c r="A186" s="24" t="inlineStr">
        <is>
          <t>Deposit placed with other corporations</t>
        </is>
      </c>
      <c r="B186" s="25" t="n"/>
      <c r="C186" s="25" t="n"/>
      <c r="D186" s="25" t="n"/>
      <c r="E186" s="25" t="n"/>
    </row>
    <row r="187" ht="18" customHeight="1" s="15">
      <c r="A187" s="24" t="inlineStr">
        <is>
          <t>Cash equivalents with other financial institutions</t>
        </is>
      </c>
      <c r="B187" s="25" t="n"/>
      <c r="C187" s="25" t="n"/>
      <c r="D187" s="25" t="n"/>
      <c r="E187" s="25" t="n"/>
    </row>
    <row r="188" ht="18" customHeight="1" s="15">
      <c r="A188" s="24" t="inlineStr">
        <is>
          <t>Short-term deposits</t>
        </is>
      </c>
      <c r="B188" s="25" t="n"/>
      <c r="C188" s="25" t="n"/>
      <c r="D188" s="25" t="n"/>
      <c r="E188" s="25" t="n"/>
    </row>
    <row r="189" ht="18" customHeight="1" s="15">
      <c r="A189" s="24" t="inlineStr">
        <is>
          <t>Short-term investments</t>
        </is>
      </c>
      <c r="B189" s="25" t="n"/>
      <c r="C189" s="25" t="n"/>
      <c r="D189" s="25" t="n"/>
      <c r="E189" s="25" t="n"/>
    </row>
    <row r="190" ht="18" customHeight="1" s="15">
      <c r="A190" s="24" t="inlineStr">
        <is>
          <t>Other banking arrangements</t>
        </is>
      </c>
      <c r="B190" s="25" t="n"/>
      <c r="C190" s="25" t="n"/>
      <c r="D190" s="25" t="n"/>
      <c r="E190" s="25" t="n"/>
    </row>
    <row r="191" ht="18" customHeight="1" s="15">
      <c r="A191" s="26" t="inlineStr">
        <is>
          <t>*Total cash equivalents</t>
        </is>
      </c>
      <c r="B191" s="27">
        <f>1*B185+1*B186+1*B187+1*B188+1*B189+1*B190</f>
        <v/>
      </c>
      <c r="C191" s="27">
        <f>1*C185+1*C186+1*C187+1*C188+1*C189+1*C190</f>
        <v/>
      </c>
      <c r="D191" s="27">
        <f>1*D185+1*D186+1*D187+1*D188+1*D189+1*D190</f>
        <v/>
      </c>
      <c r="E191" s="27">
        <f>1*E185+1*E186+1*E187+1*E188+1*E189+1*E190</f>
        <v/>
      </c>
    </row>
    <row r="192" ht="18" customHeight="1" s="15">
      <c r="A192" s="24" t="inlineStr">
        <is>
          <t>Other cash and cash equivalents</t>
        </is>
      </c>
      <c r="B192" s="25" t="n"/>
      <c r="C192" s="25" t="n"/>
      <c r="D192" s="25" t="n"/>
      <c r="E192" s="25" t="n"/>
    </row>
    <row r="193" ht="18" customHeight="1" s="15">
      <c r="A193" s="26" t="inlineStr">
        <is>
          <t>*Total cash and cash equivalents</t>
        </is>
      </c>
      <c r="B193" s="27">
        <f>1*B183+1*B191+1*B192</f>
        <v/>
      </c>
      <c r="C193" s="27">
        <f>1*C183+1*C191+1*C192</f>
        <v/>
      </c>
      <c r="D193" s="27">
        <f>1*D183+1*D191+1*D192</f>
        <v/>
      </c>
      <c r="E193" s="27">
        <f>1*E183+1*E191+1*E192</f>
        <v/>
      </c>
    </row>
    <row r="194" ht="18" customHeight="1" s="15">
      <c r="A194" s="20" t="inlineStr">
        <is>
          <t>Other non-current assets</t>
        </is>
      </c>
      <c r="B194" s="21" t="n"/>
      <c r="C194" s="21" t="n"/>
      <c r="D194" s="21" t="n"/>
      <c r="E194" s="21" t="n"/>
    </row>
    <row r="195" ht="18" customHeight="1" s="15">
      <c r="A195" s="24" t="inlineStr">
        <is>
          <t>Prepaid rental of buildings and facilities</t>
        </is>
      </c>
      <c r="B195" s="25" t="n"/>
      <c r="C195" s="25" t="n"/>
      <c r="D195" s="25" t="n"/>
      <c r="E195" s="25" t="n"/>
    </row>
    <row r="196" ht="18" customHeight="1" s="15">
      <c r="A196" s="24" t="inlineStr">
        <is>
          <t>Prepaid land lease</t>
        </is>
      </c>
      <c r="B196" s="25" t="n"/>
      <c r="C196" s="25" t="n"/>
      <c r="D196" s="25" t="n"/>
      <c r="E196" s="25" t="n"/>
    </row>
    <row r="197" ht="18" customHeight="1" s="15">
      <c r="A197" s="24" t="inlineStr">
        <is>
          <t>Other non-current assets</t>
        </is>
      </c>
      <c r="B197" s="25" t="n"/>
      <c r="C197" s="25" t="n"/>
      <c r="D197" s="25" t="n"/>
      <c r="E197" s="25" t="n"/>
    </row>
    <row r="198" ht="18" customHeight="1" s="15">
      <c r="A198" s="26" t="inlineStr">
        <is>
          <t>*Total other non-current assets</t>
        </is>
      </c>
      <c r="B198" s="27">
        <f>1*B195+1*B196+1*B197</f>
        <v/>
      </c>
      <c r="C198" s="27">
        <f>1*C195+1*C196+1*C197</f>
        <v/>
      </c>
      <c r="D198" s="27">
        <f>1*D195+1*D196+1*D197</f>
        <v/>
      </c>
      <c r="E198" s="27">
        <f>1*E195+1*E196+1*E197</f>
        <v/>
      </c>
    </row>
    <row r="199" ht="18" customHeight="1" s="15">
      <c r="A199" s="20" t="inlineStr">
        <is>
          <t>Issued capital</t>
        </is>
      </c>
      <c r="B199" s="21" t="n"/>
      <c r="C199" s="21" t="n"/>
      <c r="D199" s="21" t="n"/>
      <c r="E199" s="21" t="n"/>
    </row>
    <row r="200" ht="18" customHeight="1" s="15">
      <c r="A200" s="24" t="inlineStr">
        <is>
          <t>Capital from ordinary shares</t>
        </is>
      </c>
      <c r="B200" s="25" t="n"/>
      <c r="C200" s="25" t="n"/>
      <c r="D200" s="25" t="n"/>
      <c r="E200" s="25" t="n"/>
    </row>
    <row r="201" ht="18" customHeight="1" s="15">
      <c r="A201" s="24" t="inlineStr">
        <is>
          <t>Capital from redeemable preference shares</t>
        </is>
      </c>
      <c r="B201" s="25" t="n"/>
      <c r="C201" s="25" t="n"/>
      <c r="D201" s="25" t="n"/>
      <c r="E201" s="25" t="n"/>
    </row>
    <row r="202" ht="18" customHeight="1" s="15">
      <c r="A202" s="24" t="inlineStr">
        <is>
          <t>Capital from non-redeemable preference shares</t>
        </is>
      </c>
      <c r="B202" s="25" t="n"/>
      <c r="C202" s="25" t="n"/>
      <c r="D202" s="25" t="n"/>
      <c r="E202" s="25" t="n"/>
    </row>
    <row r="203" ht="18" customHeight="1" s="15">
      <c r="A203" s="26" t="inlineStr">
        <is>
          <t>*Total issued capital</t>
        </is>
      </c>
      <c r="B203" s="27">
        <f>1*B200+1*B201+1*B202</f>
        <v/>
      </c>
      <c r="C203" s="27">
        <f>1*C200+1*C201+1*C202</f>
        <v/>
      </c>
      <c r="D203" s="27">
        <f>1*D200+1*D201+1*D202</f>
        <v/>
      </c>
      <c r="E203" s="27">
        <f>1*E200+1*E201+1*E202</f>
        <v/>
      </c>
    </row>
    <row r="204" ht="18" customHeight="1" s="15">
      <c r="A204" s="20" t="inlineStr">
        <is>
          <t>Reserves</t>
        </is>
      </c>
      <c r="B204" s="21" t="n"/>
      <c r="C204" s="21" t="n"/>
      <c r="D204" s="21" t="n"/>
      <c r="E204" s="21" t="n"/>
    </row>
    <row r="205" ht="18" customHeight="1" s="15">
      <c r="A205" s="20" t="inlineStr">
        <is>
          <t>Non-distributable</t>
        </is>
      </c>
      <c r="B205" s="21" t="n"/>
      <c r="C205" s="21" t="n"/>
      <c r="D205" s="21" t="n"/>
      <c r="E205" s="21" t="n"/>
    </row>
    <row r="206" ht="18" customHeight="1" s="15">
      <c r="A206" s="24" t="inlineStr">
        <is>
          <t>Capital reserve</t>
        </is>
      </c>
      <c r="B206" s="25" t="n"/>
      <c r="C206" s="25" t="n"/>
      <c r="D206" s="25" t="n"/>
      <c r="E206" s="25" t="n"/>
    </row>
    <row r="207" ht="18" customHeight="1" s="15">
      <c r="A207" s="24" t="inlineStr">
        <is>
          <t>Hedging reserve</t>
        </is>
      </c>
      <c r="B207" s="25" t="n"/>
      <c r="C207" s="25" t="n"/>
      <c r="D207" s="25" t="n"/>
      <c r="E207" s="25" t="n"/>
    </row>
    <row r="208" ht="18" customHeight="1" s="15">
      <c r="A208" s="24" t="inlineStr">
        <is>
          <t>Foreign currency translation reserve</t>
        </is>
      </c>
      <c r="B208" s="25" t="n"/>
      <c r="C208" s="25" t="n"/>
      <c r="D208" s="25" t="n"/>
      <c r="E208" s="25" t="n"/>
    </row>
    <row r="209" ht="18" customHeight="1" s="15">
      <c r="A209" s="24" t="inlineStr">
        <is>
          <t>Reserve of share-based payments</t>
        </is>
      </c>
      <c r="B209" s="25" t="n"/>
      <c r="C209" s="25" t="n"/>
      <c r="D209" s="25" t="n"/>
      <c r="E209" s="25" t="n"/>
    </row>
    <row r="210" ht="18" customHeight="1" s="15">
      <c r="A210" s="24" t="inlineStr">
        <is>
          <t>Revaluation surplus</t>
        </is>
      </c>
      <c r="B210" s="25" t="n"/>
      <c r="C210" s="25" t="n"/>
      <c r="D210" s="25" t="n"/>
      <c r="E210" s="25" t="n"/>
    </row>
    <row r="211" ht="18" customHeight="1" s="15">
      <c r="A211" s="24" t="inlineStr">
        <is>
          <t>Statutory reserve</t>
        </is>
      </c>
      <c r="B211" s="25" t="n"/>
      <c r="C211" s="25" t="n"/>
      <c r="D211" s="25" t="n"/>
      <c r="E211" s="25" t="n"/>
    </row>
    <row r="212" ht="18" customHeight="1" s="15">
      <c r="A212" s="24" t="inlineStr">
        <is>
          <t>Warrant reserve</t>
        </is>
      </c>
      <c r="B212" s="25" t="n"/>
      <c r="C212" s="25" t="n"/>
      <c r="D212" s="25" t="n"/>
      <c r="E212" s="25" t="n"/>
    </row>
    <row r="213" ht="18" customHeight="1" s="15">
      <c r="A213" s="24" t="inlineStr">
        <is>
          <t>Other non-distributable reserves</t>
        </is>
      </c>
      <c r="B213" s="25" t="n"/>
      <c r="C213" s="25" t="n"/>
      <c r="D213" s="25" t="n"/>
      <c r="E213" s="25" t="n"/>
    </row>
    <row r="214" ht="18" customHeight="1" s="15">
      <c r="A214" s="26" t="inlineStr">
        <is>
          <t>Total non-distributable reserves</t>
        </is>
      </c>
      <c r="B214" s="27">
        <f>1*B206+1*B207+1*B208+1*B209+1*B210+1*B211+1*B212+1*B213</f>
        <v/>
      </c>
      <c r="C214" s="27">
        <f>1*C206+1*C207+1*C208+1*C209+1*C210+1*C211+1*C212+1*C213</f>
        <v/>
      </c>
      <c r="D214" s="27">
        <f>1*D206+1*D207+1*D208+1*D209+1*D210+1*D211+1*D212+1*D213</f>
        <v/>
      </c>
      <c r="E214" s="27">
        <f>1*E206+1*E207+1*E208+1*E209+1*E210+1*E211+1*E212+1*E213</f>
        <v/>
      </c>
    </row>
    <row r="215" ht="18" customHeight="1" s="15">
      <c r="A215" s="20" t="inlineStr">
        <is>
          <t>Distributable</t>
        </is>
      </c>
      <c r="B215" s="21" t="n"/>
      <c r="C215" s="21" t="n"/>
      <c r="D215" s="21" t="n"/>
      <c r="E215" s="21" t="n"/>
    </row>
    <row r="216" ht="18" customHeight="1" s="15">
      <c r="A216" s="24" t="inlineStr">
        <is>
          <t>Fair value reserves</t>
        </is>
      </c>
      <c r="B216" s="25" t="n"/>
      <c r="C216" s="25" t="n"/>
      <c r="D216" s="25" t="n"/>
      <c r="E216" s="25" t="n"/>
    </row>
    <row r="217" ht="18" customHeight="1" s="15">
      <c r="A217" s="24" t="inlineStr">
        <is>
          <t>Reserve of non-current assets classified as held for sale</t>
        </is>
      </c>
      <c r="B217" s="25" t="n"/>
      <c r="C217" s="25" t="n"/>
      <c r="D217" s="25" t="n"/>
      <c r="E217" s="25" t="n"/>
    </row>
    <row r="218" ht="18" customHeight="1" s="15">
      <c r="A218" s="24" t="inlineStr">
        <is>
          <t>Consolidation reserve</t>
        </is>
      </c>
      <c r="B218" s="25" t="n"/>
      <c r="C218" s="25" t="n"/>
      <c r="D218" s="25" t="n"/>
      <c r="E218" s="25" t="n"/>
    </row>
    <row r="219" ht="18" customHeight="1" s="15">
      <c r="A219" s="24" t="inlineStr">
        <is>
          <t>Warranty reserve</t>
        </is>
      </c>
      <c r="B219" s="25" t="n"/>
      <c r="C219" s="25" t="n"/>
      <c r="D219" s="25" t="n"/>
      <c r="E219" s="25" t="n"/>
    </row>
    <row r="220" ht="18" customHeight="1" s="15">
      <c r="A220" s="24" t="inlineStr">
        <is>
          <t>Other distributable reserves</t>
        </is>
      </c>
      <c r="B220" s="25" t="n"/>
      <c r="C220" s="25" t="n"/>
      <c r="D220" s="25" t="n"/>
      <c r="E220" s="25" t="n"/>
    </row>
    <row r="221" ht="18" customHeight="1" s="15">
      <c r="A221" s="26" t="inlineStr">
        <is>
          <t>Total distributable reserves</t>
        </is>
      </c>
      <c r="B221" s="27">
        <f>1*B216+1*B217+1*B218+1*B219+1*B220</f>
        <v/>
      </c>
      <c r="C221" s="27">
        <f>1*C216+1*C217+1*C218+1*C219+1*C220</f>
        <v/>
      </c>
      <c r="D221" s="27">
        <f>1*D216+1*D217+1*D218+1*D219+1*D220</f>
        <v/>
      </c>
      <c r="E221" s="27">
        <f>1*E216+1*E217+1*E218+1*E219+1*E220</f>
        <v/>
      </c>
    </row>
    <row r="222" ht="18" customHeight="1" s="15">
      <c r="A222" s="26" t="inlineStr">
        <is>
          <t>*Total reserves</t>
        </is>
      </c>
      <c r="B222" s="27">
        <f>1*B214+1*B221</f>
        <v/>
      </c>
      <c r="C222" s="27">
        <f>1*C214+1*C221</f>
        <v/>
      </c>
      <c r="D222" s="27">
        <f>1*D214+1*D221</f>
        <v/>
      </c>
      <c r="E222" s="27">
        <f>1*E214+1*E221</f>
        <v/>
      </c>
    </row>
    <row r="223" ht="18" customHeight="1" s="15">
      <c r="A223" s="20" t="inlineStr">
        <is>
          <t>Equity - others components</t>
        </is>
      </c>
      <c r="B223" s="21" t="n"/>
      <c r="C223" s="21" t="n"/>
      <c r="D223" s="21" t="n"/>
      <c r="E223" s="21" t="n"/>
    </row>
    <row r="224" ht="18" customHeight="1" s="15">
      <c r="A224" s="24" t="inlineStr">
        <is>
          <t>Perpetual sukuk</t>
        </is>
      </c>
      <c r="B224" s="25" t="n"/>
      <c r="C224" s="25" t="n"/>
      <c r="D224" s="25" t="n"/>
      <c r="E224" s="25" t="n"/>
    </row>
    <row r="225" ht="18" customHeight="1" s="15">
      <c r="A225" s="24" t="inlineStr">
        <is>
          <t>Equity component of Irredeemable Convertible Unsecured Loan Stocks (ICULS)</t>
        </is>
      </c>
      <c r="B225" s="25" t="n"/>
      <c r="C225" s="25" t="n"/>
      <c r="D225" s="25" t="n"/>
      <c r="E225" s="25" t="n"/>
    </row>
    <row r="226" ht="18" customHeight="1" s="15">
      <c r="A226" s="24" t="inlineStr">
        <is>
          <t>Equity component of preference shares</t>
        </is>
      </c>
      <c r="B226" s="25" t="n"/>
      <c r="C226" s="25" t="n"/>
      <c r="D226" s="25" t="n"/>
      <c r="E226" s="25" t="n"/>
    </row>
    <row r="227" ht="18" customHeight="1" s="15">
      <c r="A227" s="24" t="inlineStr">
        <is>
          <t>Head office accounts</t>
        </is>
      </c>
      <c r="B227" s="25" t="n"/>
      <c r="C227" s="25" t="n"/>
      <c r="D227" s="25" t="n"/>
      <c r="E227" s="25" t="n"/>
    </row>
    <row r="228" ht="18" customHeight="1" s="15">
      <c r="A228" s="24" t="inlineStr">
        <is>
          <t>Equity components of other financial instruments</t>
        </is>
      </c>
      <c r="B228" s="25" t="n"/>
      <c r="C228" s="25" t="n"/>
      <c r="D228" s="25" t="n"/>
      <c r="E228" s="25" t="n"/>
    </row>
    <row r="229" ht="18" customHeight="1" s="15">
      <c r="A229" s="26" t="inlineStr">
        <is>
          <t>*Total equity - other components</t>
        </is>
      </c>
      <c r="B229" s="27">
        <f>1*B224+1*B225+1*B226+1*B227+1*B228</f>
        <v/>
      </c>
      <c r="C229" s="27">
        <f>1*C224+1*C225+1*C226+1*C227+1*C228</f>
        <v/>
      </c>
      <c r="D229" s="27">
        <f>1*D224+1*D225+1*D226+1*D227+1*D228</f>
        <v/>
      </c>
      <c r="E229" s="27">
        <f>1*E224+1*E225+1*E226+1*E227+1*E228</f>
        <v/>
      </c>
    </row>
    <row r="230" ht="18" customHeight="1" s="15">
      <c r="A230" s="20" t="inlineStr">
        <is>
          <t>Non-current borrowings</t>
        </is>
      </c>
      <c r="B230" s="21" t="n"/>
      <c r="C230" s="21" t="n"/>
      <c r="D230" s="21" t="n"/>
      <c r="E230" s="21" t="n"/>
    </row>
    <row r="231" ht="18" customHeight="1" s="15">
      <c r="A231" s="20" t="inlineStr">
        <is>
          <t>Non-current portion of non-current secured bank loans received</t>
        </is>
      </c>
      <c r="B231" s="21" t="n"/>
      <c r="C231" s="21" t="n"/>
      <c r="D231" s="21" t="n"/>
      <c r="E231" s="21" t="n"/>
    </row>
    <row r="232" ht="18" customHeight="1" s="15">
      <c r="A232" s="24" t="inlineStr">
        <is>
          <t>Term loans</t>
        </is>
      </c>
      <c r="B232" s="25" t="n"/>
      <c r="C232" s="25" t="n"/>
      <c r="D232" s="25" t="n"/>
      <c r="E232" s="25" t="n"/>
    </row>
    <row r="233" ht="18" customHeight="1" s="15">
      <c r="A233" s="24" t="inlineStr">
        <is>
          <t>Islamic financing facilities</t>
        </is>
      </c>
      <c r="B233" s="25" t="n"/>
      <c r="C233" s="25" t="n"/>
      <c r="D233" s="25" t="n"/>
      <c r="E233" s="25" t="n"/>
    </row>
    <row r="234" ht="18" customHeight="1" s="15">
      <c r="A234" s="24" t="inlineStr">
        <is>
          <t>Hire purchase and finance lease liabilities</t>
        </is>
      </c>
      <c r="B234" s="25" t="n"/>
      <c r="C234" s="25" t="n"/>
      <c r="D234" s="25" t="n"/>
      <c r="E234" s="25" t="n"/>
    </row>
    <row r="235" ht="18" customHeight="1" s="15">
      <c r="A235" s="24" t="inlineStr">
        <is>
          <t>Islamic medium term notes</t>
        </is>
      </c>
      <c r="B235" s="25" t="n"/>
      <c r="C235" s="25" t="n"/>
      <c r="D235" s="25" t="n"/>
      <c r="E235" s="25" t="n"/>
    </row>
    <row r="236" ht="18" customHeight="1" s="15">
      <c r="A236" s="24" t="inlineStr">
        <is>
          <t>Sukuk</t>
        </is>
      </c>
      <c r="B236" s="25" t="n"/>
      <c r="C236" s="25" t="n"/>
      <c r="D236" s="25" t="n"/>
      <c r="E236" s="25" t="n"/>
    </row>
    <row r="237" ht="18" customHeight="1" s="15">
      <c r="A237" s="24" t="inlineStr">
        <is>
          <t>Revolving credit and others</t>
        </is>
      </c>
      <c r="B237" s="25" t="n"/>
      <c r="C237" s="25" t="n"/>
      <c r="D237" s="25" t="n"/>
      <c r="E237" s="25" t="n"/>
    </row>
    <row r="238" ht="18" customHeight="1" s="15">
      <c r="A238" s="24" t="inlineStr">
        <is>
          <t>Other secured bank loans</t>
        </is>
      </c>
      <c r="B238" s="25" t="n"/>
      <c r="C238" s="25" t="n"/>
      <c r="D238" s="25" t="n"/>
      <c r="E238" s="25" t="n"/>
    </row>
    <row r="239" ht="18" customHeight="1" s="15">
      <c r="A239" s="26" t="inlineStr">
        <is>
          <t>Total non-current portion of non-current secured bank loans received</t>
        </is>
      </c>
      <c r="B239" s="27">
        <f>1*B232+1*B233+1*B234+1*B235+1*B236+1*B237+1*B238</f>
        <v/>
      </c>
      <c r="C239" s="27">
        <f>1*C232+1*C233+1*C234+1*C235+1*C236+1*C237+1*C238</f>
        <v/>
      </c>
      <c r="D239" s="27">
        <f>1*D232+1*D233+1*D234+1*D235+1*D236+1*D237+1*D238</f>
        <v/>
      </c>
      <c r="E239" s="27">
        <f>1*E232+1*E233+1*E234+1*E235+1*E236+1*E237+1*E238</f>
        <v/>
      </c>
    </row>
    <row r="240" ht="18" customHeight="1" s="15">
      <c r="A240" s="20" t="inlineStr">
        <is>
          <t>Non-current portion of non-current unsecured bank loans received</t>
        </is>
      </c>
      <c r="B240" s="21" t="n"/>
      <c r="C240" s="21" t="n"/>
      <c r="D240" s="21" t="n"/>
      <c r="E240" s="21" t="n"/>
    </row>
    <row r="241" ht="18" customHeight="1" s="15">
      <c r="A241" s="24" t="inlineStr">
        <is>
          <t>Term loans</t>
        </is>
      </c>
      <c r="B241" s="25" t="n"/>
      <c r="C241" s="25" t="n"/>
      <c r="D241" s="25" t="n"/>
      <c r="E241" s="25" t="n"/>
    </row>
    <row r="242" ht="18" customHeight="1" s="15">
      <c r="A242" s="24" t="inlineStr">
        <is>
          <t>Irredeemable Convertible Unsecured Loan Stocks (ICULS)</t>
        </is>
      </c>
      <c r="B242" s="25" t="n"/>
      <c r="C242" s="25" t="n"/>
      <c r="D242" s="25" t="n"/>
      <c r="E242" s="25" t="n"/>
    </row>
    <row r="243" ht="18" customHeight="1" s="15">
      <c r="A243" s="24" t="inlineStr">
        <is>
          <t>Islamic financing facilities</t>
        </is>
      </c>
      <c r="B243" s="25" t="n"/>
      <c r="C243" s="25" t="n"/>
      <c r="D243" s="25" t="n"/>
      <c r="E243" s="25" t="n"/>
    </row>
    <row r="244" ht="18" customHeight="1" s="15">
      <c r="A244" s="24" t="inlineStr">
        <is>
          <t>Hire purchase and finance lease liabilities</t>
        </is>
      </c>
      <c r="B244" s="25" t="n"/>
      <c r="C244" s="25" t="n"/>
      <c r="D244" s="25" t="n"/>
      <c r="E244" s="25" t="n"/>
    </row>
    <row r="245" ht="18" customHeight="1" s="15">
      <c r="A245" s="24" t="inlineStr">
        <is>
          <t>Islamic medium term notes</t>
        </is>
      </c>
      <c r="B245" s="25" t="n"/>
      <c r="C245" s="25" t="n"/>
      <c r="D245" s="25" t="n"/>
      <c r="E245" s="25" t="n"/>
    </row>
    <row r="246" ht="18" customHeight="1" s="15">
      <c r="A246" s="24" t="inlineStr">
        <is>
          <t>Sukuk</t>
        </is>
      </c>
      <c r="B246" s="25" t="n"/>
      <c r="C246" s="25" t="n"/>
      <c r="D246" s="25" t="n"/>
      <c r="E246" s="25" t="n"/>
    </row>
    <row r="247" ht="18" customHeight="1" s="15">
      <c r="A247" s="24" t="inlineStr">
        <is>
          <t>Revolving credit and others</t>
        </is>
      </c>
      <c r="B247" s="25" t="n"/>
      <c r="C247" s="25" t="n"/>
      <c r="D247" s="25" t="n"/>
      <c r="E247" s="25" t="n"/>
    </row>
    <row r="248" ht="18" customHeight="1" s="15">
      <c r="A248" s="24" t="inlineStr">
        <is>
          <t>Other unsecured bank loans received</t>
        </is>
      </c>
      <c r="B248" s="25" t="n"/>
      <c r="C248" s="25" t="n"/>
      <c r="D248" s="25" t="n"/>
      <c r="E248" s="25" t="n"/>
    </row>
    <row r="249" ht="18" customHeight="1" s="15">
      <c r="A249" s="26" t="inlineStr">
        <is>
          <t>Total non-current portion of non-current unsecured bank loans received</t>
        </is>
      </c>
      <c r="B249" s="27">
        <f>1*B241+1*B242+1*B243+1*B244+1*B245+1*B246+1*B247+1*B248</f>
        <v/>
      </c>
      <c r="C249" s="27">
        <f>1*C241+1*C242+1*C243+1*C244+1*C245+1*C246+1*C247+1*C248</f>
        <v/>
      </c>
      <c r="D249" s="27">
        <f>1*D241+1*D242+1*D243+1*D244+1*D245+1*D246+1*D247+1*D248</f>
        <v/>
      </c>
      <c r="E249" s="27">
        <f>1*E241+1*E242+1*E243+1*E244+1*E245+1*E246+1*E247+1*E248</f>
        <v/>
      </c>
    </row>
    <row r="250" ht="18" customHeight="1" s="15">
      <c r="A250" s="20" t="inlineStr">
        <is>
          <t>Non-current portion of secured bonds, sukuk and loan stock</t>
        </is>
      </c>
      <c r="B250" s="21" t="n"/>
      <c r="C250" s="21" t="n"/>
      <c r="D250" s="21" t="n"/>
      <c r="E250" s="21" t="n"/>
    </row>
    <row r="251" ht="18" customHeight="1" s="15">
      <c r="A251" s="24" t="inlineStr">
        <is>
          <t>Bonds</t>
        </is>
      </c>
      <c r="B251" s="25" t="n"/>
      <c r="C251" s="25" t="n"/>
      <c r="D251" s="25" t="n"/>
      <c r="E251" s="25" t="n"/>
    </row>
    <row r="252" ht="18" customHeight="1" s="15">
      <c r="A252" s="24" t="inlineStr">
        <is>
          <t>Sukuk</t>
        </is>
      </c>
      <c r="B252" s="25" t="n"/>
      <c r="C252" s="25" t="n"/>
      <c r="D252" s="25" t="n"/>
      <c r="E252" s="25" t="n"/>
    </row>
    <row r="253" ht="18" customHeight="1" s="15">
      <c r="A253" s="24" t="inlineStr">
        <is>
          <t>Medium term notes</t>
        </is>
      </c>
      <c r="B253" s="25" t="n"/>
      <c r="C253" s="25" t="n"/>
      <c r="D253" s="25" t="n"/>
      <c r="E253" s="25" t="n"/>
    </row>
    <row r="254" ht="18" customHeight="1" s="15">
      <c r="A254" s="24" t="inlineStr">
        <is>
          <t>Loan stocks</t>
        </is>
      </c>
      <c r="B254" s="25" t="n"/>
      <c r="C254" s="25" t="n"/>
      <c r="D254" s="25" t="n"/>
      <c r="E254" s="25" t="n"/>
    </row>
    <row r="255" ht="18" customHeight="1" s="15">
      <c r="A255" s="24" t="inlineStr">
        <is>
          <t>Preference shares</t>
        </is>
      </c>
      <c r="B255" s="25" t="n"/>
      <c r="C255" s="25" t="n"/>
      <c r="D255" s="25" t="n"/>
      <c r="E255" s="25" t="n"/>
    </row>
    <row r="256" ht="18" customHeight="1" s="15">
      <c r="A256" s="26" t="inlineStr">
        <is>
          <t>Total non-current portion of secured bonds/sukuk/loan stocks</t>
        </is>
      </c>
      <c r="B256" s="27">
        <f>1*B251+1*B252+1*B253+1*B254+1*B255</f>
        <v/>
      </c>
      <c r="C256" s="27">
        <f>1*C251+1*C252+1*C253+1*C254+1*C255</f>
        <v/>
      </c>
      <c r="D256" s="27">
        <f>1*D251+1*D252+1*D253+1*D254+1*D255</f>
        <v/>
      </c>
      <c r="E256" s="27">
        <f>1*E251+1*E252+1*E253+1*E254+1*E255</f>
        <v/>
      </c>
    </row>
    <row r="257" ht="18" customHeight="1" s="15">
      <c r="A257" s="20" t="inlineStr">
        <is>
          <t>Non-current portion of unsecured bonds, sukuk and loan stock</t>
        </is>
      </c>
      <c r="B257" s="21" t="n"/>
      <c r="C257" s="21" t="n"/>
      <c r="D257" s="21" t="n"/>
      <c r="E257" s="21" t="n"/>
    </row>
    <row r="258" ht="18" customHeight="1" s="15">
      <c r="A258" s="24" t="inlineStr">
        <is>
          <t>Bonds</t>
        </is>
      </c>
      <c r="B258" s="25" t="n"/>
      <c r="C258" s="25" t="n"/>
      <c r="D258" s="25" t="n"/>
      <c r="E258" s="25" t="n"/>
    </row>
    <row r="259" ht="18" customHeight="1" s="15">
      <c r="A259" s="24" t="inlineStr">
        <is>
          <t>Sukuk</t>
        </is>
      </c>
      <c r="B259" s="25" t="n"/>
      <c r="C259" s="25" t="n"/>
      <c r="D259" s="25" t="n"/>
      <c r="E259" s="25" t="n"/>
    </row>
    <row r="260" ht="18" customHeight="1" s="15">
      <c r="A260" s="24" t="inlineStr">
        <is>
          <t>Medium term notes</t>
        </is>
      </c>
      <c r="B260" s="25" t="n"/>
      <c r="C260" s="25" t="n"/>
      <c r="D260" s="25" t="n"/>
      <c r="E260" s="25" t="n"/>
    </row>
    <row r="261" ht="18" customHeight="1" s="15">
      <c r="A261" s="24" t="inlineStr">
        <is>
          <t>Loan stocks</t>
        </is>
      </c>
      <c r="B261" s="25" t="n"/>
      <c r="C261" s="25" t="n"/>
      <c r="D261" s="25" t="n"/>
      <c r="E261" s="25" t="n"/>
    </row>
    <row r="262" ht="18" customHeight="1" s="15">
      <c r="A262" s="24" t="inlineStr">
        <is>
          <t>Preference shares</t>
        </is>
      </c>
      <c r="B262" s="25" t="n"/>
      <c r="C262" s="25" t="n"/>
      <c r="D262" s="25" t="n"/>
      <c r="E262" s="25" t="n"/>
    </row>
    <row r="263" ht="18" customHeight="1" s="15">
      <c r="A263" s="26" t="inlineStr">
        <is>
          <t>Total non-current portion of unsecured bonds/sukuk/loan stocks</t>
        </is>
      </c>
      <c r="B263" s="27">
        <f>1*B258+1*B259+1*B260+1*B261+1*B262</f>
        <v/>
      </c>
      <c r="C263" s="27">
        <f>1*C258+1*C259+1*C260+1*C261+1*C262</f>
        <v/>
      </c>
      <c r="D263" s="27">
        <f>1*D258+1*D259+1*D260+1*D261+1*D262</f>
        <v/>
      </c>
      <c r="E263" s="27">
        <f>1*E258+1*E259+1*E260+1*E261+1*E262</f>
        <v/>
      </c>
    </row>
    <row r="264" ht="18" customHeight="1" s="15">
      <c r="A264" s="20" t="inlineStr">
        <is>
          <t>Other non-current borrowings</t>
        </is>
      </c>
      <c r="B264" s="21" t="n"/>
      <c r="C264" s="21" t="n"/>
      <c r="D264" s="21" t="n"/>
      <c r="E264" s="21" t="n"/>
    </row>
    <row r="265" ht="18" customHeight="1" s="15">
      <c r="A265" s="24" t="inlineStr">
        <is>
          <t>Loan from subsidiaries</t>
        </is>
      </c>
      <c r="B265" s="25" t="n"/>
      <c r="C265" s="25" t="n"/>
      <c r="D265" s="25" t="n"/>
      <c r="E265" s="25" t="n"/>
    </row>
    <row r="266" ht="18" customHeight="1" s="15">
      <c r="A266" s="24" t="inlineStr">
        <is>
          <t>Loan from associates</t>
        </is>
      </c>
      <c r="B266" s="25" t="n"/>
      <c r="C266" s="25" t="n"/>
      <c r="D266" s="25" t="n"/>
      <c r="E266" s="25" t="n"/>
    </row>
    <row r="267" ht="18" customHeight="1" s="15">
      <c r="A267" s="24" t="inlineStr">
        <is>
          <t>Loan from joint ventures</t>
        </is>
      </c>
      <c r="B267" s="25" t="n"/>
      <c r="C267" s="25" t="n"/>
      <c r="D267" s="25" t="n"/>
      <c r="E267" s="25" t="n"/>
    </row>
    <row r="268" ht="18" customHeight="1" s="15">
      <c r="A268" s="24" t="inlineStr">
        <is>
          <t>Redeemable preference shares</t>
        </is>
      </c>
      <c r="B268" s="25" t="n"/>
      <c r="C268" s="25" t="n"/>
      <c r="D268" s="25" t="n"/>
      <c r="E268" s="25" t="n"/>
    </row>
    <row r="269" ht="18" customHeight="1" s="15">
      <c r="A269" s="24" t="inlineStr">
        <is>
          <t>Other non-current borrowings</t>
        </is>
      </c>
      <c r="B269" s="25" t="n"/>
      <c r="C269" s="25" t="n"/>
      <c r="D269" s="25" t="n"/>
      <c r="E269" s="25" t="n"/>
    </row>
    <row r="270" ht="18" customHeight="1" s="15">
      <c r="A270" s="26" t="inlineStr">
        <is>
          <t>Total other non-current borrowings</t>
        </is>
      </c>
      <c r="B270" s="27">
        <f>1*B265+1*B266+1*B267+1*B268+1*B269</f>
        <v/>
      </c>
      <c r="C270" s="27">
        <f>1*C265+1*C266+1*C267+1*C268+1*C269</f>
        <v/>
      </c>
      <c r="D270" s="27">
        <f>1*D265+1*D266+1*D267+1*D268+1*D269</f>
        <v/>
      </c>
      <c r="E270" s="27">
        <f>1*E265+1*E266+1*E267+1*E268+1*E269</f>
        <v/>
      </c>
    </row>
    <row r="271" ht="18" customHeight="1" s="15">
      <c r="A271" s="26" t="inlineStr">
        <is>
          <t>*Total non-current borrowings</t>
        </is>
      </c>
      <c r="B271" s="27">
        <f>1*B239+1*B249+1*B256+1*B263+1*B270</f>
        <v/>
      </c>
      <c r="C271" s="27">
        <f>1*C239+1*C249+1*C256+1*C263+1*C270</f>
        <v/>
      </c>
      <c r="D271" s="27">
        <f>1*D239+1*D249+1*D256+1*D263+1*D270</f>
        <v/>
      </c>
      <c r="E271" s="27">
        <f>1*E239+1*E249+1*E256+1*E263+1*E270</f>
        <v/>
      </c>
    </row>
    <row r="272" ht="18" customHeight="1" s="15">
      <c r="A272" s="20" t="inlineStr">
        <is>
          <t>Non-current employee benefit liabilities</t>
        </is>
      </c>
      <c r="B272" s="21" t="n"/>
      <c r="C272" s="21" t="n"/>
      <c r="D272" s="21" t="n"/>
      <c r="E272" s="21" t="n"/>
    </row>
    <row r="273" ht="18" customHeight="1" s="15">
      <c r="A273" s="24" t="inlineStr">
        <is>
          <t>Cash-settled share-based payment liability</t>
        </is>
      </c>
      <c r="B273" s="25" t="n"/>
      <c r="C273" s="25" t="n"/>
      <c r="D273" s="25" t="n"/>
      <c r="E273" s="25" t="n"/>
    </row>
    <row r="274" ht="18" customHeight="1" s="15">
      <c r="A274" s="24" t="inlineStr">
        <is>
          <t>Retirement benefits</t>
        </is>
      </c>
      <c r="B274" s="25" t="n"/>
      <c r="C274" s="25" t="n"/>
      <c r="D274" s="25" t="n"/>
      <c r="E274" s="25" t="n"/>
    </row>
    <row r="275" ht="18" customHeight="1" s="15">
      <c r="A275" s="24" t="inlineStr">
        <is>
          <t>Employment termination benefits</t>
        </is>
      </c>
      <c r="B275" s="25" t="n"/>
      <c r="C275" s="25" t="n"/>
      <c r="D275" s="25" t="n"/>
      <c r="E275" s="25" t="n"/>
    </row>
    <row r="276" ht="18" customHeight="1" s="15">
      <c r="A276" s="24" t="inlineStr">
        <is>
          <t>Provision for unconsumed leave</t>
        </is>
      </c>
      <c r="B276" s="25" t="n"/>
      <c r="C276" s="25" t="n"/>
      <c r="D276" s="25" t="n"/>
      <c r="E276" s="25" t="n"/>
    </row>
    <row r="277" ht="18" customHeight="1" s="15">
      <c r="A277" s="24" t="inlineStr">
        <is>
          <t>Defined contribution plan</t>
        </is>
      </c>
      <c r="B277" s="25" t="n"/>
      <c r="C277" s="25" t="n"/>
      <c r="D277" s="25" t="n"/>
      <c r="E277" s="25" t="n"/>
    </row>
    <row r="278" ht="18" customHeight="1" s="15">
      <c r="A278" s="24" t="inlineStr">
        <is>
          <t>Defined benefit plan</t>
        </is>
      </c>
      <c r="B278" s="25" t="n"/>
      <c r="C278" s="25" t="n"/>
      <c r="D278" s="25" t="n"/>
      <c r="E278" s="25" t="n"/>
    </row>
    <row r="279" ht="18" customHeight="1" s="15">
      <c r="A279" s="24" t="inlineStr">
        <is>
          <t>Other non-current employee benefit liabilities</t>
        </is>
      </c>
      <c r="B279" s="25" t="n"/>
      <c r="C279" s="25" t="n"/>
      <c r="D279" s="25" t="n"/>
      <c r="E279" s="25" t="n"/>
    </row>
    <row r="280" ht="18" customHeight="1" s="15">
      <c r="A280" s="26" t="inlineStr">
        <is>
          <t>*Total non-current employee benefit liabilities</t>
        </is>
      </c>
      <c r="B280" s="27">
        <f>1*B273+1*B274+1*B275+1*B276+1*B277+1*B278+1*B279</f>
        <v/>
      </c>
      <c r="C280" s="27">
        <f>1*C273+1*C274+1*C275+1*C276+1*C277+1*C278+1*C279</f>
        <v/>
      </c>
      <c r="D280" s="27">
        <f>1*D273+1*D274+1*D275+1*D276+1*D277+1*D278+1*D279</f>
        <v/>
      </c>
      <c r="E280" s="27">
        <f>1*E273+1*E274+1*E275+1*E276+1*E277+1*E278+1*E279</f>
        <v/>
      </c>
    </row>
    <row r="281" ht="18" customHeight="1" s="15">
      <c r="A281" s="20" t="inlineStr">
        <is>
          <t>Non-current provisions</t>
        </is>
      </c>
      <c r="B281" s="21" t="n"/>
      <c r="C281" s="21" t="n"/>
      <c r="D281" s="21" t="n"/>
      <c r="E281" s="21" t="n"/>
    </row>
    <row r="282" ht="18" customHeight="1" s="15">
      <c r="A282" s="24" t="inlineStr">
        <is>
          <t>Warranty provision</t>
        </is>
      </c>
      <c r="B282" s="25" t="n"/>
      <c r="C282" s="25" t="n"/>
      <c r="D282" s="25" t="n"/>
      <c r="E282" s="25" t="n"/>
    </row>
    <row r="283" ht="18" customHeight="1" s="15">
      <c r="A283" s="24" t="inlineStr">
        <is>
          <t>Restructuring provision</t>
        </is>
      </c>
      <c r="B283" s="25" t="n"/>
      <c r="C283" s="25" t="n"/>
      <c r="D283" s="25" t="n"/>
      <c r="E283" s="25" t="n"/>
    </row>
    <row r="284" ht="18" customHeight="1" s="15">
      <c r="A284" s="24" t="inlineStr">
        <is>
          <t>Legal proceedings provision</t>
        </is>
      </c>
      <c r="B284" s="25" t="n"/>
      <c r="C284" s="25" t="n"/>
      <c r="D284" s="25" t="n"/>
      <c r="E284" s="25" t="n"/>
    </row>
    <row r="285" ht="18" customHeight="1" s="15">
      <c r="A285" s="24" t="inlineStr">
        <is>
          <t>Refund provision</t>
        </is>
      </c>
      <c r="B285" s="25" t="n"/>
      <c r="C285" s="25" t="n"/>
      <c r="D285" s="25" t="n"/>
      <c r="E285" s="25" t="n"/>
    </row>
    <row r="286" ht="18" customHeight="1" s="15">
      <c r="A286" s="24" t="inlineStr">
        <is>
          <t>Onerous contracts provision</t>
        </is>
      </c>
      <c r="B286" s="25" t="n"/>
      <c r="C286" s="25" t="n"/>
      <c r="D286" s="25" t="n"/>
      <c r="E286" s="25" t="n"/>
    </row>
    <row r="287" ht="18" customHeight="1" s="15">
      <c r="A287" s="24" t="inlineStr">
        <is>
          <t>Provision for decommissioning, restoration and rehabilitation costs</t>
        </is>
      </c>
      <c r="B287" s="25" t="n"/>
      <c r="C287" s="25" t="n"/>
      <c r="D287" s="25" t="n"/>
      <c r="E287" s="25" t="n"/>
    </row>
    <row r="288" ht="18" customHeight="1" s="15">
      <c r="A288" s="24" t="inlineStr">
        <is>
          <t>Other non-current provisions</t>
        </is>
      </c>
      <c r="B288" s="25" t="n"/>
      <c r="C288" s="25" t="n"/>
      <c r="D288" s="25" t="n"/>
      <c r="E288" s="25" t="n"/>
    </row>
    <row r="289" ht="18" customHeight="1" s="15">
      <c r="A289" s="26" t="inlineStr">
        <is>
          <t>*Total non-current provisions</t>
        </is>
      </c>
      <c r="B289" s="27">
        <f>1*B282+1*B283+1*B284+1*B285+1*B286+1*B287+1*B288</f>
        <v/>
      </c>
      <c r="C289" s="27">
        <f>1*C282+1*C283+1*C284+1*C285+1*C286+1*C287+1*C288</f>
        <v/>
      </c>
      <c r="D289" s="27">
        <f>1*D282+1*D283+1*D284+1*D285+1*D286+1*D287+1*D288</f>
        <v/>
      </c>
      <c r="E289" s="27">
        <f>1*E282+1*E283+1*E284+1*E285+1*E286+1*E287+1*E288</f>
        <v/>
      </c>
    </row>
    <row r="290" ht="18" customHeight="1" s="15">
      <c r="A290" s="20" t="inlineStr">
        <is>
          <t>Trade and other non-current payables</t>
        </is>
      </c>
      <c r="B290" s="21" t="n"/>
      <c r="C290" s="21" t="n"/>
      <c r="D290" s="21" t="n"/>
      <c r="E290" s="21" t="n"/>
    </row>
    <row r="291" ht="18" customHeight="1" s="15">
      <c r="A291" s="20" t="inlineStr">
        <is>
          <t>Non-current trade payables</t>
        </is>
      </c>
      <c r="B291" s="21" t="n"/>
      <c r="C291" s="21" t="n"/>
      <c r="D291" s="21" t="n"/>
      <c r="E291" s="21" t="n"/>
    </row>
    <row r="292" ht="18" customHeight="1" s="15">
      <c r="A292" s="24" t="inlineStr">
        <is>
          <t>Trade payables</t>
        </is>
      </c>
      <c r="B292" s="25" t="n"/>
      <c r="C292" s="25" t="n"/>
      <c r="D292" s="25" t="n"/>
      <c r="E292" s="25" t="n"/>
    </row>
    <row r="293" ht="18" customHeight="1" s="15">
      <c r="A293" s="24" t="inlineStr">
        <is>
          <t>Trade payables due to holding company</t>
        </is>
      </c>
      <c r="B293" s="25" t="n"/>
      <c r="C293" s="25" t="n"/>
      <c r="D293" s="25" t="n"/>
      <c r="E293" s="25" t="n"/>
    </row>
    <row r="294" ht="18" customHeight="1" s="15">
      <c r="A294" s="24" t="inlineStr">
        <is>
          <t>Trade payables due to subsidiaries</t>
        </is>
      </c>
      <c r="B294" s="25" t="n"/>
      <c r="C294" s="25" t="n"/>
      <c r="D294" s="25" t="n"/>
      <c r="E294" s="25" t="n"/>
    </row>
    <row r="295" ht="18" customHeight="1" s="15">
      <c r="A295" s="24" t="inlineStr">
        <is>
          <t>Trade payables due to associates</t>
        </is>
      </c>
      <c r="B295" s="25" t="n"/>
      <c r="C295" s="25" t="n"/>
      <c r="D295" s="25" t="n"/>
      <c r="E295" s="25" t="n"/>
    </row>
    <row r="296" ht="18" customHeight="1" s="15">
      <c r="A296" s="24" t="inlineStr">
        <is>
          <t>Trade payables due to joint ventures</t>
        </is>
      </c>
      <c r="B296" s="25" t="n"/>
      <c r="C296" s="25" t="n"/>
      <c r="D296" s="25" t="n"/>
      <c r="E296" s="25" t="n"/>
    </row>
    <row r="297" ht="18" customHeight="1" s="15">
      <c r="A297" s="24" t="inlineStr">
        <is>
          <t>Trade payables due to other related parties</t>
        </is>
      </c>
      <c r="B297" s="25" t="n"/>
      <c r="C297" s="25" t="n"/>
      <c r="D297" s="25" t="n"/>
      <c r="E297" s="25" t="n"/>
    </row>
    <row r="298" ht="18" customHeight="1" s="15">
      <c r="A298" s="24" t="inlineStr">
        <is>
          <t>Other non-current trade payables</t>
        </is>
      </c>
      <c r="B298" s="25" t="n"/>
      <c r="C298" s="25" t="n"/>
      <c r="D298" s="25" t="n"/>
      <c r="E298" s="25" t="n"/>
    </row>
    <row r="299" ht="18" customHeight="1" s="15">
      <c r="A299" s="26" t="inlineStr">
        <is>
          <t>Total non-current trade payables</t>
        </is>
      </c>
      <c r="B299" s="27">
        <f>1*B292+1*B293+1*B294+1*B295+1*B296+1*B297+1*B298</f>
        <v/>
      </c>
      <c r="C299" s="27">
        <f>1*C292+1*C293+1*C294+1*C295+1*C296+1*C297+1*C298</f>
        <v/>
      </c>
      <c r="D299" s="27">
        <f>1*D292+1*D293+1*D294+1*D295+1*D296+1*D297+1*D298</f>
        <v/>
      </c>
      <c r="E299" s="27">
        <f>1*E292+1*E293+1*E294+1*E295+1*E296+1*E297+1*E298</f>
        <v/>
      </c>
    </row>
    <row r="300" ht="18" customHeight="1" s="15">
      <c r="A300" s="20" t="inlineStr">
        <is>
          <t>Other non-current payables</t>
        </is>
      </c>
      <c r="B300" s="21" t="n"/>
      <c r="C300" s="21" t="n"/>
      <c r="D300" s="21" t="n"/>
      <c r="E300" s="21" t="n"/>
    </row>
    <row r="301" ht="18" customHeight="1" s="15">
      <c r="A301" s="20" t="inlineStr">
        <is>
          <t>Other non-current payables due to related parties</t>
        </is>
      </c>
      <c r="B301" s="21" t="n"/>
      <c r="C301" s="21" t="n"/>
      <c r="D301" s="21" t="n"/>
      <c r="E301" s="21" t="n"/>
    </row>
    <row r="302" ht="18" customHeight="1" s="15">
      <c r="A302" s="24" t="inlineStr">
        <is>
          <t>Other payables due to holding company</t>
        </is>
      </c>
      <c r="B302" s="25" t="n"/>
      <c r="C302" s="25" t="n"/>
      <c r="D302" s="25" t="n"/>
      <c r="E302" s="25" t="n"/>
    </row>
    <row r="303" ht="18" customHeight="1" s="15">
      <c r="A303" s="24" t="inlineStr">
        <is>
          <t>Other payables due to subsidiaries</t>
        </is>
      </c>
      <c r="B303" s="25" t="n"/>
      <c r="C303" s="25" t="n"/>
      <c r="D303" s="25" t="n"/>
      <c r="E303" s="25" t="n"/>
    </row>
    <row r="304" ht="18" customHeight="1" s="15">
      <c r="A304" s="24" t="inlineStr">
        <is>
          <t>Other payables due to associates</t>
        </is>
      </c>
      <c r="B304" s="25" t="n"/>
      <c r="C304" s="25" t="n"/>
      <c r="D304" s="25" t="n"/>
      <c r="E304" s="25" t="n"/>
    </row>
    <row r="305" ht="18" customHeight="1" s="15">
      <c r="A305" s="24" t="inlineStr">
        <is>
          <t>Other payables due to joint ventures</t>
        </is>
      </c>
      <c r="B305" s="25" t="n"/>
      <c r="C305" s="25" t="n"/>
      <c r="D305" s="25" t="n"/>
      <c r="E305" s="25" t="n"/>
    </row>
    <row r="306" ht="18" customHeight="1" s="15">
      <c r="A306" s="24" t="inlineStr">
        <is>
          <t>Other payables due to other related parties</t>
        </is>
      </c>
      <c r="B306" s="25" t="n"/>
      <c r="C306" s="25" t="n"/>
      <c r="D306" s="25" t="n"/>
      <c r="E306" s="25" t="n"/>
    </row>
    <row r="307" ht="18" customHeight="1" s="15">
      <c r="A307" s="26" t="inlineStr">
        <is>
          <t>Total other non-current payables due to related parties</t>
        </is>
      </c>
      <c r="B307" s="27">
        <f>1*B302+1*B303+1*B304+1*B305+1*B306</f>
        <v/>
      </c>
      <c r="C307" s="27">
        <f>1*C302+1*C303+1*C304+1*C305+1*C306</f>
        <v/>
      </c>
      <c r="D307" s="27">
        <f>1*D302+1*D303+1*D304+1*D305+1*D306</f>
        <v/>
      </c>
      <c r="E307" s="27">
        <f>1*E302+1*E303+1*E304+1*E305+1*E306</f>
        <v/>
      </c>
    </row>
    <row r="308" ht="18" customHeight="1" s="15">
      <c r="A308" s="20" t="inlineStr">
        <is>
          <t>Other payables due to non-controlling interests</t>
        </is>
      </c>
      <c r="B308" s="21" t="n"/>
      <c r="C308" s="21" t="n"/>
      <c r="D308" s="21" t="n"/>
      <c r="E308" s="21" t="n"/>
    </row>
    <row r="309" ht="18" customHeight="1" s="15">
      <c r="A309" s="24" t="inlineStr">
        <is>
          <t>Dividend payable to non-controlling interest</t>
        </is>
      </c>
      <c r="B309" s="25" t="n"/>
      <c r="C309" s="25" t="n"/>
      <c r="D309" s="25" t="n"/>
      <c r="E309" s="25" t="n"/>
    </row>
    <row r="310" ht="18" customHeight="1" s="15">
      <c r="A310" s="24" t="inlineStr">
        <is>
          <t>Loans from non-controlling interest</t>
        </is>
      </c>
      <c r="B310" s="25" t="n"/>
      <c r="C310" s="25" t="n"/>
      <c r="D310" s="25" t="n"/>
      <c r="E310" s="25" t="n"/>
    </row>
    <row r="311" ht="18" customHeight="1" s="15">
      <c r="A311" s="24" t="inlineStr">
        <is>
          <t>Miscellaneous payables due to non-controlling interests</t>
        </is>
      </c>
      <c r="B311" s="25" t="n"/>
      <c r="C311" s="25" t="n"/>
      <c r="D311" s="25" t="n"/>
      <c r="E311" s="25" t="n"/>
    </row>
    <row r="312" ht="18" customHeight="1" s="15">
      <c r="A312" s="26" t="inlineStr">
        <is>
          <t>Total other payables due to non-controlling interests</t>
        </is>
      </c>
      <c r="B312" s="27">
        <f>1*B309+1*B310+1*B311</f>
        <v/>
      </c>
      <c r="C312" s="27">
        <f>1*C309+1*C310+1*C311</f>
        <v/>
      </c>
      <c r="D312" s="27">
        <f>1*D309+1*D310+1*D311</f>
        <v/>
      </c>
      <c r="E312" s="27">
        <f>1*E309+1*E310+1*E311</f>
        <v/>
      </c>
    </row>
    <row r="313" ht="18" customHeight="1" s="15">
      <c r="A313" s="20" t="inlineStr">
        <is>
          <t>Non-current non-trade payables</t>
        </is>
      </c>
      <c r="B313" s="21" t="n"/>
      <c r="C313" s="21" t="n"/>
      <c r="D313" s="21" t="n"/>
      <c r="E313" s="21" t="n"/>
    </row>
    <row r="314" ht="18" customHeight="1" s="15">
      <c r="A314" s="24" t="inlineStr">
        <is>
          <t>Deferred income</t>
        </is>
      </c>
      <c r="B314" s="25" t="n"/>
      <c r="C314" s="25" t="n"/>
      <c r="D314" s="25" t="n"/>
      <c r="E314" s="25" t="n"/>
    </row>
    <row r="315" ht="18" customHeight="1" s="15">
      <c r="A315" s="24" t="inlineStr">
        <is>
          <t>Accruals</t>
        </is>
      </c>
      <c r="B315" s="25" t="n"/>
      <c r="C315" s="25" t="n"/>
      <c r="D315" s="25" t="n"/>
      <c r="E315" s="25" t="n"/>
    </row>
    <row r="316" ht="18" customHeight="1" s="15">
      <c r="A316" s="24" t="inlineStr">
        <is>
          <t>Retention payable</t>
        </is>
      </c>
      <c r="B316" s="25" t="n"/>
      <c r="C316" s="25" t="n"/>
      <c r="D316" s="25" t="n"/>
      <c r="E316" s="25" t="n"/>
    </row>
    <row r="317" ht="18" customHeight="1" s="15">
      <c r="A317" s="24" t="inlineStr">
        <is>
          <t>Deposits</t>
        </is>
      </c>
      <c r="B317" s="25" t="n"/>
      <c r="C317" s="25" t="n"/>
      <c r="D317" s="25" t="n"/>
      <c r="E317" s="25" t="n"/>
    </row>
    <row r="318" ht="18" customHeight="1" s="15">
      <c r="A318" s="24" t="inlineStr">
        <is>
          <t>Other non-current non-trade payables</t>
        </is>
      </c>
      <c r="B318" s="25" t="n"/>
      <c r="C318" s="25" t="n"/>
      <c r="D318" s="25" t="n"/>
      <c r="E318" s="25" t="n"/>
    </row>
    <row r="319" ht="18" customHeight="1" s="15">
      <c r="A319" s="26" t="inlineStr">
        <is>
          <t>Total non-current non-trade payables</t>
        </is>
      </c>
      <c r="B319" s="27">
        <f>1*B314+1*B315+1*B316+1*B317+1*B318</f>
        <v/>
      </c>
      <c r="C319" s="27">
        <f>1*C314+1*C315+1*C316+1*C317+1*C318</f>
        <v/>
      </c>
      <c r="D319" s="27">
        <f>1*D314+1*D315+1*D316+1*D317+1*D318</f>
        <v/>
      </c>
      <c r="E319" s="27">
        <f>1*E314+1*E315+1*E316+1*E317+1*E318</f>
        <v/>
      </c>
    </row>
    <row r="320" ht="18" customHeight="1" s="15">
      <c r="A320" s="24" t="inlineStr">
        <is>
          <t>Other non-current payables</t>
        </is>
      </c>
      <c r="B320" s="28">
        <f>1*B307+1*B312+1*B319</f>
        <v/>
      </c>
      <c r="C320" s="28">
        <f>1*C307+1*C312+1*C319</f>
        <v/>
      </c>
      <c r="D320" s="28">
        <f>1*D307+1*D312+1*D319</f>
        <v/>
      </c>
      <c r="E320" s="28">
        <f>1*E307+1*E312+1*E319</f>
        <v/>
      </c>
    </row>
    <row r="321" ht="18" customHeight="1" s="15">
      <c r="A321" s="26" t="inlineStr">
        <is>
          <t>*Total trade and other non-current payables</t>
        </is>
      </c>
      <c r="B321" s="27">
        <f>1*B299+1*B320</f>
        <v/>
      </c>
      <c r="C321" s="27">
        <f>1*C299+1*C320</f>
        <v/>
      </c>
      <c r="D321" s="27">
        <f>1*D299+1*D320</f>
        <v/>
      </c>
      <c r="E321" s="27">
        <f>1*E299+1*E320</f>
        <v/>
      </c>
    </row>
    <row r="322" ht="18" customHeight="1" s="15">
      <c r="A322" s="20" t="inlineStr">
        <is>
          <t>Non-current derivative financial liabilities</t>
        </is>
      </c>
      <c r="B322" s="21" t="n"/>
      <c r="C322" s="21" t="n"/>
      <c r="D322" s="21" t="n"/>
      <c r="E322" s="21" t="n"/>
    </row>
    <row r="323" ht="18" customHeight="1" s="15">
      <c r="A323" s="20" t="inlineStr">
        <is>
          <t>Non-current derivatives at fair value through profit or loss</t>
        </is>
      </c>
      <c r="B323" s="21" t="n"/>
      <c r="C323" s="21" t="n"/>
      <c r="D323" s="21" t="n"/>
      <c r="E323" s="21" t="n"/>
    </row>
    <row r="324" ht="18" customHeight="1" s="15">
      <c r="A324" s="24" t="inlineStr">
        <is>
          <t>Forward contract</t>
        </is>
      </c>
      <c r="B324" s="25" t="n"/>
      <c r="C324" s="25" t="n"/>
      <c r="D324" s="25" t="n"/>
      <c r="E324" s="25" t="n"/>
    </row>
    <row r="325" ht="18" customHeight="1" s="15">
      <c r="A325" s="24" t="inlineStr">
        <is>
          <t>Options</t>
        </is>
      </c>
      <c r="B325" s="25" t="n"/>
      <c r="C325" s="25" t="n"/>
      <c r="D325" s="25" t="n"/>
      <c r="E325" s="25" t="n"/>
    </row>
    <row r="326" ht="18" customHeight="1" s="15">
      <c r="A326" s="24" t="inlineStr">
        <is>
          <t>Swap</t>
        </is>
      </c>
      <c r="B326" s="25" t="n"/>
      <c r="C326" s="25" t="n"/>
      <c r="D326" s="25" t="n"/>
      <c r="E326" s="25" t="n"/>
    </row>
    <row r="327" ht="18" customHeight="1" s="15">
      <c r="A327" s="24" t="inlineStr">
        <is>
          <t>Other derivatives</t>
        </is>
      </c>
      <c r="B327" s="25" t="n"/>
      <c r="C327" s="25" t="n"/>
      <c r="D327" s="25" t="n"/>
      <c r="E327" s="25" t="n"/>
    </row>
    <row r="328" ht="18" customHeight="1" s="15">
      <c r="A328" s="26" t="inlineStr">
        <is>
          <t>Total non-current derivatives at fair value through profit or loss</t>
        </is>
      </c>
      <c r="B328" s="27">
        <f>1*B324+1*B325+1*B326+1*B327</f>
        <v/>
      </c>
      <c r="C328" s="27">
        <f>1*C324+1*C325+1*C326+1*C327</f>
        <v/>
      </c>
      <c r="D328" s="27">
        <f>1*D324+1*D325+1*D326+1*D327</f>
        <v/>
      </c>
      <c r="E328" s="27">
        <f>1*E324+1*E325+1*E326+1*E327</f>
        <v/>
      </c>
    </row>
    <row r="329" ht="18" customHeight="1" s="15">
      <c r="A329" s="20" t="inlineStr">
        <is>
          <t>Non-current Derivates used for hedging</t>
        </is>
      </c>
      <c r="B329" s="21" t="n"/>
      <c r="C329" s="21" t="n"/>
      <c r="D329" s="21" t="n"/>
      <c r="E329" s="21" t="n"/>
    </row>
    <row r="330" ht="18" customHeight="1" s="15">
      <c r="A330" s="24" t="inlineStr">
        <is>
          <t>Forward contract</t>
        </is>
      </c>
      <c r="B330" s="25" t="n"/>
      <c r="C330" s="25" t="n"/>
      <c r="D330" s="25" t="n"/>
      <c r="E330" s="25" t="n"/>
    </row>
    <row r="331" ht="18" customHeight="1" s="15">
      <c r="A331" s="24" t="inlineStr">
        <is>
          <t>Options</t>
        </is>
      </c>
      <c r="B331" s="25" t="n"/>
      <c r="C331" s="25" t="n"/>
      <c r="D331" s="25" t="n"/>
      <c r="E331" s="25" t="n"/>
    </row>
    <row r="332" ht="18" customHeight="1" s="15">
      <c r="A332" s="24" t="inlineStr">
        <is>
          <t>Swap</t>
        </is>
      </c>
      <c r="B332" s="25" t="n"/>
      <c r="C332" s="25" t="n"/>
      <c r="D332" s="25" t="n"/>
      <c r="E332" s="25" t="n"/>
    </row>
    <row r="333" ht="18" customHeight="1" s="15">
      <c r="A333" s="24" t="inlineStr">
        <is>
          <t>Other derivatives</t>
        </is>
      </c>
      <c r="B333" s="25" t="n"/>
      <c r="C333" s="25" t="n"/>
      <c r="D333" s="25" t="n"/>
      <c r="E333" s="25" t="n"/>
    </row>
    <row r="334" ht="18" customHeight="1" s="15">
      <c r="A334" s="26" t="inlineStr">
        <is>
          <t>Total non-current derivatives used for hedging</t>
        </is>
      </c>
      <c r="B334" s="27">
        <f>1*B330+1*B331+1*B332+1*B333</f>
        <v/>
      </c>
      <c r="C334" s="27">
        <f>1*C330+1*C331+1*C332+1*C333</f>
        <v/>
      </c>
      <c r="D334" s="27">
        <f>1*D330+1*D331+1*D332+1*D333</f>
        <v/>
      </c>
      <c r="E334" s="27">
        <f>1*E330+1*E331+1*E332+1*E333</f>
        <v/>
      </c>
    </row>
    <row r="335" ht="18" customHeight="1" s="15">
      <c r="A335" s="24" t="inlineStr">
        <is>
          <t>Other non-current derivative financial liabilities</t>
        </is>
      </c>
      <c r="B335" s="25" t="n"/>
      <c r="C335" s="25" t="n"/>
      <c r="D335" s="25" t="n"/>
      <c r="E335" s="25" t="n"/>
    </row>
    <row r="336" ht="18" customHeight="1" s="15">
      <c r="A336" s="26" t="inlineStr">
        <is>
          <t>*Total non-current derivative financial liabilities</t>
        </is>
      </c>
      <c r="B336" s="27">
        <f>1*B328+1*B334+1*B335</f>
        <v/>
      </c>
      <c r="C336" s="27">
        <f>1*C328+1*C334+1*C335</f>
        <v/>
      </c>
      <c r="D336" s="27">
        <f>1*D328+1*D334+1*D335</f>
        <v/>
      </c>
      <c r="E336" s="27">
        <f>1*E328+1*E334+1*E335</f>
        <v/>
      </c>
    </row>
    <row r="337" ht="18" customHeight="1" s="15">
      <c r="A337" s="20" t="inlineStr">
        <is>
          <t>Current borrowings</t>
        </is>
      </c>
      <c r="B337" s="21" t="n"/>
      <c r="C337" s="21" t="n"/>
      <c r="D337" s="21" t="n"/>
      <c r="E337" s="21" t="n"/>
    </row>
    <row r="338" ht="18" customHeight="1" s="15">
      <c r="A338" s="20" t="inlineStr">
        <is>
          <t>Current secured bank loans received and current portion of non-current secured bank loans received</t>
        </is>
      </c>
      <c r="B338" s="21" t="n"/>
      <c r="C338" s="21" t="n"/>
      <c r="D338" s="21" t="n"/>
      <c r="E338" s="21" t="n"/>
    </row>
    <row r="339" ht="18" customHeight="1" s="15">
      <c r="A339" s="24" t="inlineStr">
        <is>
          <t>Bankers' acceptance</t>
        </is>
      </c>
      <c r="B339" s="25" t="n"/>
      <c r="C339" s="25" t="n"/>
      <c r="D339" s="25" t="n"/>
      <c r="E339" s="25" t="n"/>
    </row>
    <row r="340" ht="18" customHeight="1" s="15">
      <c r="A340" s="24" t="inlineStr">
        <is>
          <t>Bank overdrafts</t>
        </is>
      </c>
      <c r="B340" s="25" t="n"/>
      <c r="C340" s="25" t="n"/>
      <c r="D340" s="25" t="n"/>
      <c r="E340" s="25" t="n"/>
    </row>
    <row r="341" ht="18" customHeight="1" s="15">
      <c r="A341" s="24" t="inlineStr">
        <is>
          <t>Trade financing facilities</t>
        </is>
      </c>
      <c r="B341" s="25" t="n"/>
      <c r="C341" s="25" t="n"/>
      <c r="D341" s="25" t="n"/>
      <c r="E341" s="25" t="n"/>
    </row>
    <row r="342" ht="18" customHeight="1" s="15">
      <c r="A342" s="24" t="inlineStr">
        <is>
          <t>Term loans</t>
        </is>
      </c>
      <c r="B342" s="25" t="n"/>
      <c r="C342" s="25" t="n"/>
      <c r="D342" s="25" t="n"/>
      <c r="E342" s="25" t="n"/>
    </row>
    <row r="343" ht="18" customHeight="1" s="15">
      <c r="A343" s="24" t="inlineStr">
        <is>
          <t>Islamic financing facilities</t>
        </is>
      </c>
      <c r="B343" s="25" t="n"/>
      <c r="C343" s="25" t="n"/>
      <c r="D343" s="25" t="n"/>
      <c r="E343" s="25" t="n"/>
    </row>
    <row r="344" ht="18" customHeight="1" s="15">
      <c r="A344" s="24" t="inlineStr">
        <is>
          <t>Hire purchase and finance lease liabilities</t>
        </is>
      </c>
      <c r="B344" s="25" t="n"/>
      <c r="C344" s="25" t="n"/>
      <c r="D344" s="25" t="n"/>
      <c r="E344" s="25" t="n"/>
    </row>
    <row r="345" ht="18" customHeight="1" s="15">
      <c r="A345" s="24" t="inlineStr">
        <is>
          <t>Islamic medium term notes</t>
        </is>
      </c>
      <c r="B345" s="25" t="n"/>
      <c r="C345" s="25" t="n"/>
      <c r="D345" s="25" t="n"/>
      <c r="E345" s="25" t="n"/>
    </row>
    <row r="346" ht="18" customHeight="1" s="15">
      <c r="A346" s="24" t="inlineStr">
        <is>
          <t>Sukuk</t>
        </is>
      </c>
      <c r="B346" s="25" t="n"/>
      <c r="C346" s="25" t="n"/>
      <c r="D346" s="25" t="n"/>
      <c r="E346" s="25" t="n"/>
    </row>
    <row r="347" ht="18" customHeight="1" s="15">
      <c r="A347" s="24" t="inlineStr">
        <is>
          <t>Revolving credit and others</t>
        </is>
      </c>
      <c r="B347" s="25" t="n"/>
      <c r="C347" s="25" t="n"/>
      <c r="D347" s="25" t="n"/>
      <c r="E347" s="25" t="n"/>
    </row>
    <row r="348" ht="18" customHeight="1" s="15">
      <c r="A348" s="24" t="inlineStr">
        <is>
          <t>Other secured bank loans received</t>
        </is>
      </c>
      <c r="B348" s="25" t="n"/>
      <c r="C348" s="25" t="n"/>
      <c r="D348" s="25" t="n"/>
      <c r="E348" s="25" t="n"/>
    </row>
    <row r="349" ht="18" customHeight="1" s="15">
      <c r="A349" s="26" t="inlineStr">
        <is>
          <t>Total current secured bank loans received and current portion of non-current secured bank loans received</t>
        </is>
      </c>
      <c r="B349" s="27">
        <f>1*B339+1*B340+1*B341+1*B342+1*B343+1*B344+1*B345+1*B346+1*B347+1*B348</f>
        <v/>
      </c>
      <c r="C349" s="27">
        <f>1*C339+1*C340+1*C341+1*C342+1*C343+1*C344+1*C345+1*C346+1*C347+1*C348</f>
        <v/>
      </c>
      <c r="D349" s="27">
        <f>1*D339+1*D340+1*D341+1*D342+1*D343+1*D344+1*D345+1*D346+1*D347+1*D348</f>
        <v/>
      </c>
      <c r="E349" s="27">
        <f>1*E339+1*E340+1*E341+1*E342+1*E343+1*E344+1*E345+1*E346+1*E347+1*E348</f>
        <v/>
      </c>
    </row>
    <row r="350" ht="18" customHeight="1" s="15">
      <c r="A350" s="20" t="inlineStr">
        <is>
          <t>Current unsecured bank loans received and current portion of non-current unsecured bank loans received</t>
        </is>
      </c>
      <c r="B350" s="21" t="n"/>
      <c r="C350" s="21" t="n"/>
      <c r="D350" s="21" t="n"/>
      <c r="E350" s="21" t="n"/>
    </row>
    <row r="351" ht="18" customHeight="1" s="15">
      <c r="A351" s="24" t="inlineStr">
        <is>
          <t>Block discounting payables</t>
        </is>
      </c>
      <c r="B351" s="25" t="n"/>
      <c r="C351" s="25" t="n"/>
      <c r="D351" s="25" t="n"/>
      <c r="E351" s="25" t="n"/>
    </row>
    <row r="352" ht="18" customHeight="1" s="15">
      <c r="A352" s="24" t="inlineStr">
        <is>
          <t>Term loans</t>
        </is>
      </c>
      <c r="B352" s="25" t="n"/>
      <c r="C352" s="25" t="n"/>
      <c r="D352" s="25" t="n"/>
      <c r="E352" s="25" t="n"/>
    </row>
    <row r="353" ht="18" customHeight="1" s="15">
      <c r="A353" s="24" t="inlineStr">
        <is>
          <t>Irredeemable convertible unsecured loan stocks (ICULS)</t>
        </is>
      </c>
      <c r="B353" s="25" t="n"/>
      <c r="C353" s="25" t="n"/>
      <c r="D353" s="25" t="n"/>
      <c r="E353" s="25" t="n"/>
    </row>
    <row r="354" ht="18" customHeight="1" s="15">
      <c r="A354" s="24" t="inlineStr">
        <is>
          <t>Islamic financing facilities</t>
        </is>
      </c>
      <c r="B354" s="25" t="n"/>
      <c r="C354" s="25" t="n"/>
      <c r="D354" s="25" t="n"/>
      <c r="E354" s="25" t="n"/>
    </row>
    <row r="355" ht="18" customHeight="1" s="15">
      <c r="A355" s="24" t="inlineStr">
        <is>
          <t>Hire purchase and finance lease liabilities</t>
        </is>
      </c>
      <c r="B355" s="25" t="n"/>
      <c r="C355" s="25" t="n"/>
      <c r="D355" s="25" t="n"/>
      <c r="E355" s="25" t="n"/>
    </row>
    <row r="356" ht="18" customHeight="1" s="15">
      <c r="A356" s="24" t="inlineStr">
        <is>
          <t>Islamic medium term notes</t>
        </is>
      </c>
      <c r="B356" s="25" t="n"/>
      <c r="C356" s="25" t="n"/>
      <c r="D356" s="25" t="n"/>
      <c r="E356" s="25" t="n"/>
    </row>
    <row r="357" ht="18" customHeight="1" s="15">
      <c r="A357" s="24" t="inlineStr">
        <is>
          <t>Sukuk</t>
        </is>
      </c>
      <c r="B357" s="25" t="n"/>
      <c r="C357" s="25" t="n"/>
      <c r="D357" s="25" t="n"/>
      <c r="E357" s="25" t="n"/>
    </row>
    <row r="358" ht="18" customHeight="1" s="15">
      <c r="A358" s="24" t="inlineStr">
        <is>
          <t>Revolving credit and others</t>
        </is>
      </c>
      <c r="B358" s="25" t="n"/>
      <c r="C358" s="25" t="n"/>
      <c r="D358" s="25" t="n"/>
      <c r="E358" s="25" t="n"/>
    </row>
    <row r="359" ht="18" customHeight="1" s="15">
      <c r="A359" s="24" t="inlineStr">
        <is>
          <t>Other unsecured bank loans received</t>
        </is>
      </c>
      <c r="B359" s="25" t="n"/>
      <c r="C359" s="25" t="n"/>
      <c r="D359" s="25" t="n"/>
      <c r="E359" s="25" t="n"/>
    </row>
    <row r="360" ht="18" customHeight="1" s="15">
      <c r="A360" s="26" t="inlineStr">
        <is>
          <t>Total current unsecured bank loans received and current portion of non-current unsecured bank loans received</t>
        </is>
      </c>
      <c r="B360" s="27">
        <f>1*B351+1*B352+1*B353+1*B354+1*B355+1*B356+1*B357+1*B358+1*B359</f>
        <v/>
      </c>
      <c r="C360" s="27">
        <f>1*C351+1*C352+1*C353+1*C354+1*C355+1*C356+1*C357+1*C358+1*C359</f>
        <v/>
      </c>
      <c r="D360" s="27">
        <f>1*D351+1*D352+1*D353+1*D354+1*D355+1*D356+1*D357+1*D358+1*D359</f>
        <v/>
      </c>
      <c r="E360" s="27">
        <f>1*E351+1*E352+1*E353+1*E354+1*E355+1*E356+1*E357+1*E358+1*E359</f>
        <v/>
      </c>
    </row>
    <row r="361" ht="18" customHeight="1" s="15">
      <c r="A361" s="20" t="inlineStr">
        <is>
          <t>Current portion of secured bonds/sukuk/loan stocks</t>
        </is>
      </c>
      <c r="B361" s="21" t="n"/>
      <c r="C361" s="21" t="n"/>
      <c r="D361" s="21" t="n"/>
      <c r="E361" s="21" t="n"/>
    </row>
    <row r="362" ht="18" customHeight="1" s="15">
      <c r="A362" s="24" t="inlineStr">
        <is>
          <t>Bonds</t>
        </is>
      </c>
      <c r="B362" s="25" t="n"/>
      <c r="C362" s="25" t="n"/>
      <c r="D362" s="25" t="n"/>
      <c r="E362" s="25" t="n"/>
    </row>
    <row r="363" ht="18" customHeight="1" s="15">
      <c r="A363" s="24" t="inlineStr">
        <is>
          <t>Sukuk</t>
        </is>
      </c>
      <c r="B363" s="25" t="n"/>
      <c r="C363" s="25" t="n"/>
      <c r="D363" s="25" t="n"/>
      <c r="E363" s="25" t="n"/>
    </row>
    <row r="364" ht="18" customHeight="1" s="15">
      <c r="A364" s="24" t="inlineStr">
        <is>
          <t>Medium term notes</t>
        </is>
      </c>
      <c r="B364" s="25" t="n"/>
      <c r="C364" s="25" t="n"/>
      <c r="D364" s="25" t="n"/>
      <c r="E364" s="25" t="n"/>
    </row>
    <row r="365" ht="18" customHeight="1" s="15">
      <c r="A365" s="24" t="inlineStr">
        <is>
          <t>Loan stocks</t>
        </is>
      </c>
      <c r="B365" s="25" t="n"/>
      <c r="C365" s="25" t="n"/>
      <c r="D365" s="25" t="n"/>
      <c r="E365" s="25" t="n"/>
    </row>
    <row r="366" ht="18" customHeight="1" s="15">
      <c r="A366" s="24" t="inlineStr">
        <is>
          <t>Preference shares</t>
        </is>
      </c>
      <c r="B366" s="25" t="n"/>
      <c r="C366" s="25" t="n"/>
      <c r="D366" s="25" t="n"/>
      <c r="E366" s="25" t="n"/>
    </row>
    <row r="367" ht="18" customHeight="1" s="15">
      <c r="A367" s="26" t="inlineStr">
        <is>
          <t>Total current portion of secured bonds/sukuk/loan stocks</t>
        </is>
      </c>
      <c r="B367" s="27">
        <f>1*B362+1*B363+1*B364+1*B365+1*B366</f>
        <v/>
      </c>
      <c r="C367" s="27">
        <f>1*C362+1*C363+1*C364+1*C365+1*C366</f>
        <v/>
      </c>
      <c r="D367" s="27">
        <f>1*D362+1*D363+1*D364+1*D365+1*D366</f>
        <v/>
      </c>
      <c r="E367" s="27">
        <f>1*E362+1*E363+1*E364+1*E365+1*E366</f>
        <v/>
      </c>
    </row>
    <row r="368" ht="18" customHeight="1" s="15">
      <c r="A368" s="20" t="inlineStr">
        <is>
          <t>Current portion of unsecured bonds/sukuk/loan stocks</t>
        </is>
      </c>
      <c r="B368" s="21" t="n"/>
      <c r="C368" s="21" t="n"/>
      <c r="D368" s="21" t="n"/>
      <c r="E368" s="21" t="n"/>
    </row>
    <row r="369" ht="18" customHeight="1" s="15">
      <c r="A369" s="24" t="inlineStr">
        <is>
          <t>Bonds</t>
        </is>
      </c>
      <c r="B369" s="25" t="n"/>
      <c r="C369" s="25" t="n"/>
      <c r="D369" s="25" t="n"/>
      <c r="E369" s="25" t="n"/>
    </row>
    <row r="370" ht="18" customHeight="1" s="15">
      <c r="A370" s="24" t="inlineStr">
        <is>
          <t>Sukuk</t>
        </is>
      </c>
      <c r="B370" s="25" t="n"/>
      <c r="C370" s="25" t="n"/>
      <c r="D370" s="25" t="n"/>
      <c r="E370" s="25" t="n"/>
    </row>
    <row r="371" ht="18" customHeight="1" s="15">
      <c r="A371" s="24" t="inlineStr">
        <is>
          <t>Medium term notes</t>
        </is>
      </c>
      <c r="B371" s="25" t="n"/>
      <c r="C371" s="25" t="n"/>
      <c r="D371" s="25" t="n"/>
      <c r="E371" s="25" t="n"/>
    </row>
    <row r="372" ht="18" customHeight="1" s="15">
      <c r="A372" s="24" t="inlineStr">
        <is>
          <t>Loan stocks</t>
        </is>
      </c>
      <c r="B372" s="25" t="n"/>
      <c r="C372" s="25" t="n"/>
      <c r="D372" s="25" t="n"/>
      <c r="E372" s="25" t="n"/>
    </row>
    <row r="373" ht="18" customHeight="1" s="15">
      <c r="A373" s="24" t="inlineStr">
        <is>
          <t>Preference shares</t>
        </is>
      </c>
      <c r="B373" s="25" t="n"/>
      <c r="C373" s="25" t="n"/>
      <c r="D373" s="25" t="n"/>
      <c r="E373" s="25" t="n"/>
    </row>
    <row r="374" ht="18" customHeight="1" s="15">
      <c r="A374" s="26" t="inlineStr">
        <is>
          <t>Total current portion of unsecured bonds/sukuk/loan stocks</t>
        </is>
      </c>
      <c r="B374" s="27">
        <f>1*B369+1*B370+1*B371+1*B372+1*B373</f>
        <v/>
      </c>
      <c r="C374" s="27">
        <f>1*C369+1*C370+1*C371+1*C372+1*C373</f>
        <v/>
      </c>
      <c r="D374" s="27">
        <f>1*D369+1*D370+1*D371+1*D372+1*D373</f>
        <v/>
      </c>
      <c r="E374" s="27">
        <f>1*E369+1*E370+1*E371+1*E372+1*E373</f>
        <v/>
      </c>
    </row>
    <row r="375" ht="18" customHeight="1" s="15">
      <c r="A375" s="20" t="inlineStr">
        <is>
          <t>Other current borrowings</t>
        </is>
      </c>
      <c r="B375" s="21" t="n"/>
      <c r="C375" s="21" t="n"/>
      <c r="D375" s="21" t="n"/>
      <c r="E375" s="21" t="n"/>
    </row>
    <row r="376" ht="18" customHeight="1" s="15">
      <c r="A376" s="24" t="inlineStr">
        <is>
          <t>Trade loans</t>
        </is>
      </c>
      <c r="B376" s="25" t="n"/>
      <c r="C376" s="25" t="n"/>
      <c r="D376" s="25" t="n"/>
      <c r="E376" s="25" t="n"/>
    </row>
    <row r="377" ht="18" customHeight="1" s="15">
      <c r="A377" s="24" t="inlineStr">
        <is>
          <t>Loan from subsidiaries</t>
        </is>
      </c>
      <c r="B377" s="25" t="n"/>
      <c r="C377" s="25" t="n"/>
      <c r="D377" s="25" t="n"/>
      <c r="E377" s="25" t="n"/>
    </row>
    <row r="378" ht="18" customHeight="1" s="15">
      <c r="A378" s="24" t="inlineStr">
        <is>
          <t>Loan from associates</t>
        </is>
      </c>
      <c r="B378" s="25" t="n"/>
      <c r="C378" s="25" t="n"/>
      <c r="D378" s="25" t="n"/>
      <c r="E378" s="25" t="n"/>
    </row>
    <row r="379" ht="18" customHeight="1" s="15">
      <c r="A379" s="24" t="inlineStr">
        <is>
          <t>Loan from joint ventures</t>
        </is>
      </c>
      <c r="B379" s="25" t="n"/>
      <c r="C379" s="25" t="n"/>
      <c r="D379" s="25" t="n"/>
      <c r="E379" s="25" t="n"/>
    </row>
    <row r="380" ht="18" customHeight="1" s="15">
      <c r="A380" s="24" t="inlineStr">
        <is>
          <t>Redeemable preference shares</t>
        </is>
      </c>
      <c r="B380" s="25" t="n"/>
      <c r="C380" s="25" t="n"/>
      <c r="D380" s="25" t="n"/>
      <c r="E380" s="25" t="n"/>
    </row>
    <row r="381" ht="18" customHeight="1" s="15">
      <c r="A381" s="24" t="inlineStr">
        <is>
          <t>Other current borrowings</t>
        </is>
      </c>
      <c r="B381" s="25" t="n"/>
      <c r="C381" s="25" t="n"/>
      <c r="D381" s="25" t="n"/>
      <c r="E381" s="25" t="n"/>
    </row>
    <row r="382" ht="18" customHeight="1" s="15">
      <c r="A382" s="26" t="inlineStr">
        <is>
          <t>Total other current borrowings</t>
        </is>
      </c>
      <c r="B382" s="27">
        <f>1*B376+1*B377+1*B378+1*B379+1*B380+1*B381</f>
        <v/>
      </c>
      <c r="C382" s="27">
        <f>1*C376+1*C377+1*C378+1*C379+1*C380+1*C381</f>
        <v/>
      </c>
      <c r="D382" s="27">
        <f>1*D376+1*D377+1*D378+1*D379+1*D380+1*D381</f>
        <v/>
      </c>
      <c r="E382" s="27">
        <f>1*E376+1*E377+1*E378+1*E379+1*E380+1*E381</f>
        <v/>
      </c>
    </row>
    <row r="383" ht="18" customHeight="1" s="15">
      <c r="A383" s="26" t="inlineStr">
        <is>
          <t>Total current borrowings</t>
        </is>
      </c>
      <c r="B383" s="27">
        <f>1*B349+1*B360+1*B367+1*B374+1*B382</f>
        <v/>
      </c>
      <c r="C383" s="27">
        <f>1*C349+1*C360+1*C367+1*C374+1*C382</f>
        <v/>
      </c>
      <c r="D383" s="27">
        <f>1*D349+1*D360+1*D367+1*D374+1*D382</f>
        <v/>
      </c>
      <c r="E383" s="27">
        <f>1*E349+1*E360+1*E367+1*E374+1*E382</f>
        <v/>
      </c>
    </row>
    <row r="384" ht="18" customHeight="1" s="15">
      <c r="A384" s="20" t="inlineStr">
        <is>
          <t>Current employee benefit liabilities</t>
        </is>
      </c>
      <c r="B384" s="21" t="n"/>
      <c r="C384" s="21" t="n"/>
      <c r="D384" s="21" t="n"/>
      <c r="E384" s="21" t="n"/>
    </row>
    <row r="385" ht="18" customHeight="1" s="15">
      <c r="A385" s="24" t="inlineStr">
        <is>
          <t>Cash-settled share-based payment liability</t>
        </is>
      </c>
      <c r="B385" s="25" t="n"/>
      <c r="C385" s="25" t="n"/>
      <c r="D385" s="25" t="n"/>
      <c r="E385" s="25" t="n"/>
    </row>
    <row r="386" ht="18" customHeight="1" s="15">
      <c r="A386" s="24" t="inlineStr">
        <is>
          <t>Retirement benefits</t>
        </is>
      </c>
      <c r="B386" s="25" t="n"/>
      <c r="C386" s="25" t="n"/>
      <c r="D386" s="25" t="n"/>
      <c r="E386" s="25" t="n"/>
    </row>
    <row r="387" ht="18" customHeight="1" s="15">
      <c r="A387" s="24" t="inlineStr">
        <is>
          <t>Employment termination benefits</t>
        </is>
      </c>
      <c r="B387" s="25" t="n"/>
      <c r="C387" s="25" t="n"/>
      <c r="D387" s="25" t="n"/>
      <c r="E387" s="25" t="n"/>
    </row>
    <row r="388" ht="18" customHeight="1" s="15">
      <c r="A388" s="24" t="inlineStr">
        <is>
          <t>Provision for unconsumed leave</t>
        </is>
      </c>
      <c r="B388" s="25" t="n"/>
      <c r="C388" s="25" t="n"/>
      <c r="D388" s="25" t="n"/>
      <c r="E388" s="25" t="n"/>
    </row>
    <row r="389" ht="18" customHeight="1" s="15">
      <c r="A389" s="24" t="inlineStr">
        <is>
          <t>Defined contribution plan</t>
        </is>
      </c>
      <c r="B389" s="25" t="n"/>
      <c r="C389" s="25" t="n"/>
      <c r="D389" s="25" t="n"/>
      <c r="E389" s="25" t="n"/>
    </row>
    <row r="390" ht="18" customHeight="1" s="15">
      <c r="A390" s="24" t="inlineStr">
        <is>
          <t>Defined benefit plan</t>
        </is>
      </c>
      <c r="B390" s="25" t="n"/>
      <c r="C390" s="25" t="n"/>
      <c r="D390" s="25" t="n"/>
      <c r="E390" s="25" t="n"/>
    </row>
    <row r="391" ht="18" customHeight="1" s="15">
      <c r="A391" s="24" t="inlineStr">
        <is>
          <t>Other current employee benefit liabilities</t>
        </is>
      </c>
      <c r="B391" s="25" t="n"/>
      <c r="C391" s="25" t="n"/>
      <c r="D391" s="25" t="n"/>
      <c r="E391" s="25" t="n"/>
    </row>
    <row r="392" ht="18" customHeight="1" s="15">
      <c r="A392" s="26" t="inlineStr">
        <is>
          <t>*Total current employee benefit liabilities</t>
        </is>
      </c>
      <c r="B392" s="27">
        <f>1*B385+1*B386+1*B387+1*B388+1*B389+1*B390+1*B391</f>
        <v/>
      </c>
      <c r="C392" s="27">
        <f>1*C385+1*C386+1*C387+1*C388+1*C389+1*C390+1*C391</f>
        <v/>
      </c>
      <c r="D392" s="27">
        <f>1*D385+1*D386+1*D387+1*D388+1*D389+1*D390+1*D391</f>
        <v/>
      </c>
      <c r="E392" s="27">
        <f>1*E385+1*E386+1*E387+1*E388+1*E389+1*E390+1*E391</f>
        <v/>
      </c>
    </row>
    <row r="393" ht="18" customHeight="1" s="15">
      <c r="A393" s="20" t="inlineStr">
        <is>
          <t>Current provisions</t>
        </is>
      </c>
      <c r="B393" s="21" t="n"/>
      <c r="C393" s="21" t="n"/>
      <c r="D393" s="21" t="n"/>
      <c r="E393" s="21" t="n"/>
    </row>
    <row r="394" ht="18" customHeight="1" s="15">
      <c r="A394" s="24" t="inlineStr">
        <is>
          <t>Warranty provision</t>
        </is>
      </c>
      <c r="B394" s="25" t="n"/>
      <c r="C394" s="25" t="n"/>
      <c r="D394" s="25" t="n"/>
      <c r="E394" s="25" t="n"/>
    </row>
    <row r="395" ht="18" customHeight="1" s="15">
      <c r="A395" s="24" t="inlineStr">
        <is>
          <t>Restructuring provision</t>
        </is>
      </c>
      <c r="B395" s="25" t="n"/>
      <c r="C395" s="25" t="n"/>
      <c r="D395" s="25" t="n"/>
      <c r="E395" s="25" t="n"/>
    </row>
    <row r="396" ht="18" customHeight="1" s="15">
      <c r="A396" s="24" t="inlineStr">
        <is>
          <t>Legal proceedings provision</t>
        </is>
      </c>
      <c r="B396" s="25" t="n"/>
      <c r="C396" s="25" t="n"/>
      <c r="D396" s="25" t="n"/>
      <c r="E396" s="25" t="n"/>
    </row>
    <row r="397" ht="18" customHeight="1" s="15">
      <c r="A397" s="24" t="inlineStr">
        <is>
          <t>Refunds provision</t>
        </is>
      </c>
      <c r="B397" s="25" t="n"/>
      <c r="C397" s="25" t="n"/>
      <c r="D397" s="25" t="n"/>
      <c r="E397" s="25" t="n"/>
    </row>
    <row r="398" ht="18" customHeight="1" s="15">
      <c r="A398" s="24" t="inlineStr">
        <is>
          <t>Onerous contracts provision</t>
        </is>
      </c>
      <c r="B398" s="25" t="n"/>
      <c r="C398" s="25" t="n"/>
      <c r="D398" s="25" t="n"/>
      <c r="E398" s="25" t="n"/>
    </row>
    <row r="399" ht="18" customHeight="1" s="15">
      <c r="A399" s="24" t="inlineStr">
        <is>
          <t>Provision for decommissioning, restoration and rehabilitation costs</t>
        </is>
      </c>
      <c r="B399" s="25" t="n"/>
      <c r="C399" s="25" t="n"/>
      <c r="D399" s="25" t="n"/>
      <c r="E399" s="25" t="n"/>
    </row>
    <row r="400" ht="18" customHeight="1" s="15">
      <c r="A400" s="24" t="inlineStr">
        <is>
          <t>Other current provisions</t>
        </is>
      </c>
      <c r="B400" s="25" t="n"/>
      <c r="C400" s="25" t="n"/>
      <c r="D400" s="25" t="n"/>
      <c r="E400" s="25" t="n"/>
    </row>
    <row r="401" ht="18" customHeight="1" s="15">
      <c r="A401" s="26" t="inlineStr">
        <is>
          <t>*Total current provisions</t>
        </is>
      </c>
      <c r="B401" s="27">
        <f>1*B394+1*B395+1*B396+1*B397+1*B398+1*B399+1*B400</f>
        <v/>
      </c>
      <c r="C401" s="27">
        <f>1*C394+1*C395+1*C396+1*C397+1*C398+1*C399+1*C400</f>
        <v/>
      </c>
      <c r="D401" s="27">
        <f>1*D394+1*D395+1*D396+1*D397+1*D398+1*D399+1*D400</f>
        <v/>
      </c>
      <c r="E401" s="27">
        <f>1*E394+1*E395+1*E396+1*E397+1*E398+1*E399+1*E400</f>
        <v/>
      </c>
    </row>
    <row r="402" ht="18" customHeight="1" s="15">
      <c r="A402" s="20" t="inlineStr">
        <is>
          <t>Trade and other current payables</t>
        </is>
      </c>
      <c r="B402" s="21" t="n"/>
      <c r="C402" s="21" t="n"/>
      <c r="D402" s="21" t="n"/>
      <c r="E402" s="21" t="n"/>
    </row>
    <row r="403" ht="18" customHeight="1" s="15">
      <c r="A403" s="20" t="inlineStr">
        <is>
          <t>Current trade payables</t>
        </is>
      </c>
      <c r="B403" s="21" t="n"/>
      <c r="C403" s="21" t="n"/>
      <c r="D403" s="21" t="n"/>
      <c r="E403" s="21" t="n"/>
    </row>
    <row r="404" ht="18" customHeight="1" s="15">
      <c r="A404" s="24" t="inlineStr">
        <is>
          <t>Trade payables</t>
        </is>
      </c>
      <c r="B404" s="25" t="n"/>
      <c r="C404" s="25" t="n"/>
      <c r="D404" s="25" t="n"/>
      <c r="E404" s="25" t="n"/>
    </row>
    <row r="405" ht="18" customHeight="1" s="15">
      <c r="A405" s="24" t="inlineStr">
        <is>
          <t>Trade payable due to contract suppliers</t>
        </is>
      </c>
      <c r="B405" s="25" t="n"/>
      <c r="C405" s="25" t="n"/>
      <c r="D405" s="25" t="n"/>
      <c r="E405" s="25" t="n"/>
    </row>
    <row r="406" ht="18" customHeight="1" s="15">
      <c r="A406" s="24" t="inlineStr">
        <is>
          <t>Trade payables due to holding company</t>
        </is>
      </c>
      <c r="B406" s="25" t="n"/>
      <c r="C406" s="25" t="n"/>
      <c r="D406" s="25" t="n"/>
      <c r="E406" s="25" t="n"/>
    </row>
    <row r="407" ht="18" customHeight="1" s="15">
      <c r="A407" s="24" t="inlineStr">
        <is>
          <t>Trade payables due to subsidiaries</t>
        </is>
      </c>
      <c r="B407" s="25" t="n"/>
      <c r="C407" s="25" t="n"/>
      <c r="D407" s="25" t="n"/>
      <c r="E407" s="25" t="n"/>
    </row>
    <row r="408" ht="18" customHeight="1" s="15">
      <c r="A408" s="24" t="inlineStr">
        <is>
          <t>Trade payables due to associates</t>
        </is>
      </c>
      <c r="B408" s="25" t="n"/>
      <c r="C408" s="25" t="n"/>
      <c r="D408" s="25" t="n"/>
      <c r="E408" s="25" t="n"/>
    </row>
    <row r="409" ht="18" customHeight="1" s="15">
      <c r="A409" s="24" t="inlineStr">
        <is>
          <t>Trade payables due to joint ventures</t>
        </is>
      </c>
      <c r="B409" s="25" t="n"/>
      <c r="C409" s="25" t="n"/>
      <c r="D409" s="25" t="n"/>
      <c r="E409" s="25" t="n"/>
    </row>
    <row r="410" ht="18" customHeight="1" s="15">
      <c r="A410" s="24" t="inlineStr">
        <is>
          <t>Trade payables due to other related parties</t>
        </is>
      </c>
      <c r="B410" s="25" t="n"/>
      <c r="C410" s="25" t="n"/>
      <c r="D410" s="25" t="n"/>
      <c r="E410" s="25" t="n"/>
    </row>
    <row r="411" ht="18" customHeight="1" s="15">
      <c r="A411" s="24" t="inlineStr">
        <is>
          <t>Other current trade payables</t>
        </is>
      </c>
      <c r="B411" s="25" t="n"/>
      <c r="C411" s="25" t="n"/>
      <c r="D411" s="25" t="n"/>
      <c r="E411" s="25" t="n"/>
    </row>
    <row r="412" ht="18" customHeight="1" s="15">
      <c r="A412" s="26" t="inlineStr">
        <is>
          <t>Total current trade payables</t>
        </is>
      </c>
      <c r="B412" s="27">
        <f>1*B404+1*B405+1*B406+1*B407+1*B408+1*B409+1*B410+1*B411</f>
        <v/>
      </c>
      <c r="C412" s="27">
        <f>1*C404+1*C405+1*C406+1*C407+1*C408+1*C409+1*C410+1*C411</f>
        <v/>
      </c>
      <c r="D412" s="27">
        <f>1*D404+1*D405+1*D406+1*D407+1*D408+1*D409+1*D410+1*D411</f>
        <v/>
      </c>
      <c r="E412" s="27">
        <f>1*E404+1*E405+1*E406+1*E407+1*E408+1*E409+1*E410+1*E411</f>
        <v/>
      </c>
    </row>
    <row r="413" ht="18" customHeight="1" s="15">
      <c r="A413" s="20" t="inlineStr">
        <is>
          <t>Other current payables</t>
        </is>
      </c>
      <c r="B413" s="21" t="n"/>
      <c r="C413" s="21" t="n"/>
      <c r="D413" s="21" t="n"/>
      <c r="E413" s="21" t="n"/>
    </row>
    <row r="414" ht="18" customHeight="1" s="15">
      <c r="A414" s="20" t="inlineStr">
        <is>
          <t xml:space="preserve"> Other current payables due to related parties</t>
        </is>
      </c>
      <c r="B414" s="21" t="n"/>
      <c r="C414" s="21" t="n"/>
      <c r="D414" s="21" t="n"/>
      <c r="E414" s="21" t="n"/>
    </row>
    <row r="415" ht="18" customHeight="1" s="15">
      <c r="A415" s="24" t="inlineStr">
        <is>
          <t>Other payables due to holding company</t>
        </is>
      </c>
      <c r="B415" s="25" t="n"/>
      <c r="C415" s="25" t="n"/>
      <c r="D415" s="25" t="n"/>
      <c r="E415" s="25" t="n"/>
    </row>
    <row r="416" ht="18" customHeight="1" s="15">
      <c r="A416" s="24" t="inlineStr">
        <is>
          <t>Other payables due to subsidiaries</t>
        </is>
      </c>
      <c r="B416" s="25" t="n"/>
      <c r="C416" s="25" t="n"/>
      <c r="D416" s="25" t="n"/>
      <c r="E416" s="25" t="n"/>
    </row>
    <row r="417" ht="18" customHeight="1" s="15">
      <c r="A417" s="24" t="inlineStr">
        <is>
          <t>Other payables due to associates</t>
        </is>
      </c>
      <c r="B417" s="25" t="n"/>
      <c r="C417" s="25" t="n"/>
      <c r="D417" s="25" t="n"/>
      <c r="E417" s="25" t="n"/>
    </row>
    <row r="418" ht="18" customHeight="1" s="15">
      <c r="A418" s="24" t="inlineStr">
        <is>
          <t>Other payables due to joint ventures</t>
        </is>
      </c>
      <c r="B418" s="25" t="n"/>
      <c r="C418" s="25" t="n"/>
      <c r="D418" s="25" t="n"/>
      <c r="E418" s="25" t="n"/>
    </row>
    <row r="419" ht="18" customHeight="1" s="15">
      <c r="A419" s="24" t="inlineStr">
        <is>
          <t>Other payables due to other related parties</t>
        </is>
      </c>
      <c r="B419" s="25" t="n"/>
      <c r="C419" s="25" t="n"/>
      <c r="D419" s="25" t="n"/>
      <c r="E419" s="25" t="n"/>
    </row>
    <row r="420" ht="18" customHeight="1" s="15">
      <c r="A420" s="26" t="inlineStr">
        <is>
          <t>Total other current payables due to related parties</t>
        </is>
      </c>
      <c r="B420" s="27">
        <f>1*B415+1*B416+1*B417+1*B418+1*B419</f>
        <v/>
      </c>
      <c r="C420" s="27">
        <f>1*C415+1*C416+1*C417+1*C418+1*C419</f>
        <v/>
      </c>
      <c r="D420" s="27">
        <f>1*D415+1*D416+1*D417+1*D418+1*D419</f>
        <v/>
      </c>
      <c r="E420" s="27">
        <f>1*E415+1*E416+1*E417+1*E418+1*E419</f>
        <v/>
      </c>
    </row>
    <row r="421" ht="18" customHeight="1" s="15">
      <c r="A421" s="20" t="inlineStr">
        <is>
          <t>Other payables due to non-controlling interests</t>
        </is>
      </c>
      <c r="B421" s="21" t="n"/>
      <c r="C421" s="21" t="n"/>
      <c r="D421" s="21" t="n"/>
      <c r="E421" s="21" t="n"/>
    </row>
    <row r="422" ht="18" customHeight="1" s="15">
      <c r="A422" s="24" t="inlineStr">
        <is>
          <t>Dividend payable to non-controlling interest</t>
        </is>
      </c>
      <c r="B422" s="25" t="n"/>
      <c r="C422" s="25" t="n"/>
      <c r="D422" s="25" t="n"/>
      <c r="E422" s="25" t="n"/>
    </row>
    <row r="423" ht="18" customHeight="1" s="15">
      <c r="A423" s="24" t="inlineStr">
        <is>
          <t>Loans from non-controlling interest</t>
        </is>
      </c>
      <c r="B423" s="25" t="n"/>
      <c r="C423" s="25" t="n"/>
      <c r="D423" s="25" t="n"/>
      <c r="E423" s="25" t="n"/>
    </row>
    <row r="424" ht="18" customHeight="1" s="15">
      <c r="A424" s="24" t="inlineStr">
        <is>
          <t>Miscellaneous payable due to non-controlling interests</t>
        </is>
      </c>
      <c r="B424" s="25" t="n"/>
      <c r="C424" s="25" t="n"/>
      <c r="D424" s="25" t="n"/>
      <c r="E424" s="25" t="n"/>
    </row>
    <row r="425" ht="18" customHeight="1" s="15">
      <c r="A425" s="26" t="inlineStr">
        <is>
          <t>Total other payables due to non-controlling interests</t>
        </is>
      </c>
      <c r="B425" s="27">
        <f>1*B422+1*B423+1*B424</f>
        <v/>
      </c>
      <c r="C425" s="27">
        <f>1*C422+1*C423+1*C424</f>
        <v/>
      </c>
      <c r="D425" s="27">
        <f>1*D422+1*D423+1*D424</f>
        <v/>
      </c>
      <c r="E425" s="27">
        <f>1*E422+1*E423+1*E424</f>
        <v/>
      </c>
    </row>
    <row r="426" ht="18" customHeight="1" s="15">
      <c r="A426" s="20" t="inlineStr">
        <is>
          <t>Current non-trade payables</t>
        </is>
      </c>
      <c r="B426" s="21" t="n"/>
      <c r="C426" s="21" t="n"/>
      <c r="D426" s="21" t="n"/>
      <c r="E426" s="21" t="n"/>
    </row>
    <row r="427" ht="18" customHeight="1" s="15">
      <c r="A427" s="24" t="inlineStr">
        <is>
          <t>Accruals</t>
        </is>
      </c>
      <c r="B427" s="25" t="n"/>
      <c r="C427" s="25" t="n"/>
      <c r="D427" s="25" t="n"/>
      <c r="E427" s="25" t="n"/>
    </row>
    <row r="428" ht="18" customHeight="1" s="15">
      <c r="A428" s="24" t="inlineStr">
        <is>
          <t>Retention payable</t>
        </is>
      </c>
      <c r="B428" s="25" t="n"/>
      <c r="C428" s="25" t="n"/>
      <c r="D428" s="25" t="n"/>
      <c r="E428" s="25" t="n"/>
    </row>
    <row r="429" ht="18" customHeight="1" s="15">
      <c r="A429" s="24" t="inlineStr">
        <is>
          <t>Deferred income</t>
        </is>
      </c>
      <c r="B429" s="25" t="n"/>
      <c r="C429" s="25" t="n"/>
      <c r="D429" s="25" t="n"/>
      <c r="E429" s="25" t="n"/>
    </row>
    <row r="430" ht="18" customHeight="1" s="15">
      <c r="A430" s="24" t="inlineStr">
        <is>
          <t>Deposits and advanced billings</t>
        </is>
      </c>
      <c r="B430" s="25" t="n"/>
      <c r="C430" s="25" t="n"/>
      <c r="D430" s="25" t="n"/>
      <c r="E430" s="25" t="n"/>
    </row>
    <row r="431" ht="18" customHeight="1" s="15">
      <c r="A431" s="24" t="inlineStr">
        <is>
          <t>Financing costs</t>
        </is>
      </c>
      <c r="B431" s="25" t="n"/>
      <c r="C431" s="25" t="n"/>
      <c r="D431" s="25" t="n"/>
      <c r="E431" s="25" t="n"/>
    </row>
    <row r="432" ht="18" customHeight="1" s="15">
      <c r="A432" s="24" t="inlineStr">
        <is>
          <t>Dividend payable</t>
        </is>
      </c>
      <c r="B432" s="25" t="n"/>
      <c r="C432" s="25" t="n"/>
      <c r="D432" s="25" t="n"/>
      <c r="E432" s="25" t="n"/>
    </row>
    <row r="433" ht="18" customHeight="1" s="15">
      <c r="A433" s="24" t="inlineStr">
        <is>
          <t>Interest payables</t>
        </is>
      </c>
      <c r="B433" s="25" t="n"/>
      <c r="C433" s="25" t="n"/>
      <c r="D433" s="25" t="n"/>
      <c r="E433" s="25" t="n"/>
    </row>
    <row r="434" ht="18" customHeight="1" s="15">
      <c r="A434" s="24" t="inlineStr">
        <is>
          <t>Other current non-trade payables</t>
        </is>
      </c>
      <c r="B434" s="25" t="n"/>
      <c r="C434" s="25" t="n"/>
      <c r="D434" s="25" t="n"/>
      <c r="E434" s="25" t="n"/>
    </row>
    <row r="435" ht="18" customHeight="1" s="15">
      <c r="A435" s="26" t="inlineStr">
        <is>
          <t>Total current non-trade payables</t>
        </is>
      </c>
      <c r="B435" s="27">
        <f>1*B427+1*B428+1*B429+1*B430+1*B431+1*B432+1*B433+1*B434</f>
        <v/>
      </c>
      <c r="C435" s="27">
        <f>1*C427+1*C428+1*C429+1*C430+1*C431+1*C432+1*C433+1*C434</f>
        <v/>
      </c>
      <c r="D435" s="27">
        <f>1*D427+1*D428+1*D429+1*D430+1*D431+1*D432+1*D433+1*D434</f>
        <v/>
      </c>
      <c r="E435" s="27">
        <f>1*E427+1*E428+1*E429+1*E430+1*E431+1*E432+1*E433+1*E434</f>
        <v/>
      </c>
    </row>
    <row r="436" ht="18" customHeight="1" s="15">
      <c r="A436" s="26" t="inlineStr">
        <is>
          <t>Total other current payables</t>
        </is>
      </c>
      <c r="B436" s="27">
        <f>1*B420+1*B425+1*B435</f>
        <v/>
      </c>
      <c r="C436" s="27">
        <f>1*C420+1*C425+1*C435</f>
        <v/>
      </c>
      <c r="D436" s="27">
        <f>1*D420+1*D425+1*D435</f>
        <v/>
      </c>
      <c r="E436" s="27">
        <f>1*E420+1*E425+1*E435</f>
        <v/>
      </c>
    </row>
    <row r="437" ht="18" customHeight="1" s="15">
      <c r="A437" s="26" t="inlineStr">
        <is>
          <t>*Total trade and other current payables</t>
        </is>
      </c>
      <c r="B437" s="27">
        <f>1*B412+1*B436</f>
        <v/>
      </c>
      <c r="C437" s="27">
        <f>1*C412+1*C436</f>
        <v/>
      </c>
      <c r="D437" s="27">
        <f>1*D412+1*D436</f>
        <v/>
      </c>
      <c r="E437" s="27">
        <f>1*E412+1*E436</f>
        <v/>
      </c>
    </row>
    <row r="438" ht="18" customHeight="1" s="15">
      <c r="A438" s="20" t="inlineStr">
        <is>
          <t>Current derivative financial liabilities</t>
        </is>
      </c>
      <c r="B438" s="21" t="n"/>
      <c r="C438" s="21" t="n"/>
      <c r="D438" s="21" t="n"/>
      <c r="E438" s="21" t="n"/>
    </row>
    <row r="439" ht="18" customHeight="1" s="15">
      <c r="A439" s="20" t="inlineStr">
        <is>
          <t>Current derivatives at fair value through profit or loss</t>
        </is>
      </c>
      <c r="B439" s="21" t="n"/>
      <c r="C439" s="21" t="n"/>
      <c r="D439" s="21" t="n"/>
      <c r="E439" s="21" t="n"/>
    </row>
    <row r="440" ht="18" customHeight="1" s="15">
      <c r="A440" s="24" t="inlineStr">
        <is>
          <t>Forward contract</t>
        </is>
      </c>
      <c r="B440" s="25" t="n"/>
      <c r="C440" s="25" t="n"/>
      <c r="D440" s="25" t="n"/>
      <c r="E440" s="25" t="n"/>
    </row>
    <row r="441" ht="18" customHeight="1" s="15">
      <c r="A441" s="24" t="inlineStr">
        <is>
          <t>Options</t>
        </is>
      </c>
      <c r="B441" s="25" t="n"/>
      <c r="C441" s="25" t="n"/>
      <c r="D441" s="25" t="n"/>
      <c r="E441" s="25" t="n"/>
    </row>
    <row r="442" ht="18" customHeight="1" s="15">
      <c r="A442" s="24" t="inlineStr">
        <is>
          <t>Swap</t>
        </is>
      </c>
      <c r="B442" s="25" t="n"/>
      <c r="C442" s="25" t="n"/>
      <c r="D442" s="25" t="n"/>
      <c r="E442" s="25" t="n"/>
    </row>
    <row r="443" ht="18" customHeight="1" s="15">
      <c r="A443" s="24" t="inlineStr">
        <is>
          <t>Other derivatives</t>
        </is>
      </c>
      <c r="B443" s="25" t="n"/>
      <c r="C443" s="25" t="n"/>
      <c r="D443" s="25" t="n"/>
      <c r="E443" s="25" t="n"/>
    </row>
    <row r="444" ht="18" customHeight="1" s="15">
      <c r="A444" s="26" t="inlineStr">
        <is>
          <t>Total current derivatives at fair value through profit or loss</t>
        </is>
      </c>
      <c r="B444" s="27">
        <f>1*B440+1*B441+1*B442+1*B443</f>
        <v/>
      </c>
      <c r="C444" s="27">
        <f>1*C440+1*C441+1*C442+1*C443</f>
        <v/>
      </c>
      <c r="D444" s="27">
        <f>1*D440+1*D441+1*D442+1*D443</f>
        <v/>
      </c>
      <c r="E444" s="27">
        <f>1*E440+1*E441+1*E442+1*E443</f>
        <v/>
      </c>
    </row>
    <row r="445" ht="18" customHeight="1" s="15">
      <c r="A445" s="20" t="inlineStr">
        <is>
          <t>Current derivatives used for hedging</t>
        </is>
      </c>
      <c r="B445" s="21" t="n"/>
      <c r="C445" s="21" t="n"/>
      <c r="D445" s="21" t="n"/>
      <c r="E445" s="21" t="n"/>
    </row>
    <row r="446" ht="18" customHeight="1" s="15">
      <c r="A446" s="24" t="inlineStr">
        <is>
          <t>Forward contract</t>
        </is>
      </c>
      <c r="B446" s="28" t="n"/>
      <c r="C446" s="28" t="n"/>
      <c r="D446" s="28" t="n"/>
      <c r="E446" s="28" t="n"/>
    </row>
    <row r="447" ht="18" customHeight="1" s="15">
      <c r="A447" s="24" t="inlineStr">
        <is>
          <t>Options</t>
        </is>
      </c>
      <c r="B447" s="28" t="n"/>
      <c r="C447" s="28" t="n"/>
      <c r="D447" s="28" t="n"/>
      <c r="E447" s="28" t="n"/>
    </row>
    <row r="448" ht="18" customHeight="1" s="15">
      <c r="A448" s="24" t="inlineStr">
        <is>
          <t>Swap</t>
        </is>
      </c>
      <c r="B448" s="25" t="n"/>
      <c r="C448" s="25" t="n"/>
      <c r="D448" s="25" t="n"/>
      <c r="E448" s="25" t="n"/>
    </row>
    <row r="449" ht="18" customHeight="1" s="15">
      <c r="A449" s="24" t="inlineStr">
        <is>
          <t>Other derivatives</t>
        </is>
      </c>
      <c r="B449" s="25" t="n"/>
      <c r="C449" s="25" t="n"/>
      <c r="D449" s="25" t="n"/>
      <c r="E449" s="25" t="n"/>
    </row>
    <row r="450" ht="18" customHeight="1" s="15">
      <c r="A450" s="26" t="inlineStr">
        <is>
          <t>Total current derivatives used for hedging</t>
        </is>
      </c>
      <c r="B450" s="27">
        <f>1*B446+1*B447+1*B448+1*B449</f>
        <v/>
      </c>
      <c r="C450" s="27">
        <f>1*C446+1*C447+1*C448+1*C449</f>
        <v/>
      </c>
      <c r="D450" s="27">
        <f>1*D446+1*D447+1*D448+1*D449</f>
        <v/>
      </c>
      <c r="E450" s="27">
        <f>1*E446+1*E447+1*E448+1*E449</f>
        <v/>
      </c>
    </row>
    <row r="451" ht="18" customHeight="1" s="15">
      <c r="A451" s="24" t="inlineStr">
        <is>
          <t>Other current derivative financial liabilities</t>
        </is>
      </c>
      <c r="B451" s="25" t="n"/>
      <c r="C451" s="25" t="n"/>
      <c r="D451" s="25" t="n"/>
      <c r="E451" s="25" t="n"/>
    </row>
    <row r="452" ht="18" customHeight="1" s="15">
      <c r="A452" s="26" t="inlineStr">
        <is>
          <t>*Total current derivative financial liabilities</t>
        </is>
      </c>
      <c r="B452" s="27">
        <f>1*B444+1*B450+1*B451</f>
        <v/>
      </c>
      <c r="C452" s="27">
        <f>1*C444+1*C450+1*C451</f>
        <v/>
      </c>
      <c r="D452" s="27">
        <f>1*D444+1*D450+1*D451</f>
        <v/>
      </c>
      <c r="E452" s="27">
        <f>1*E444+1*E450+1*E451</f>
        <v/>
      </c>
    </row>
  </sheetData>
  <mergeCells count="2">
    <mergeCell ref="B1:C1"/>
    <mergeCell ref="D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2026-04-28T03:57:36Z</dcterms:modified>
  <cp:revision>0</cp:revision>
</cp:coreProperties>
</file>