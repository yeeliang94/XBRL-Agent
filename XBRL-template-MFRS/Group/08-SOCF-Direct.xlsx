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F-Direc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i val="1"/>
      <sz val="11"/>
    </font>
    <font>
      <name val="Calibri"/>
      <charset val="1"/>
      <family val="0"/>
      <b val="1"/>
      <color rgb="FF1F3864"/>
      <sz val="14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E7E6E6"/>
        <bgColor rgb="FFD9DEE5"/>
      </patternFill>
    </fill>
    <fill>
      <patternFill patternType="solid">
        <fgColor rgb="FF1F3864"/>
        <bgColor rgb="FF333333"/>
      </patternFill>
    </fill>
    <fill>
      <patternFill patternType="solid">
        <fgColor rgb="FFF8FAFC"/>
        <bgColor rgb="FFFFFFFF"/>
      </patternFill>
    </fill>
    <fill>
      <patternFill patternType="solid">
        <fgColor rgb="FFEEF2F8"/>
        <bgColor rgb="FFF8FAFC"/>
      </patternFill>
    </fill>
  </fills>
  <borders count="5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/>
      <bottom style="thin">
        <color rgb="FFD9DEE5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/>
      <top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164" fontId="8" fillId="4" borderId="2" applyAlignment="1" pivotButton="0" quotePrefix="0" xfId="0">
      <alignment horizontal="right" vertical="center"/>
    </xf>
    <xf numFmtId="0" fontId="9" fillId="5" borderId="3" applyAlignment="1" pivotButton="0" quotePrefix="0" xfId="0">
      <alignment horizontal="left" vertical="center"/>
    </xf>
    <xf numFmtId="164" fontId="9" fillId="5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164" fontId="8" fillId="4" borderId="2" applyAlignment="1" pivotButton="0" quotePrefix="0" xfId="0">
      <alignment horizontal="right" vertical="center"/>
    </xf>
    <xf numFmtId="164" fontId="8" fillId="4" borderId="4" applyAlignment="1" pivotButton="0" quotePrefix="0" xfId="0">
      <alignment horizontal="right" vertical="center"/>
    </xf>
    <xf numFmtId="0" fontId="9" fillId="5" borderId="3" applyAlignment="1" pivotButton="0" quotePrefix="0" xfId="0">
      <alignment horizontal="left" vertical="center"/>
    </xf>
    <xf numFmtId="164" fontId="9" fillId="5" borderId="3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EF2F8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8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18" customWidth="1" style="11" min="2" max="3"/>
    <col width="40" customWidth="1" style="11" min="4" max="4"/>
    <col width="18" customWidth="1" style="11" min="5" max="5"/>
    <col width="20" customWidth="1" style="11" min="6" max="6"/>
  </cols>
  <sheetData>
    <row r="1" ht="19.5" customHeight="1" s="12">
      <c r="B1" s="13" t="inlineStr">
        <is>
          <t>Group</t>
        </is>
      </c>
      <c r="C1" s="14" t="n"/>
      <c r="D1" s="13" t="inlineStr">
        <is>
          <t>Company</t>
        </is>
      </c>
      <c r="E1" s="14" t="n"/>
      <c r="F1" s="13" t="inlineStr">
        <is>
          <t>Source</t>
        </is>
      </c>
    </row>
    <row r="2" ht="15" customHeight="1" s="12">
      <c r="B2" s="15" t="inlineStr">
        <is>
          <t>01/01/YYYY - 31/12/YYYY</t>
        </is>
      </c>
      <c r="C2" s="15" t="inlineStr">
        <is>
          <t>01/01/YYYY - 31/12/YYYY</t>
        </is>
      </c>
      <c r="D2" s="15" t="inlineStr">
        <is>
          <t>01/01/YYYY - 31/12/YYYY</t>
        </is>
      </c>
      <c r="E2" s="15" t="inlineStr">
        <is>
          <t>01/01/YYYY - 31/12/YYYY</t>
        </is>
      </c>
    </row>
    <row r="3" ht="24" customHeight="1" s="12">
      <c r="A3" s="16" t="inlineStr">
        <is>
          <t>Statement of cash flows, direct method</t>
        </is>
      </c>
      <c r="D3" s="16" t="n"/>
    </row>
    <row r="4" ht="18" customHeight="1" s="12">
      <c r="A4" s="17" t="inlineStr">
        <is>
          <t>Statement of cash flows [abstract]</t>
        </is>
      </c>
      <c r="B4" s="18" t="n"/>
      <c r="C4" s="18" t="n"/>
      <c r="D4" s="18" t="n"/>
      <c r="E4" s="18" t="n"/>
    </row>
    <row r="5" ht="18" customHeight="1" s="12">
      <c r="A5" s="17" t="inlineStr">
        <is>
          <t>Statement of cash flows [line items]</t>
        </is>
      </c>
      <c r="B5" s="18" t="n"/>
      <c r="C5" s="18" t="n"/>
      <c r="D5" s="18" t="n"/>
      <c r="E5" s="18" t="n"/>
    </row>
    <row r="6" ht="18" customHeight="1" s="12">
      <c r="A6" s="17" t="inlineStr">
        <is>
          <t>Statement of cash flows [abstract]</t>
        </is>
      </c>
      <c r="B6" s="18" t="n"/>
      <c r="C6" s="18" t="n"/>
      <c r="D6" s="18" t="n"/>
      <c r="E6" s="18" t="n"/>
    </row>
    <row r="7" ht="18" customHeight="1" s="12">
      <c r="A7" s="17" t="inlineStr">
        <is>
          <t>Cash flows from (used in) operating activities [abstract]</t>
        </is>
      </c>
      <c r="B7" s="18" t="n"/>
      <c r="C7" s="18" t="n"/>
      <c r="D7" s="18" t="n"/>
      <c r="E7" s="18" t="n"/>
    </row>
    <row r="8" ht="18" customHeight="1" s="12">
      <c r="A8" s="19" t="inlineStr">
        <is>
          <t>Receipts from sales of goods and rendering of services</t>
        </is>
      </c>
      <c r="B8" s="20" t="n"/>
      <c r="C8" s="20" t="n"/>
      <c r="D8" s="20" t="n"/>
      <c r="E8" s="20" t="n"/>
    </row>
    <row r="9" ht="18" customHeight="1" s="12">
      <c r="A9" s="19" t="inlineStr">
        <is>
          <t>Receipts from royalties, fees, commissions and other revenue</t>
        </is>
      </c>
      <c r="B9" s="20" t="n"/>
      <c r="C9" s="20" t="n"/>
      <c r="D9" s="20" t="n"/>
      <c r="E9" s="20" t="n"/>
    </row>
    <row r="10" ht="18" customHeight="1" s="12">
      <c r="A10" s="19" t="inlineStr">
        <is>
          <t>Receipts from contracts held for dealing or trading purposes</t>
        </is>
      </c>
      <c r="B10" s="20" t="n"/>
      <c r="C10" s="20" t="n"/>
      <c r="D10" s="20" t="n"/>
      <c r="E10" s="20" t="n"/>
    </row>
    <row r="11" ht="18" customHeight="1" s="12">
      <c r="A11" s="19" t="inlineStr">
        <is>
          <t>Short-term lease payments, payments for leases of low-value assets and variable lease payments not included in the measurement of the lease liability</t>
        </is>
      </c>
      <c r="B11" s="20" t="n"/>
      <c r="C11" s="20" t="n"/>
      <c r="D11" s="20" t="n"/>
      <c r="E11" s="20" t="n"/>
    </row>
    <row r="12" ht="18" customHeight="1" s="12">
      <c r="A12" s="19" t="inlineStr">
        <is>
          <t>Payments to suppliers for goods and services</t>
        </is>
      </c>
      <c r="B12" s="20" t="n"/>
      <c r="C12" s="20" t="n"/>
      <c r="D12" s="20" t="n"/>
      <c r="E12" s="20" t="n"/>
    </row>
    <row r="13" ht="18" customHeight="1" s="12">
      <c r="A13" s="19" t="inlineStr">
        <is>
          <t>Payments to and on behalf of employees</t>
        </is>
      </c>
      <c r="B13" s="20" t="n"/>
      <c r="C13" s="20" t="n"/>
      <c r="D13" s="20" t="n"/>
      <c r="E13" s="20" t="n"/>
    </row>
    <row r="14" ht="18" customHeight="1" s="12">
      <c r="A14" s="19" t="inlineStr">
        <is>
          <t>Dividends received</t>
        </is>
      </c>
      <c r="B14" s="20" t="n"/>
      <c r="C14" s="20" t="n"/>
      <c r="D14" s="20" t="n"/>
      <c r="E14" s="20" t="n"/>
    </row>
    <row r="15" ht="18" customHeight="1" s="12">
      <c r="A15" s="19" t="inlineStr">
        <is>
          <t>Dividends paid</t>
        </is>
      </c>
      <c r="B15" s="20" t="n"/>
      <c r="C15" s="20" t="n"/>
      <c r="D15" s="20" t="n"/>
      <c r="E15" s="20" t="n"/>
    </row>
    <row r="16" ht="18" customHeight="1" s="12">
      <c r="A16" s="19" t="inlineStr">
        <is>
          <t>Interest received</t>
        </is>
      </c>
      <c r="B16" s="20" t="n"/>
      <c r="C16" s="20" t="n"/>
      <c r="D16" s="20" t="n"/>
      <c r="E16" s="20" t="n"/>
    </row>
    <row r="17" ht="18" customHeight="1" s="12">
      <c r="A17" s="19" t="inlineStr">
        <is>
          <t>Interest paid</t>
        </is>
      </c>
      <c r="B17" s="20" t="n"/>
      <c r="C17" s="20" t="n"/>
      <c r="D17" s="20" t="n"/>
      <c r="E17" s="20" t="n"/>
    </row>
    <row r="18" ht="18" customHeight="1" s="12">
      <c r="A18" s="19" t="inlineStr">
        <is>
          <t>Income taxes refund (paid)</t>
        </is>
      </c>
      <c r="B18" s="20" t="n"/>
      <c r="C18" s="20" t="n"/>
      <c r="D18" s="20" t="n"/>
      <c r="E18" s="20" t="n"/>
    </row>
    <row r="19" ht="18" customHeight="1" s="12">
      <c r="A19" s="19" t="inlineStr">
        <is>
          <t>Other inflows (outflows) of cash, classified as operating activities</t>
        </is>
      </c>
      <c r="B19" s="20" t="n"/>
      <c r="C19" s="20" t="n"/>
      <c r="D19" s="20" t="n"/>
      <c r="E19" s="20" t="n"/>
    </row>
    <row r="20" ht="18" customHeight="1" s="12">
      <c r="A20" s="19" t="inlineStr">
        <is>
          <t>Net cash flows from (used in) operating activities</t>
        </is>
      </c>
      <c r="B20" s="21">
        <f>1*B8+1*B9+1*B10+1*B11+1*B12+1*B13+1*B14+1*B15+1*B16+1*B17+1*B18+1*B19</f>
        <v/>
      </c>
      <c r="C20" s="21">
        <f>1*C8+1*C9+1*C10+1*C11+1*C12+1*C13+1*C14+1*C15+1*C16+1*C17+1*C18+1*C19</f>
        <v/>
      </c>
      <c r="D20" s="21">
        <f>1*D8+1*D9+1*D10+1*D11+1*D12+1*D13+1*D14+1*D15+1*D16+1*D17+1*D18+1*D19</f>
        <v/>
      </c>
      <c r="E20" s="21">
        <f>1*E8+1*E9+1*E10+1*E11+1*E12+1*E13+1*E14+1*E15+1*E16+1*E17+1*E18+1*E19</f>
        <v/>
      </c>
    </row>
    <row r="21" ht="18" customHeight="1" s="12">
      <c r="A21" s="17" t="inlineStr">
        <is>
          <t>Cash flows from (used in) investing activities [abstract]</t>
        </is>
      </c>
      <c r="B21" s="18" t="n"/>
      <c r="C21" s="18" t="n"/>
      <c r="D21" s="18" t="n"/>
      <c r="E21" s="18" t="n"/>
    </row>
    <row r="22" ht="18" customHeight="1" s="12">
      <c r="A22" s="19" t="inlineStr">
        <is>
          <t>Cash flows from losing control of subsidiaries or other businesses, classified as investing activities</t>
        </is>
      </c>
      <c r="B22" s="20" t="n"/>
      <c r="C22" s="20" t="n"/>
      <c r="D22" s="20" t="n"/>
      <c r="E22" s="20" t="n"/>
    </row>
    <row r="23" ht="18" customHeight="1" s="12">
      <c r="A23" s="19" t="inlineStr">
        <is>
          <t>Cash flows used in obtaining control of subsidiaries or other businesses, classified as investing activities</t>
        </is>
      </c>
      <c r="B23" s="20" t="n"/>
      <c r="C23" s="20" t="n"/>
      <c r="D23" s="20" t="n"/>
      <c r="E23" s="20" t="n"/>
    </row>
    <row r="24" ht="18" customHeight="1" s="12">
      <c r="A24" s="19" t="inlineStr">
        <is>
          <t>Proceeds from sales of interests in associates</t>
        </is>
      </c>
      <c r="B24" s="20" t="n"/>
      <c r="C24" s="20" t="n"/>
      <c r="D24" s="20" t="n"/>
      <c r="E24" s="20" t="n"/>
    </row>
    <row r="25" ht="18" customHeight="1" s="12">
      <c r="A25" s="19" t="inlineStr">
        <is>
          <t>Purchase of interests in associates</t>
        </is>
      </c>
      <c r="B25" s="20" t="n"/>
      <c r="C25" s="20" t="n"/>
      <c r="D25" s="20" t="n"/>
      <c r="E25" s="20" t="n"/>
    </row>
    <row r="26" ht="18" customHeight="1" s="12">
      <c r="A26" s="19" t="inlineStr">
        <is>
          <t>Other cash receipts from sales of interests in joint ventures, classified as investing activities</t>
        </is>
      </c>
      <c r="B26" s="20" t="n"/>
      <c r="C26" s="20" t="n"/>
      <c r="D26" s="20" t="n"/>
      <c r="E26" s="20" t="n"/>
    </row>
    <row r="27" ht="18" customHeight="1" s="12">
      <c r="A27" s="19" t="inlineStr">
        <is>
          <t>Other cash payments to acquire interests in joint ventures, classified as investing activities</t>
        </is>
      </c>
      <c r="B27" s="20" t="n"/>
      <c r="C27" s="20" t="n"/>
      <c r="D27" s="20" t="n"/>
      <c r="E27" s="20" t="n"/>
    </row>
    <row r="28" ht="18" customHeight="1" s="12">
      <c r="A28" s="19" t="inlineStr">
        <is>
          <t>Cash receipts from repayment of advances and loans made to other parties, classified as investing activities</t>
        </is>
      </c>
      <c r="B28" s="20" t="n"/>
      <c r="C28" s="20" t="n"/>
      <c r="D28" s="20" t="n"/>
      <c r="E28" s="20" t="n"/>
    </row>
    <row r="29" ht="18" customHeight="1" s="12">
      <c r="A29" s="19" t="inlineStr">
        <is>
          <t>Cash advances and loans made to other parties</t>
        </is>
      </c>
      <c r="B29" s="20" t="n"/>
      <c r="C29" s="20" t="n"/>
      <c r="D29" s="20" t="n"/>
      <c r="E29" s="20" t="n"/>
    </row>
    <row r="30" ht="18" customHeight="1" s="12">
      <c r="A30" s="19" t="inlineStr">
        <is>
          <t>Deposit placed with investment brokers</t>
        </is>
      </c>
      <c r="B30" s="20" t="n"/>
      <c r="C30" s="20" t="n"/>
      <c r="D30" s="20" t="n"/>
      <c r="E30" s="20" t="n"/>
    </row>
    <row r="31" ht="18" customHeight="1" s="12">
      <c r="A31" s="19" t="inlineStr">
        <is>
          <t>Other cash payments to acquire equity or debt instruments of other entities</t>
        </is>
      </c>
      <c r="B31" s="20" t="n"/>
      <c r="C31" s="20" t="n"/>
      <c r="D31" s="20" t="n"/>
      <c r="E31" s="20" t="n"/>
    </row>
    <row r="32" ht="18" customHeight="1" s="12">
      <c r="A32" s="19" t="inlineStr">
        <is>
          <t>Other cash receipts from sales of equity or debt instruments of other entities, classified as investing activities</t>
        </is>
      </c>
      <c r="B32" s="20" t="n"/>
      <c r="C32" s="20" t="n"/>
      <c r="D32" s="20" t="n"/>
      <c r="E32" s="20" t="n"/>
    </row>
    <row r="33" ht="18" customHeight="1" s="12">
      <c r="A33" s="19" t="inlineStr">
        <is>
          <t>Proceeds from disposal of net cash and cash equivalents disposed off</t>
        </is>
      </c>
      <c r="B33" s="20" t="n"/>
      <c r="C33" s="20" t="n"/>
      <c r="D33" s="20" t="n"/>
      <c r="E33" s="20" t="n"/>
    </row>
    <row r="34" ht="18" customHeight="1" s="12">
      <c r="A34" s="19" t="inlineStr">
        <is>
          <t>Tax paid on gain on disposal from discontinuing operations</t>
        </is>
      </c>
      <c r="B34" s="20" t="n"/>
      <c r="C34" s="20" t="n"/>
      <c r="D34" s="20" t="n"/>
      <c r="E34" s="20" t="n"/>
    </row>
    <row r="35" ht="18" customHeight="1" s="12">
      <c r="A35" s="19" t="inlineStr">
        <is>
          <t>Proceeds from government grants</t>
        </is>
      </c>
      <c r="B35" s="20" t="n"/>
      <c r="C35" s="20" t="n"/>
      <c r="D35" s="20" t="n"/>
      <c r="E35" s="20" t="n"/>
    </row>
    <row r="36" ht="18" customHeight="1" s="12">
      <c r="A36" s="19" t="inlineStr">
        <is>
          <t>Proceeds from sales of intangible assets</t>
        </is>
      </c>
      <c r="B36" s="20" t="n"/>
      <c r="C36" s="20" t="n"/>
      <c r="D36" s="20" t="n"/>
      <c r="E36" s="20" t="n"/>
    </row>
    <row r="37" ht="18" customHeight="1" s="12">
      <c r="A37" s="19" t="inlineStr">
        <is>
          <t>Proceeds from sales of other long-term assets, classified as investing activities</t>
        </is>
      </c>
      <c r="B37" s="20" t="n"/>
      <c r="C37" s="20" t="n"/>
      <c r="D37" s="20" t="n"/>
      <c r="E37" s="20" t="n"/>
    </row>
    <row r="38" ht="18" customHeight="1" s="12">
      <c r="A38" s="19" t="inlineStr">
        <is>
          <t>Proceeds from sales of property, plant and equipment</t>
        </is>
      </c>
      <c r="B38" s="20" t="n"/>
      <c r="C38" s="20" t="n"/>
      <c r="D38" s="20" t="n"/>
      <c r="E38" s="20" t="n"/>
    </row>
    <row r="39" ht="18" customHeight="1" s="12">
      <c r="A39" s="19" t="inlineStr">
        <is>
          <t>Proceeds from sale of prepaid lease payments</t>
        </is>
      </c>
      <c r="B39" s="20" t="n"/>
      <c r="C39" s="20" t="n"/>
      <c r="D39" s="20" t="n"/>
      <c r="E39" s="20" t="n"/>
    </row>
    <row r="40" ht="18" customHeight="1" s="12">
      <c r="A40" s="19" t="inlineStr">
        <is>
          <t>Purchase of intangible assets</t>
        </is>
      </c>
      <c r="B40" s="20" t="n"/>
      <c r="C40" s="20" t="n"/>
      <c r="D40" s="20" t="n"/>
      <c r="E40" s="20" t="n"/>
    </row>
    <row r="41" ht="18" customHeight="1" s="12">
      <c r="A41" s="19" t="inlineStr">
        <is>
          <t>Purchase of other non-current assets</t>
        </is>
      </c>
      <c r="B41" s="20" t="n"/>
      <c r="C41" s="20" t="n"/>
      <c r="D41" s="20" t="n"/>
      <c r="E41" s="20" t="n"/>
    </row>
    <row r="42" ht="18" customHeight="1" s="12">
      <c r="A42" s="19" t="inlineStr">
        <is>
          <t>Purchase of property, plant and equipment</t>
        </is>
      </c>
      <c r="B42" s="20" t="n"/>
      <c r="C42" s="20" t="n"/>
      <c r="D42" s="20" t="n"/>
      <c r="E42" s="20" t="n"/>
    </row>
    <row r="43" ht="18" customHeight="1" s="12">
      <c r="A43" s="19" t="inlineStr">
        <is>
          <t>Dividends received</t>
        </is>
      </c>
      <c r="B43" s="20" t="n"/>
      <c r="C43" s="20" t="n"/>
      <c r="D43" s="20" t="n"/>
      <c r="E43" s="20" t="n"/>
    </row>
    <row r="44" ht="18" customHeight="1" s="12">
      <c r="A44" s="19" t="inlineStr">
        <is>
          <t>Interest received</t>
        </is>
      </c>
      <c r="B44" s="20" t="n"/>
      <c r="C44" s="20" t="n"/>
      <c r="D44" s="20" t="n"/>
      <c r="E44" s="20" t="n"/>
    </row>
    <row r="45" ht="18" customHeight="1" s="12">
      <c r="A45" s="19" t="inlineStr">
        <is>
          <t>Proceeds from sales of investments other than investments accounted for using equity method</t>
        </is>
      </c>
      <c r="B45" s="20" t="n"/>
      <c r="C45" s="20" t="n"/>
      <c r="D45" s="20" t="n"/>
      <c r="E45" s="20" t="n"/>
    </row>
    <row r="46" ht="18" customHeight="1" s="12">
      <c r="A46" s="19" t="inlineStr">
        <is>
          <t>Purchase of other investment</t>
        </is>
      </c>
      <c r="B46" s="20" t="n"/>
      <c r="C46" s="20" t="n"/>
      <c r="D46" s="20" t="n"/>
      <c r="E46" s="20" t="n"/>
    </row>
    <row r="47" ht="18" customHeight="1" s="12">
      <c r="A47" s="19" t="inlineStr">
        <is>
          <t>Development expenditure incurred</t>
        </is>
      </c>
      <c r="B47" s="20" t="n"/>
      <c r="C47" s="20" t="n"/>
      <c r="D47" s="20" t="n"/>
      <c r="E47" s="20" t="n"/>
    </row>
    <row r="48" ht="18" customHeight="1" s="12">
      <c r="A48" s="19" t="inlineStr">
        <is>
          <t>Net repayment from joint ventures</t>
        </is>
      </c>
      <c r="B48" s="20" t="n"/>
      <c r="C48" s="20" t="n"/>
      <c r="D48" s="20" t="n"/>
      <c r="E48" s="20" t="n"/>
    </row>
    <row r="49" ht="18" customHeight="1" s="12">
      <c r="A49" s="19" t="inlineStr">
        <is>
          <t>Net repayment from associates</t>
        </is>
      </c>
      <c r="B49" s="20" t="n"/>
      <c r="C49" s="20" t="n"/>
      <c r="D49" s="20" t="n"/>
      <c r="E49" s="20" t="n"/>
    </row>
    <row r="50" ht="18" customHeight="1" s="12">
      <c r="A50" s="19" t="inlineStr">
        <is>
          <t>Capital distributions from associates</t>
        </is>
      </c>
      <c r="B50" s="20" t="n"/>
      <c r="C50" s="20" t="n"/>
      <c r="D50" s="20" t="n"/>
      <c r="E50" s="20" t="n"/>
    </row>
    <row r="51" ht="18" customHeight="1" s="12">
      <c r="A51" s="19" t="inlineStr">
        <is>
          <t>Other inflows (outflows) of cash, classified as investing activities</t>
        </is>
      </c>
      <c r="B51" s="20" t="n"/>
      <c r="C51" s="20" t="n"/>
      <c r="D51" s="20" t="n"/>
      <c r="E51" s="20" t="n"/>
    </row>
    <row r="52" ht="18" customHeight="1" s="12">
      <c r="A52" s="19" t="inlineStr">
        <is>
          <t>Net cash flows from (used in) investing activities</t>
        </is>
      </c>
      <c r="B52" s="21">
        <f>1*B22+-1*B23+1*B24+-1*B25+1*B26+-1*B27+1*B28+-1*B29+1*B30+-1*B31+1*B32+-1*B33+1*B34+1*B35+1*B36+1*B37+1*B38+1*B39+-1*B40+-1*B41+-1*B42+1*B43+1*B44+1*B45+-1*B46+-1*B47+-1*B48+-1*B49+1*B50+1*B51</f>
        <v/>
      </c>
      <c r="C52" s="21">
        <f>1*C22+-1*C23+1*C24+-1*C25+1*C26+-1*C27+1*C28+-1*C29+1*C30+-1*C31+1*C32+-1*C33+1*C34+1*C35+1*C36+1*C37+1*C38+1*C39+-1*C40+-1*C41+-1*C42+1*C43+1*C44+1*C45+-1*C46+-1*C47+-1*C48+-1*C49+1*C50+1*C51</f>
        <v/>
      </c>
      <c r="D52" s="21">
        <f>1*D22+-1*D23+1*D24+-1*D25+1*D26+-1*D27+1*D28+-1*D29+1*D30+-1*D31+1*D32+-1*D33+1*D34+1*D35+1*D36+1*D37+1*D38+1*D39+-1*D40+-1*D41+-1*D42+1*D43+1*D44+1*D45+-1*D46+-1*D47+-1*D48+-1*D49+1*D50+1*D51</f>
        <v/>
      </c>
      <c r="E52" s="21">
        <f>1*E22+-1*E23+1*E24+-1*E25+1*E26+-1*E27+1*E28+-1*E29+1*E30+-1*E31+1*E32+-1*E33+1*E34+1*E35+1*E36+1*E37+1*E38+1*E39+-1*E40+-1*E41+-1*E42+1*E43+1*E44+1*E45+-1*E46+-1*E47+-1*E48+-1*E49+1*E50+1*E51</f>
        <v/>
      </c>
    </row>
    <row r="53" ht="18" customHeight="1" s="12">
      <c r="A53" s="17" t="inlineStr">
        <is>
          <t>Cash flows from (used in) financing activities [abstract]</t>
        </is>
      </c>
      <c r="B53" s="18" t="n"/>
      <c r="C53" s="18" t="n"/>
      <c r="D53" s="18" t="n"/>
      <c r="E53" s="18" t="n"/>
    </row>
    <row r="54" ht="18" customHeight="1" s="12">
      <c r="A54" s="19" t="inlineStr">
        <is>
          <t>Payments for principal portion of lease liability</t>
        </is>
      </c>
      <c r="B54" s="20" t="n"/>
      <c r="C54" s="20" t="n"/>
      <c r="D54" s="20" t="n"/>
      <c r="E54" s="20" t="n"/>
    </row>
    <row r="55" ht="18" customHeight="1" s="12">
      <c r="A55" s="19" t="inlineStr">
        <is>
          <t>Payments for interest portion of lease liability</t>
        </is>
      </c>
      <c r="B55" s="20" t="n"/>
      <c r="C55" s="20" t="n"/>
      <c r="D55" s="20" t="n"/>
      <c r="E55" s="20" t="n"/>
    </row>
    <row r="56" ht="18" customHeight="1" s="12">
      <c r="A56" s="19" t="inlineStr">
        <is>
          <t>Proceeds from issuing shares</t>
        </is>
      </c>
      <c r="B56" s="20" t="n"/>
      <c r="C56" s="20" t="n"/>
      <c r="D56" s="20" t="n"/>
      <c r="E56" s="20" t="n"/>
    </row>
    <row r="57" ht="18" customHeight="1" s="12">
      <c r="A57" s="19" t="inlineStr">
        <is>
          <t>Proceeds from issue of shares in subsidiary to non-controlling interests</t>
        </is>
      </c>
      <c r="B57" s="20" t="n"/>
      <c r="C57" s="20" t="n"/>
      <c r="D57" s="20" t="n"/>
      <c r="E57" s="20" t="n"/>
    </row>
    <row r="58" ht="18" customHeight="1" s="12">
      <c r="A58" s="19" t="inlineStr">
        <is>
          <t>Proceeds from issuing other equity instruments</t>
        </is>
      </c>
      <c r="B58" s="20" t="n"/>
      <c r="C58" s="20" t="n"/>
      <c r="D58" s="20" t="n"/>
      <c r="E58" s="20" t="n"/>
    </row>
    <row r="59" ht="18" customHeight="1" s="12">
      <c r="A59" s="19" t="inlineStr">
        <is>
          <t>Proceeds from exercise of options</t>
        </is>
      </c>
      <c r="B59" s="20" t="n"/>
      <c r="C59" s="20" t="n"/>
      <c r="D59" s="20" t="n"/>
      <c r="E59" s="20" t="n"/>
    </row>
    <row r="60" ht="18" customHeight="1" s="12">
      <c r="A60" s="19" t="inlineStr">
        <is>
          <t>Payments to acquire or redeem entity's shares</t>
        </is>
      </c>
      <c r="B60" s="20" t="n"/>
      <c r="C60" s="20" t="n"/>
      <c r="D60" s="20" t="n"/>
      <c r="E60" s="20" t="n"/>
    </row>
    <row r="61" ht="18" customHeight="1" s="12">
      <c r="A61" s="19" t="inlineStr">
        <is>
          <t>Payments made to non-controlling interests</t>
        </is>
      </c>
      <c r="B61" s="20" t="n"/>
      <c r="C61" s="20" t="n"/>
      <c r="D61" s="20" t="n"/>
      <c r="E61" s="20" t="n"/>
    </row>
    <row r="62" ht="18" customHeight="1" s="12">
      <c r="A62" s="19" t="inlineStr">
        <is>
          <t>Payments of other equity instruments</t>
        </is>
      </c>
      <c r="B62" s="20" t="n"/>
      <c r="C62" s="20" t="n"/>
      <c r="D62" s="20" t="n"/>
      <c r="E62" s="20" t="n"/>
    </row>
    <row r="63" ht="18" customHeight="1" s="12">
      <c r="A63" s="19" t="inlineStr">
        <is>
          <t>Cash payments for issuance of perpetual sukuk</t>
        </is>
      </c>
      <c r="B63" s="20" t="n"/>
      <c r="C63" s="20" t="n"/>
      <c r="D63" s="20" t="n"/>
      <c r="E63" s="20" t="n"/>
    </row>
    <row r="64" ht="18" customHeight="1" s="12">
      <c r="A64" s="19" t="inlineStr">
        <is>
          <t>Proceeds from issue of bonds, notes and debentures</t>
        </is>
      </c>
      <c r="B64" s="20" t="n"/>
      <c r="C64" s="20" t="n"/>
      <c r="D64" s="20" t="n"/>
      <c r="E64" s="20" t="n"/>
    </row>
    <row r="65" ht="18" customHeight="1" s="12">
      <c r="A65" s="19" t="inlineStr">
        <is>
          <t>Repayments of borrowings</t>
        </is>
      </c>
      <c r="B65" s="20" t="n"/>
      <c r="C65" s="20" t="n"/>
      <c r="D65" s="20" t="n"/>
      <c r="E65" s="20" t="n"/>
    </row>
    <row r="66" ht="18" customHeight="1" s="12">
      <c r="A66" s="19" t="inlineStr">
        <is>
          <t>Repurchase of treasury shares</t>
        </is>
      </c>
      <c r="B66" s="20" t="n"/>
      <c r="C66" s="20" t="n"/>
      <c r="D66" s="20" t="n"/>
      <c r="E66" s="20" t="n"/>
    </row>
    <row r="67" ht="18" customHeight="1" s="12">
      <c r="A67" s="19" t="inlineStr">
        <is>
          <t>Withdrawal of bank deposits</t>
        </is>
      </c>
      <c r="B67" s="20" t="n"/>
      <c r="C67" s="20" t="n"/>
      <c r="D67" s="20" t="n"/>
      <c r="E67" s="20" t="n"/>
    </row>
    <row r="68" ht="18" customHeight="1" s="12">
      <c r="A68" s="19" t="inlineStr">
        <is>
          <t>Withdrawal of securities pledged for borrowings</t>
        </is>
      </c>
      <c r="B68" s="20" t="n"/>
      <c r="C68" s="20" t="n"/>
      <c r="D68" s="20" t="n"/>
      <c r="E68" s="20" t="n"/>
    </row>
    <row r="69" ht="18" customHeight="1" s="12">
      <c r="A69" s="19" t="inlineStr">
        <is>
          <t>Dividends paid</t>
        </is>
      </c>
      <c r="B69" s="20" t="n"/>
      <c r="C69" s="20" t="n"/>
      <c r="D69" s="20" t="n"/>
      <c r="E69" s="20" t="n"/>
    </row>
    <row r="70" ht="18" customHeight="1" s="12">
      <c r="A70" s="19" t="inlineStr">
        <is>
          <t>Interest paid</t>
        </is>
      </c>
      <c r="B70" s="20" t="n"/>
      <c r="C70" s="20" t="n"/>
      <c r="D70" s="20" t="n"/>
      <c r="E70" s="20" t="n"/>
    </row>
    <row r="71" ht="18" customHeight="1" s="12">
      <c r="A71" s="19" t="inlineStr">
        <is>
          <t>Other inflows (outflows) of cash, classified as financing activities</t>
        </is>
      </c>
      <c r="B71" s="20" t="n"/>
      <c r="C71" s="20" t="n"/>
      <c r="D71" s="20" t="n"/>
      <c r="E71" s="20" t="n"/>
    </row>
    <row r="72" ht="18" customHeight="1" s="12">
      <c r="A72" s="19" t="inlineStr">
        <is>
          <t>Net cash flows from (used in) financing activities</t>
        </is>
      </c>
      <c r="B72" s="20">
        <f>1*B54+1*B55+1*B56+1*B57+1*B58+1*B59+-1*B60+-1*B61+-1*B62+1*B63+1*B64+-1*B65+1*B66+1*B67+1*B68+-1*B69+-1*B70+1*B71</f>
        <v/>
      </c>
      <c r="C72" s="20">
        <f>1*C54+1*C55+1*C56+1*C57+1*C58+1*C59+-1*C60+-1*C61+-1*C62+1*C63+1*C64+-1*C65+1*C66+1*C67+1*C68+-1*C69+-1*C70+1*C71</f>
        <v/>
      </c>
      <c r="D72" s="20">
        <f>1*D54+1*D55+1*D56+1*D57+1*D58+1*D59+-1*D60+-1*D61+-1*D62+1*D63+1*D64+-1*D65+1*D66+1*D67+1*D68+-1*D69+-1*D70+1*D71</f>
        <v/>
      </c>
      <c r="E72" s="20">
        <f>1*E54+1*E55+1*E56+1*E57+1*E58+1*E59+-1*E60+-1*E61+-1*E62+1*E63+1*E64+-1*E65+1*E66+1*E67+1*E68+-1*E69+-1*E70+1*E71</f>
        <v/>
      </c>
    </row>
    <row r="73" ht="18" customHeight="1" s="12">
      <c r="A73" s="19" t="inlineStr">
        <is>
          <t>Net increase (decrease) in cash and cash equivalents before effect of exchange rate changes</t>
        </is>
      </c>
      <c r="B73" s="20">
        <f>1*B20+1*B52+1*B72</f>
        <v/>
      </c>
      <c r="C73" s="20">
        <f>1*C20+1*C52+1*C72</f>
        <v/>
      </c>
      <c r="D73" s="20">
        <f>1*D20+1*D52+1*D72</f>
        <v/>
      </c>
      <c r="E73" s="20">
        <f>1*E20+1*E52+1*E72</f>
        <v/>
      </c>
    </row>
    <row r="74" ht="18" customHeight="1" s="12">
      <c r="A74" s="19" t="inlineStr">
        <is>
          <t>Effect of exchange rate changes on cash and cash equivalents</t>
        </is>
      </c>
      <c r="B74" s="20" t="n"/>
      <c r="C74" s="20" t="n"/>
      <c r="D74" s="20" t="n"/>
      <c r="E74" s="20" t="n"/>
    </row>
    <row r="75" ht="18" customHeight="1" s="12">
      <c r="A75" s="19" t="inlineStr">
        <is>
          <t>Net increase (decrease) in cash and cash equivalents after effect of exchange rate changes</t>
        </is>
      </c>
      <c r="B75" s="20">
        <f>1*B73+1*B74</f>
        <v/>
      </c>
      <c r="C75" s="20">
        <f>1*C73+1*C74</f>
        <v/>
      </c>
      <c r="D75" s="20">
        <f>1*D73+1*D74</f>
        <v/>
      </c>
      <c r="E75" s="20">
        <f>1*E73+1*E74</f>
        <v/>
      </c>
    </row>
    <row r="76" ht="18" customHeight="1" s="12">
      <c r="A76" s="19" t="inlineStr">
        <is>
          <t>Cash and cash equivalents at beginning of period</t>
        </is>
      </c>
      <c r="B76" s="20" t="n"/>
      <c r="C76" s="20" t="n"/>
      <c r="D76" s="20" t="n"/>
      <c r="E76" s="20" t="n"/>
    </row>
    <row r="77" ht="18" customHeight="1" s="12">
      <c r="A77" s="19" t="inlineStr">
        <is>
          <t>Cash and cash equivalents at end of period</t>
        </is>
      </c>
      <c r="B77" s="21">
        <f>1*B76+1*B75</f>
        <v/>
      </c>
      <c r="C77" s="21">
        <f>1*C76+1*C75</f>
        <v/>
      </c>
      <c r="D77" s="21">
        <f>1*D76+1*D75</f>
        <v/>
      </c>
      <c r="E77" s="21">
        <f>1*E76+1*E75</f>
        <v/>
      </c>
    </row>
    <row r="78" ht="18" customHeight="1" s="12">
      <c r="A78" s="17" t="inlineStr">
        <is>
          <t>Details of cash flows [abstract]</t>
        </is>
      </c>
      <c r="B78" s="18" t="n"/>
      <c r="C78" s="18" t="n"/>
      <c r="D78" s="18" t="n"/>
      <c r="E78" s="18" t="n"/>
    </row>
    <row r="79" ht="18" customHeight="1" s="12">
      <c r="A79" s="22" t="inlineStr">
        <is>
          <t>Total Cash and bank balances</t>
        </is>
      </c>
      <c r="B79" s="23" t="n"/>
      <c r="C79" s="23" t="n"/>
      <c r="D79" s="23" t="n"/>
      <c r="E79" s="23" t="n"/>
    </row>
    <row r="80" ht="18" customHeight="1" s="12">
      <c r="A80" s="19" t="inlineStr">
        <is>
          <t>Bank overdrafts</t>
        </is>
      </c>
      <c r="B80" s="20" t="n"/>
      <c r="C80" s="20" t="n"/>
      <c r="D80" s="20" t="n"/>
      <c r="E80" s="20" t="n"/>
    </row>
    <row r="81" ht="18" customHeight="1" s="12">
      <c r="A81" s="19" t="inlineStr">
        <is>
          <t>Other adjustments to reconcile cash and cash equivalents</t>
        </is>
      </c>
      <c r="B81" s="20" t="n"/>
      <c r="C81" s="20" t="n"/>
      <c r="D81" s="20" t="n"/>
      <c r="E81" s="20" t="n"/>
    </row>
    <row r="82" ht="18" customHeight="1" s="12">
      <c r="A82" s="22" t="inlineStr">
        <is>
          <t>Total cash and cash equivalents</t>
        </is>
      </c>
      <c r="B82" s="23">
        <f>1*B79+-1*B80+1*B81</f>
        <v/>
      </c>
      <c r="C82" s="23">
        <f>1*C79+-1*C80+1*C81</f>
        <v/>
      </c>
      <c r="D82" s="23">
        <f>1*D79+-1*D80+1*D81</f>
        <v/>
      </c>
      <c r="E82" s="23">
        <f>1*E79+-1*E80+1*E81</f>
        <v/>
      </c>
    </row>
  </sheetData>
  <mergeCells count="2">
    <mergeCell ref="B1:C1"/>
    <mergeCell ref="D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2026-07-02T18:05:50Z</dcterms:modified>
  <cp:revision>0</cp:revision>
</cp:coreProperties>
</file>